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7A2D7E96-6E34-419A-AE5F-296B3A7E7977}"/>
  <workbookPr codeName="ЭтаКнига" defaultThemeVersion="124226"/>
  <bookViews>
    <workbookView xWindow="240" yWindow="75" windowWidth="12375" windowHeight="9465" tabRatio="897" firstSheet="2" activeTab="7"/>
  </bookViews>
  <sheets>
    <sheet name="Данные" sheetId="1" r:id="rId1"/>
    <sheet name="Первичка" sheetId="2" r:id="rId2"/>
    <sheet name="Осмотр зав" sheetId="42" r:id="rId3"/>
    <sheet name="Лист назначений (2)" sheetId="48" r:id="rId4"/>
    <sheet name="Согласия" sheetId="17" r:id="rId5"/>
    <sheet name="Клин.разбор" sheetId="3" r:id="rId6"/>
    <sheet name="Операция" sheetId="8" r:id="rId7"/>
    <sheet name="Дневник" sheetId="15" r:id="rId8"/>
    <sheet name="Выписной дневник" sheetId="28" r:id="rId9"/>
    <sheet name="Выписка" sheetId="5" r:id="rId10"/>
    <sheet name="Этапный эпикриз " sheetId="46" r:id="rId11"/>
    <sheet name="Консилиум 5 препаратов" sheetId="49" r:id="rId12"/>
    <sheet name="Карта ЦС" sheetId="45" r:id="rId13"/>
    <sheet name="Лист назначений" sheetId="43" r:id="rId14"/>
    <sheet name="Ссылки" sheetId="40" r:id="rId15"/>
    <sheet name="Гистология " sheetId="16" r:id="rId16"/>
    <sheet name="Этапный эпикриз" sheetId="13" state="hidden" r:id="rId17"/>
    <sheet name="Онкосовет" sheetId="23" state="hidden" r:id="rId18"/>
    <sheet name="По дежурству" sheetId="25" state="hidden" r:id="rId19"/>
    <sheet name="Лист наркотиков" sheetId="47" r:id="rId20"/>
    <sheet name="Разное" sheetId="26" r:id="rId21"/>
    <sheet name="КЭК" sheetId="9" state="hidden" r:id="rId22"/>
    <sheet name="Д" sheetId="10" state="hidden" r:id="rId23"/>
    <sheet name="П Приложение" sheetId="12" state="hidden" r:id="rId24"/>
    <sheet name="Онкокарта" sheetId="6" state="hidden" r:id="rId25"/>
    <sheet name="Собачка" sheetId="7" r:id="rId26"/>
    <sheet name="Карта контроля" sheetId="31" state="hidden" r:id="rId27"/>
    <sheet name="Энурез" sheetId="33" state="hidden" r:id="rId28"/>
    <sheet name="После.опер.дневник" sheetId="27" state="hidden" r:id="rId29"/>
    <sheet name="Рапорт" sheetId="29" state="hidden" r:id="rId30"/>
    <sheet name="Биопсия" sheetId="30" state="hidden" r:id="rId31"/>
    <sheet name="Статистика" sheetId="32" state="hidden" r:id="rId32"/>
    <sheet name="НС и ПВ" sheetId="34" state="hidden" r:id="rId33"/>
    <sheet name="Номограммы" sheetId="35" state="hidden" r:id="rId34"/>
    <sheet name="Заявка" sheetId="36" r:id="rId35"/>
    <sheet name="Лист МЭС" sheetId="37" r:id="rId36"/>
    <sheet name="Гемотрансфузия" sheetId="38" r:id="rId37"/>
  </sheets>
  <definedNames>
    <definedName name="_1__ОАК__ОАМ__б_х_крови__коагулограмма__группа_крови" localSheetId="12">Данные!#REF!</definedName>
    <definedName name="_1__ОАК__ОАМ__б_х_крови__коагулограмма__группа_крови" localSheetId="11">Данные!#REF!</definedName>
    <definedName name="_1__ОАК__ОАМ__б_х_крови__коагулограмма__группа_крови" localSheetId="3">Данные!#REF!</definedName>
    <definedName name="_1__ОАК__ОАМ__б_х_крови__коагулограмма__группа_крови" localSheetId="19">Данные!#REF!</definedName>
    <definedName name="_1__ОАК__ОАМ__б_х_крови__коагулограмма__группа_крови" localSheetId="2">Данные!#REF!</definedName>
    <definedName name="_1__ОАК__ОАМ__б_х_крови__коагулограмма__группа_крови" localSheetId="27">Данные!#REF!</definedName>
    <definedName name="_1__ОАК__ОАМ__б_х_крови__коагулограмма__группа_крови" localSheetId="10">Данные!#REF!</definedName>
    <definedName name="_1__ОАК__ОАМ__б_х_крови__коагулограмма__группа_крови">Данные!#REF!</definedName>
    <definedName name="_xlnm._FilterDatabase" localSheetId="9" hidden="1">Выписка!$D$63:$N$135</definedName>
    <definedName name="_xlnm._FilterDatabase" localSheetId="22" hidden="1">Д!$A$26:$A$34</definedName>
    <definedName name="_xlnm._FilterDatabase" localSheetId="7" hidden="1">Дневник!$C$19:$I$72</definedName>
    <definedName name="_xlnm._FilterDatabase" localSheetId="13" hidden="1">'Лист назначений'!$B$8:$D$31</definedName>
    <definedName name="_xlnm._FilterDatabase" localSheetId="3" hidden="1">'Лист назначений (2)'!$B$8:$D$44</definedName>
    <definedName name="_xlnm._FilterDatabase" localSheetId="19" hidden="1">'Лист наркотиков'!$C$7:$F$10</definedName>
    <definedName name="_xlnm._FilterDatabase" localSheetId="6" hidden="1">Операция!$A$10:$G$48</definedName>
    <definedName name="_xlnm._FilterDatabase" localSheetId="2" hidden="1">'Осмотр зав'!$C$12:$I$31</definedName>
    <definedName name="_xlnm._FilterDatabase" localSheetId="23" hidden="1">'П Приложение'!$C$34:$C$91</definedName>
    <definedName name="_xlnm._FilterDatabase" localSheetId="1" hidden="1">Первичка!$F$26:$N$57</definedName>
    <definedName name="_xlnm._FilterDatabase" localSheetId="18" hidden="1">'По дежурству'!$C$11:$C$58</definedName>
    <definedName name="_xlnm._FilterDatabase" localSheetId="28" hidden="1">После.опер.дневник!$C$14:$I$64</definedName>
    <definedName name="_xlnm._FilterDatabase" localSheetId="31" hidden="1">Статистика!$A$4:$DP$4</definedName>
    <definedName name="Anamnesis_morbi">Данные!$C$12</definedName>
    <definedName name="Anamnesis_vitae">Данные!$C$13</definedName>
    <definedName name="№_и_б">Данные!$C$8</definedName>
    <definedName name="Аллергоанамнез">Данные!$C$14</definedName>
    <definedName name="Анестезия">Данные!$G$22</definedName>
    <definedName name="б\л">Ссылки!$E$1:$E$4</definedName>
    <definedName name="БИ_ТУР">Ссылки!$G$41</definedName>
    <definedName name="Биохимия_белок">Данные!$E$10</definedName>
    <definedName name="Биохимия_билирубин">Данные!$H$10</definedName>
    <definedName name="Биохимия_глюкоза">Данные!$K$10</definedName>
    <definedName name="Биохимия_дата">Данные!$F$8</definedName>
    <definedName name="Биохимия_калий">Данные!$I$10</definedName>
    <definedName name="Биохимия_креатинин">Данные!$G$10</definedName>
    <definedName name="Биохимия_мочевина">Данные!$F$10</definedName>
    <definedName name="Биохимия_натрий">Данные!$J$10</definedName>
    <definedName name="ВЕС_кг">Данные!$N$10</definedName>
    <definedName name="виды_анестезии">Ссылки!$G$3:$G$7</definedName>
    <definedName name="ВИЧ_ГЕПАТИТ_дата">Данные!$O$13</definedName>
    <definedName name="Возможные_осложнения">Данные!$C$28</definedName>
    <definedName name="Возраст_лет">Данные!$F$45</definedName>
    <definedName name="Время_операции_от_и_до" localSheetId="12">'Карта ЦС'!#REF!</definedName>
    <definedName name="Время_операции_от_и_до">Операция!$C$9</definedName>
    <definedName name="время_поступления">Данные!$N$13</definedName>
    <definedName name="выписан_с_улучшением_с_выздоровлением">Данные!$C$31</definedName>
    <definedName name="ГИСТОЛОГИЯ">Данные!$C$19</definedName>
    <definedName name="Группа_крови">Данные!$F$17</definedName>
    <definedName name="группакрови">Ссылки!$B$1:$B$9</definedName>
    <definedName name="Данные_амбулаторного_обследования">Данные!$C$20</definedName>
    <definedName name="данные_проведенного_обследования">Данные!$G$15</definedName>
    <definedName name="Дата_выписки">Данные!$C$7</definedName>
    <definedName name="Дата_операции">Данные!$C$29</definedName>
    <definedName name="дата_поступления">Данные!$C$6</definedName>
    <definedName name="дата_рождения" localSheetId="11">Данные!#REF!</definedName>
    <definedName name="дата_рождения" localSheetId="3">Данные!#REF!</definedName>
    <definedName name="дата_рождения">Данные!#REF!</definedName>
    <definedName name="Диагноз_при_поступлении">Данные!$C$22</definedName>
    <definedName name="ДИЕТА_ОВД">Данные!$N$42</definedName>
    <definedName name="ДНИ_ВН">Данные!$E$28</definedName>
    <definedName name="Жалобы">Данные!$C$11</definedName>
    <definedName name="Зав.отд.">Данные!$K$22</definedName>
    <definedName name="И.О.ЗАВ.ОТД.">Данные!$K$13</definedName>
    <definedName name="ИМТ">Данные!$O$10</definedName>
    <definedName name="Исход_заболевания">Ссылки!$C$1:$C$7</definedName>
    <definedName name="Канал_поступления">Данные!$K$25</definedName>
    <definedName name="Клинический_диагноз">Данные!$C$23</definedName>
    <definedName name="КОД_ВМТ">Данные!$O$42</definedName>
    <definedName name="КОД_ВЫПИСКИ">Данные!$N$7</definedName>
    <definedName name="Код_заболевания">Данные!$E$13</definedName>
    <definedName name="Код_МЭС">Данные!$H$13</definedName>
    <definedName name="Койко_день" localSheetId="12">Данные!#REF!</definedName>
    <definedName name="Койко_день" localSheetId="11">Данные!#REF!</definedName>
    <definedName name="Койко_день" localSheetId="3">Данные!#REF!</definedName>
    <definedName name="Койко_день" localSheetId="19">Данные!#REF!</definedName>
    <definedName name="Койко_день" localSheetId="2">Данные!#REF!</definedName>
    <definedName name="Койко_день" localSheetId="27">Данные!#REF!</definedName>
    <definedName name="Койко_день" localSheetId="10">Данные!#REF!</definedName>
    <definedName name="Койко_день">Данные!#REF!</definedName>
    <definedName name="Койкодень_до_опер">Данные!$F$28</definedName>
    <definedName name="Койкодень_МЭС">Данные!$I$13</definedName>
    <definedName name="Койкодень_общий">Данные!$B$1</definedName>
    <definedName name="Койкодень_после_опер">Данные!$B$2</definedName>
    <definedName name="Кровопотеря" localSheetId="12">'Карта ЦС'!#REF!</definedName>
    <definedName name="Кровопотеря" localSheetId="11">Операция!#REF!</definedName>
    <definedName name="Кровопотеря" localSheetId="3">Операция!#REF!</definedName>
    <definedName name="Кровопотеря" localSheetId="19">Операция!#REF!</definedName>
    <definedName name="Кровопотеря" localSheetId="10">Операция!#REF!</definedName>
    <definedName name="Кровопотеря">Операция!#REF!</definedName>
    <definedName name="куда">Ссылки!$F$1:$F$4</definedName>
    <definedName name="Лечащий_врач">Данные!$K$21</definedName>
    <definedName name="Лист_нетрудоспособности">Данные!$C$33</definedName>
    <definedName name="Лучевая_нагрузка">Данные!$O$7</definedName>
    <definedName name="Место_жительства">Данные!$C$9</definedName>
    <definedName name="название_операций" localSheetId="12">Ссылки!#REF!</definedName>
    <definedName name="название_операций" localSheetId="11">Ссылки!#REF!</definedName>
    <definedName name="название_операций" localSheetId="3">Ссылки!#REF!</definedName>
    <definedName name="название_операций" localSheetId="19">Ссылки!#REF!</definedName>
    <definedName name="название_операций" localSheetId="10">Ссылки!#REF!</definedName>
    <definedName name="название_операций">Ссылки!#REF!</definedName>
    <definedName name="Назначение" localSheetId="12">Данные!#REF!</definedName>
    <definedName name="Назначение" localSheetId="11">Данные!#REF!</definedName>
    <definedName name="Назначение" localSheetId="3">Данные!#REF!</definedName>
    <definedName name="Назначение" localSheetId="19">Данные!#REF!</definedName>
    <definedName name="Назначение" localSheetId="2">Данные!#REF!</definedName>
    <definedName name="Назначение" localSheetId="27">Данные!#REF!</definedName>
    <definedName name="Назначение" localSheetId="10">Данные!#REF!</definedName>
    <definedName name="Назначение">Данные!#REF!</definedName>
    <definedName name="НАПРАВЛЕНИЕ_ГИСТОЛОГИЯ" localSheetId="12">'Карта ЦС'!#REF!</definedName>
    <definedName name="НАПРАВЛЕНИЕ_ГИСТОЛОГИЯ" localSheetId="11">Операция!#REF!</definedName>
    <definedName name="НАПРАВЛЕНИЕ_ГИСТОЛОГИЯ" localSheetId="3">Операция!#REF!</definedName>
    <definedName name="НАПРАВЛЕНИЕ_ГИСТОЛОГИЯ" localSheetId="19">Операция!#REF!</definedName>
    <definedName name="НАПРАВЛЕНИЕ_ГИСТОЛОГИЯ" localSheetId="10">Операция!#REF!</definedName>
    <definedName name="НАПРАВЛЕНИЕ_ГИСТОЛОГИЯ">Операция!#REF!</definedName>
    <definedName name="Номер_операции" localSheetId="12">'Карта ЦС'!#REF!</definedName>
    <definedName name="Номер_операции">Операция!$E$10</definedName>
    <definedName name="ОАК">Данные!$F$2</definedName>
    <definedName name="ОАК_базофилы">Данные!$L$4</definedName>
    <definedName name="ОАК_Гемоглобин">Данные!$E$4</definedName>
    <definedName name="ОАК_дата">Данные!$F$2</definedName>
    <definedName name="ОАК_лейкоциты">Данные!$H$4</definedName>
    <definedName name="ОАК_лимфоциты">Данные!$M$4</definedName>
    <definedName name="ОАК_моноциты">Данные!$N$4</definedName>
    <definedName name="ОАК_палочки">Данные!$I$4</definedName>
    <definedName name="ОАК_сегментоядерные">Данные!$J$4</definedName>
    <definedName name="ОАК_СОЭ">Данные!$O$4</definedName>
    <definedName name="ОАК_Тромб">Данные!$G$4</definedName>
    <definedName name="ОАК_эозинофилы">Данные!$K$4</definedName>
    <definedName name="ОАК_Эритр">Данные!$F$4</definedName>
    <definedName name="ОАМ_бактерии">Данные!$K$7</definedName>
    <definedName name="ОАМ_белок">Данные!$F$7</definedName>
    <definedName name="ОАМ_грибки">Данные!$L$7</definedName>
    <definedName name="ОАМ_дата">Данные!$F$5</definedName>
    <definedName name="ОАМ_лейкоциты">Данные!$H$7</definedName>
    <definedName name="ОАМ_плотность">Данные!$G$7</definedName>
    <definedName name="ОАМ_рН">Данные!$E$7</definedName>
    <definedName name="ОАМ_соли">Данные!$J$7</definedName>
    <definedName name="ОАМ_эритроциты">Данные!$I$7</definedName>
    <definedName name="_xlnm.Print_Area" localSheetId="30">Биопсия!$A$1:$J$101</definedName>
    <definedName name="_xlnm.Print_Area" localSheetId="9">Выписка!$A$1:$O$148</definedName>
    <definedName name="_xlnm.Print_Area" localSheetId="8">'Выписной дневник'!$A$1:$I$28</definedName>
    <definedName name="_xlnm.Print_Area" localSheetId="36">Гемотрансфузия!$A$1:$I$35</definedName>
    <definedName name="_xlnm.Print_Area" localSheetId="15">'Гистология '!$A$1:$J$31</definedName>
    <definedName name="_xlnm.Print_Area" localSheetId="22">Д!$A$1:$H$45</definedName>
    <definedName name="_xlnm.Print_Area" localSheetId="0">Данные!$A$1:$P$33</definedName>
    <definedName name="_xlnm.Print_Area" localSheetId="7">Дневник!$A$2:$I$74</definedName>
    <definedName name="_xlnm.Print_Area" localSheetId="34">Заявка!$B$2:$E$29</definedName>
    <definedName name="_xlnm.Print_Area" localSheetId="26">'Карта контроля'!$A$1:$K$102</definedName>
    <definedName name="_xlnm.Print_Area" localSheetId="12">'Карта ЦС'!$A$1:$K$81</definedName>
    <definedName name="_xlnm.Print_Area" localSheetId="5">Клин.разбор!$A$1:$I$72</definedName>
    <definedName name="_xlnm.Print_Area" localSheetId="11">'Консилиум 5 препаратов'!$A$1:$O$43</definedName>
    <definedName name="_xlnm.Print_Area" localSheetId="21">КЭК!$A$1:$J$57</definedName>
    <definedName name="_xlnm.Print_Area" localSheetId="35">'Лист МЭС'!$A$1:$G$759</definedName>
    <definedName name="_xlnm.Print_Area" localSheetId="3">'Лист назначений (2)'!$A$1:$Q$95</definedName>
    <definedName name="_xlnm.Print_Area" localSheetId="19">'Лист наркотиков'!$A$1:$I$41</definedName>
    <definedName name="_xlnm.Print_Area" localSheetId="32">'НС и ПВ'!$A$1:$J$37</definedName>
    <definedName name="_xlnm.Print_Area" localSheetId="24">Онкокарта!$A$1:$K$64</definedName>
    <definedName name="_xlnm.Print_Area" localSheetId="17">Онкосовет!$A$1:$I$35</definedName>
    <definedName name="_xlnm.Print_Area" localSheetId="6">Операция!$A$1:$G$64</definedName>
    <definedName name="_xlnm.Print_Area" localSheetId="2">'Осмотр зав'!$A$1:$I$45</definedName>
    <definedName name="_xlnm.Print_Area" localSheetId="23">'П Приложение'!$A$1:$L$106</definedName>
    <definedName name="_xlnm.Print_Area" localSheetId="1">Первичка!$A$1:$N$67</definedName>
    <definedName name="_xlnm.Print_Area" localSheetId="18">'По дежурству'!$A$1:$J$72</definedName>
    <definedName name="_xlnm.Print_Area" localSheetId="28">После.опер.дневник!$A$1:$I$67</definedName>
    <definedName name="_xlnm.Print_Area" localSheetId="29">Рапорт!$A$1:$H$35</definedName>
    <definedName name="_xlnm.Print_Area" localSheetId="25">Собачка!$A$1:$C$18</definedName>
    <definedName name="_xlnm.Print_Area" localSheetId="4">Согласия!$A$1:$V$48</definedName>
    <definedName name="_xlnm.Print_Area" localSheetId="27">Энурез!$A$1:$O$88</definedName>
    <definedName name="_xlnm.Print_Area" localSheetId="16">'Этапный эпикриз'!$A$1:$H$25</definedName>
    <definedName name="_xlnm.Print_Area" localSheetId="10">'Этапный эпикриз '!$A$1:$O$42</definedName>
    <definedName name="Обследование_дневник" localSheetId="2">'Осмотр зав'!$A$6</definedName>
    <definedName name="Обследование_дневник">Дневник!$A$7</definedName>
    <definedName name="Объективно" localSheetId="12">Данные!#REF!</definedName>
    <definedName name="Объективно" localSheetId="11">Данные!#REF!</definedName>
    <definedName name="Объективно" localSheetId="3">Данные!#REF!</definedName>
    <definedName name="Объективно" localSheetId="19">Данные!#REF!</definedName>
    <definedName name="Объективно" localSheetId="10">Данные!#REF!</definedName>
    <definedName name="Объективно">Данные!#REF!</definedName>
    <definedName name="ОПЕРАЦИЯ" localSheetId="12">'Карта ЦС'!#REF!</definedName>
    <definedName name="ОПЕРАЦИЯ">Операция!$A$42</definedName>
    <definedName name="Оперирующий.хирург">Данные!$G$21</definedName>
    <definedName name="ПЕРЕВОДНОЙ">Данные!$L$13</definedName>
    <definedName name="План_дообследования" localSheetId="12">Данные!#REF!</definedName>
    <definedName name="План_дообследования" localSheetId="11">Данные!#REF!</definedName>
    <definedName name="План_дообследования" localSheetId="3">Данные!#REF!</definedName>
    <definedName name="План_дообследования" localSheetId="19">Данные!#REF!</definedName>
    <definedName name="План_дообследования" localSheetId="2">Данные!#REF!</definedName>
    <definedName name="План_дообследования" localSheetId="27">Данные!#REF!</definedName>
    <definedName name="План_дообследования" localSheetId="10">Данные!#REF!</definedName>
    <definedName name="План_дообследования">Данные!#REF!</definedName>
    <definedName name="Планируемое_оперативное_вмешательство__проведенное">Данные!$C$27</definedName>
    <definedName name="Показание_для_операции">Данные!$C$25</definedName>
    <definedName name="ПОЛ">Данные!$L$25</definedName>
    <definedName name="Посев_мочи">Данные!$K$18</definedName>
    <definedName name="Радикальность_операции">Данные!$C$30</definedName>
    <definedName name="реакция_мочи">Ссылки!$G$1:$G$2</definedName>
    <definedName name="Рекомендации_дневник" localSheetId="2">'Осмотр зав'!#REF!</definedName>
    <definedName name="Рекомендации_дневник">Дневник!$A$18</definedName>
    <definedName name="Ректально" localSheetId="12">Данные!#REF!</definedName>
    <definedName name="Ректально" localSheetId="11">Данные!#REF!</definedName>
    <definedName name="Ректально" localSheetId="3">Данные!#REF!</definedName>
    <definedName name="Ректально" localSheetId="19">Данные!#REF!</definedName>
    <definedName name="Ректально" localSheetId="10">Данные!#REF!</definedName>
    <definedName name="Ректально">Данные!#REF!</definedName>
    <definedName name="РОСТ__см">Данные!$M$10</definedName>
    <definedName name="СКФ_MDRD">Номограммы!$B$9</definedName>
    <definedName name="СКФ_Кокрофт">Номограммы!$B$12</definedName>
    <definedName name="соли_мочи">Ссылки!$F$4:$F$6</definedName>
    <definedName name="Сопутствующий_диагноз">Данные!$C$24</definedName>
    <definedName name="Состояние_дневник" localSheetId="2">'Осмотр зав'!$A$5</definedName>
    <definedName name="Состояние_дневник">Дневник!$A$6</definedName>
    <definedName name="Состояние_при_выписке" localSheetId="11">'Консилиум 5 препаратов'!#REF!</definedName>
    <definedName name="Состояние_при_выписке" localSheetId="27">Энурез!$A$35</definedName>
    <definedName name="Состояние_при_выписке" localSheetId="10">'Этапный эпикриз '!#REF!</definedName>
    <definedName name="Состояние_при_выписке">Выписка!$A$40</definedName>
    <definedName name="список_операций" localSheetId="12">OFFSET(Ссылки!#REF!,0,0,COUNTA(Ссылки!$F:$F),2)</definedName>
    <definedName name="список_операций" localSheetId="11">OFFSET(Ссылки!#REF!,0,0,COUNTA(Ссылки!$F:$F),2)</definedName>
    <definedName name="список_операций" localSheetId="3">OFFSET(Ссылки!#REF!,0,0,COUNTA(Ссылки!$F:$F),2)</definedName>
    <definedName name="список_операций" localSheetId="19">OFFSET(Ссылки!#REF!,0,0,COUNTA(Ссылки!$F:$F),2)</definedName>
    <definedName name="список_операций" localSheetId="10">OFFSET(Ссылки!#REF!,0,0,COUNTA(Ссылки!$F:$F),2)</definedName>
    <definedName name="список_операций">OFFSET(Ссылки!#REF!,0,0,COUNTA(Ссылки!$F:$F),2)</definedName>
    <definedName name="Телефон">Данные!$C$10</definedName>
    <definedName name="Трансфузии">Данные!$C$16</definedName>
    <definedName name="трудовой_анамнез">Данные!$C$15</definedName>
    <definedName name="трудоспособ">Ссылки!$D$2:$D$9</definedName>
    <definedName name="Трудоспособность">Данные!$C$32</definedName>
    <definedName name="ФИО">Данные!$C$4</definedName>
    <definedName name="Химиотерапия">Данные!$E$25</definedName>
    <definedName name="Цель_операции">Данные!$C$26</definedName>
    <definedName name="ЭКГ_дата" localSheetId="12">Данные!#REF!</definedName>
    <definedName name="ЭКГ_дата" localSheetId="11">Данные!#REF!</definedName>
    <definedName name="ЭКГ_дата" localSheetId="3">Данные!#REF!</definedName>
    <definedName name="ЭКГ_дата" localSheetId="19">Данные!#REF!</definedName>
    <definedName name="ЭКГ_дата" localSheetId="2">Данные!#REF!</definedName>
    <definedName name="ЭКГ_дата" localSheetId="27">Данные!#REF!</definedName>
    <definedName name="ЭКГ_дата" localSheetId="10">Данные!#REF!</definedName>
    <definedName name="ЭКГ_дата">Данные!#REF!</definedName>
    <definedName name="ЭКГ_результат">Данные!$K$17</definedName>
  </definedNames>
  <calcPr calcId="144525"/>
</workbook>
</file>

<file path=xl/calcChain.xml><?xml version="1.0" encoding="utf-8"?>
<calcChain xmlns="http://schemas.openxmlformats.org/spreadsheetml/2006/main">
  <c r="C47" i="48" l="1"/>
  <c r="G48" i="5" l="1"/>
  <c r="G45" i="5"/>
  <c r="G42" i="5"/>
  <c r="F8" i="1" l="1"/>
  <c r="F2" i="1"/>
  <c r="I3" i="15" l="1"/>
  <c r="F3" i="8"/>
  <c r="H3" i="3"/>
  <c r="F26" i="3"/>
  <c r="A5" i="49" l="1"/>
  <c r="D8" i="49"/>
  <c r="L42" i="49"/>
  <c r="I42" i="49"/>
  <c r="L41" i="49"/>
  <c r="U40" i="49"/>
  <c r="S40" i="49"/>
  <c r="S39" i="49"/>
  <c r="Q37" i="49"/>
  <c r="Q36" i="49"/>
  <c r="C33" i="49"/>
  <c r="A33" i="49"/>
  <c r="Q31" i="49"/>
  <c r="A29" i="49"/>
  <c r="Q29" i="49" s="1"/>
  <c r="Q27" i="49"/>
  <c r="A27" i="49"/>
  <c r="A25" i="49"/>
  <c r="Q25" i="49" s="1"/>
  <c r="F23" i="49"/>
  <c r="D22" i="49"/>
  <c r="A21" i="49"/>
  <c r="Q21" i="49" s="1"/>
  <c r="A19" i="49"/>
  <c r="Q19" i="49" s="1"/>
  <c r="C17" i="49"/>
  <c r="T17" i="49" s="1"/>
  <c r="A16" i="49"/>
  <c r="Q16" i="49" s="1"/>
  <c r="A15" i="49"/>
  <c r="A14" i="49"/>
  <c r="Q14" i="49" s="1"/>
  <c r="A12" i="49"/>
  <c r="Q12" i="49" s="1"/>
  <c r="H10" i="49"/>
  <c r="D9" i="49"/>
  <c r="I8" i="49"/>
  <c r="C7" i="49"/>
  <c r="O5" i="49"/>
  <c r="C5" i="2" l="1"/>
  <c r="J3" i="2" l="1"/>
  <c r="K1" i="2" l="1"/>
  <c r="O5" i="5"/>
  <c r="D8" i="5"/>
  <c r="C1" i="48" l="1"/>
  <c r="C3" i="48"/>
  <c r="C2" i="48"/>
  <c r="C1" i="43" l="1"/>
  <c r="B4" i="3" l="1"/>
  <c r="A4" i="8"/>
  <c r="C4" i="8"/>
  <c r="D4" i="3"/>
  <c r="D2" i="2" l="1"/>
  <c r="F1" i="47" l="1"/>
  <c r="C42" i="47"/>
  <c r="C3" i="47"/>
  <c r="C2" i="47"/>
  <c r="H68" i="3"/>
  <c r="G68" i="3"/>
  <c r="H52" i="5"/>
  <c r="A10" i="8"/>
  <c r="A65" i="8"/>
  <c r="U24" i="17"/>
  <c r="B36" i="17"/>
  <c r="A59" i="8"/>
  <c r="B46" i="17"/>
  <c r="A5" i="46"/>
  <c r="L42" i="46"/>
  <c r="I42" i="46"/>
  <c r="L41" i="46"/>
  <c r="U40" i="46"/>
  <c r="S40" i="46"/>
  <c r="S39" i="46"/>
  <c r="Q37" i="46"/>
  <c r="Q36" i="46"/>
  <c r="C33" i="46"/>
  <c r="A33" i="46"/>
  <c r="Q31" i="46"/>
  <c r="A30" i="46"/>
  <c r="Q30" i="46" s="1"/>
  <c r="A29" i="46"/>
  <c r="Q29" i="46" s="1"/>
  <c r="A27" i="46"/>
  <c r="Q27" i="46" s="1"/>
  <c r="A25" i="46"/>
  <c r="Q25" i="46" s="1"/>
  <c r="F23" i="46"/>
  <c r="D22" i="46"/>
  <c r="A21" i="46"/>
  <c r="Q21" i="46" s="1"/>
  <c r="A19" i="46"/>
  <c r="Q19" i="46" s="1"/>
  <c r="C17" i="46"/>
  <c r="T17" i="46" s="1"/>
  <c r="A16" i="46"/>
  <c r="Q16" i="46" s="1"/>
  <c r="A15" i="46"/>
  <c r="A14" i="46"/>
  <c r="Q14" i="46" s="1"/>
  <c r="A12" i="46"/>
  <c r="Q12" i="46" s="1"/>
  <c r="K10" i="46"/>
  <c r="H10" i="46"/>
  <c r="D9" i="46"/>
  <c r="I8" i="46"/>
  <c r="D8" i="46"/>
  <c r="C7" i="46"/>
  <c r="O5" i="46"/>
  <c r="H3" i="15"/>
  <c r="F3" i="15"/>
  <c r="A33" i="42"/>
  <c r="E11" i="2"/>
  <c r="B62" i="3"/>
  <c r="K62" i="3" s="1"/>
  <c r="C61" i="3"/>
  <c r="L61" i="3" s="1"/>
  <c r="C6" i="45"/>
  <c r="B5" i="45"/>
  <c r="F4" i="45"/>
  <c r="C4" i="45"/>
  <c r="F3" i="45"/>
  <c r="B3" i="45"/>
  <c r="S132" i="5"/>
  <c r="A58" i="5"/>
  <c r="B9" i="3"/>
  <c r="K9" i="3" s="1"/>
  <c r="A2" i="15"/>
  <c r="C13" i="15" s="1"/>
  <c r="A6" i="43"/>
  <c r="A21" i="2"/>
  <c r="P21" i="2" s="1"/>
  <c r="C3" i="43"/>
  <c r="A7" i="2"/>
  <c r="P7" i="2" s="1"/>
  <c r="H30" i="42"/>
  <c r="C52" i="8"/>
  <c r="A27" i="5"/>
  <c r="Q27" i="5" s="1"/>
  <c r="A25" i="5"/>
  <c r="Q25" i="5" s="1"/>
  <c r="B44" i="3"/>
  <c r="K44" i="3" s="1"/>
  <c r="B42" i="3"/>
  <c r="K42" i="3" s="1"/>
  <c r="A16" i="2"/>
  <c r="P16" i="2" s="1"/>
  <c r="A18" i="2"/>
  <c r="P18" i="2" s="1"/>
  <c r="G4" i="2"/>
  <c r="A1" i="42"/>
  <c r="G7" i="42" s="1"/>
  <c r="A51" i="8"/>
  <c r="C3" i="38"/>
  <c r="I3" i="38"/>
  <c r="D6" i="38"/>
  <c r="K14" i="38"/>
  <c r="K22" i="38"/>
  <c r="C4" i="36"/>
  <c r="C5" i="36"/>
  <c r="G10" i="36"/>
  <c r="C14" i="36"/>
  <c r="B17" i="36"/>
  <c r="G17" i="36" s="1"/>
  <c r="B19" i="36"/>
  <c r="G19" i="36" s="1"/>
  <c r="D20" i="36"/>
  <c r="C21" i="36"/>
  <c r="C22" i="36"/>
  <c r="B3" i="35"/>
  <c r="AP3" i="35"/>
  <c r="B6" i="35"/>
  <c r="B9" i="35"/>
  <c r="B12" i="35"/>
  <c r="AP12" i="35"/>
  <c r="B15" i="35"/>
  <c r="AP21" i="35"/>
  <c r="AR3" i="35" s="1"/>
  <c r="O13" i="35" s="1"/>
  <c r="G30" i="35"/>
  <c r="B42" i="35"/>
  <c r="B45" i="35"/>
  <c r="B48" i="35"/>
  <c r="B51" i="35"/>
  <c r="B54" i="35"/>
  <c r="AP148" i="35"/>
  <c r="AP160" i="35"/>
  <c r="AP167" i="35"/>
  <c r="AP172" i="35"/>
  <c r="AP177" i="35"/>
  <c r="AP182" i="35"/>
  <c r="AQ182" i="35"/>
  <c r="O31" i="35" s="1"/>
  <c r="AP325" i="35"/>
  <c r="AR325" i="35"/>
  <c r="AR333" i="35"/>
  <c r="AP551" i="35"/>
  <c r="AR551" i="35"/>
  <c r="AR558" i="35"/>
  <c r="AR565" i="35"/>
  <c r="AR573" i="35"/>
  <c r="C7" i="34"/>
  <c r="D8" i="34"/>
  <c r="L11" i="34"/>
  <c r="L13" i="34"/>
  <c r="L16" i="34"/>
  <c r="L18" i="34"/>
  <c r="M19" i="34"/>
  <c r="M20" i="34"/>
  <c r="E21" i="34"/>
  <c r="M23" i="34"/>
  <c r="B24" i="34"/>
  <c r="A29" i="34"/>
  <c r="C31" i="34"/>
  <c r="B33" i="34"/>
  <c r="L34" i="34"/>
  <c r="L36" i="34"/>
  <c r="C37" i="34"/>
  <c r="B4" i="32"/>
  <c r="C4" i="32"/>
  <c r="D4" i="32"/>
  <c r="F4" i="32"/>
  <c r="G4" i="32"/>
  <c r="H4" i="32"/>
  <c r="J4" i="32"/>
  <c r="K4" i="32"/>
  <c r="L4" i="32"/>
  <c r="M4" i="32"/>
  <c r="N4" i="32"/>
  <c r="O4" i="32"/>
  <c r="P4" i="32"/>
  <c r="Q4" i="32"/>
  <c r="R4" i="32"/>
  <c r="S4" i="32"/>
  <c r="T4" i="32"/>
  <c r="U4" i="32"/>
  <c r="V4" i="32"/>
  <c r="W4" i="32"/>
  <c r="X4" i="32"/>
  <c r="Y4" i="32"/>
  <c r="Z4" i="32"/>
  <c r="AA4" i="32"/>
  <c r="AB4" i="32"/>
  <c r="AC4" i="32"/>
  <c r="AD4" i="32"/>
  <c r="AE4" i="32"/>
  <c r="AF4" i="32"/>
  <c r="AG4" i="32"/>
  <c r="AH4" i="32"/>
  <c r="AI4" i="32"/>
  <c r="AJ4" i="32"/>
  <c r="AK4" i="32"/>
  <c r="AL4" i="32"/>
  <c r="AM4" i="32"/>
  <c r="AN4" i="32"/>
  <c r="AO4" i="32"/>
  <c r="BE4" i="32" s="1"/>
  <c r="AP4" i="32"/>
  <c r="AR4" i="32"/>
  <c r="AS4" i="32"/>
  <c r="AT4" i="32"/>
  <c r="AU4" i="32"/>
  <c r="AV4" i="32"/>
  <c r="AW4" i="32"/>
  <c r="AX4" i="32"/>
  <c r="AY4" i="32"/>
  <c r="AZ4" i="32"/>
  <c r="BA4" i="32"/>
  <c r="BB4" i="32"/>
  <c r="BC4" i="32"/>
  <c r="BD4" i="32"/>
  <c r="BI4" i="32"/>
  <c r="BJ4" i="32"/>
  <c r="BK4" i="32"/>
  <c r="BL4" i="32"/>
  <c r="BM4" i="32"/>
  <c r="BN4" i="32"/>
  <c r="BO4" i="32"/>
  <c r="BP4" i="32"/>
  <c r="BQ4" i="32"/>
  <c r="BR4" i="32"/>
  <c r="BS4" i="32"/>
  <c r="BT4" i="32"/>
  <c r="BU4" i="32"/>
  <c r="BV4" i="32"/>
  <c r="BW4" i="32"/>
  <c r="BX4" i="32"/>
  <c r="BY4" i="32"/>
  <c r="BZ4" i="32"/>
  <c r="CA4" i="32"/>
  <c r="CB4" i="32"/>
  <c r="CC4" i="32"/>
  <c r="CD4" i="32"/>
  <c r="CE4" i="32"/>
  <c r="CF4" i="32"/>
  <c r="CG4" i="32"/>
  <c r="CH4" i="32"/>
  <c r="CI4" i="32"/>
  <c r="CJ4" i="32"/>
  <c r="CK4" i="32"/>
  <c r="CL4" i="32"/>
  <c r="CM4" i="32"/>
  <c r="CN4" i="32"/>
  <c r="CO4" i="32"/>
  <c r="CP4" i="32"/>
  <c r="CQ4" i="32"/>
  <c r="CR4" i="32"/>
  <c r="CS4" i="32"/>
  <c r="CT4" i="32"/>
  <c r="CU4" i="32"/>
  <c r="CV4" i="32"/>
  <c r="CW4" i="32"/>
  <c r="CX4" i="32"/>
  <c r="CY4" i="32"/>
  <c r="CZ4" i="32"/>
  <c r="DA4" i="32"/>
  <c r="DB4" i="32"/>
  <c r="DC4" i="32"/>
  <c r="DD4" i="32"/>
  <c r="DE4" i="32"/>
  <c r="DF4" i="32"/>
  <c r="DG4" i="32"/>
  <c r="DH4" i="32"/>
  <c r="DI4" i="32"/>
  <c r="DJ4" i="32"/>
  <c r="DK4" i="32"/>
  <c r="DL4" i="32"/>
  <c r="DM4" i="32"/>
  <c r="DN4" i="32"/>
  <c r="DO4" i="32"/>
  <c r="DP4" i="32"/>
  <c r="F9" i="30"/>
  <c r="I10" i="30"/>
  <c r="D12" i="30"/>
  <c r="L12" i="30" s="1"/>
  <c r="D14" i="30"/>
  <c r="L14" i="30" s="1"/>
  <c r="D20" i="30"/>
  <c r="L20" i="30" s="1"/>
  <c r="E22" i="30"/>
  <c r="C23" i="30"/>
  <c r="F4" i="29"/>
  <c r="F6" i="29"/>
  <c r="B10" i="29"/>
  <c r="F11" i="29"/>
  <c r="A14" i="29"/>
  <c r="I14" i="29" s="1"/>
  <c r="A15" i="29"/>
  <c r="A16" i="29"/>
  <c r="I16" i="29" s="1"/>
  <c r="I18" i="29"/>
  <c r="I20" i="29"/>
  <c r="I22" i="29"/>
  <c r="G28" i="29"/>
  <c r="D29" i="29"/>
  <c r="G29" i="29"/>
  <c r="D34" i="29"/>
  <c r="A1" i="27"/>
  <c r="C8" i="27" s="1"/>
  <c r="K3" i="27"/>
  <c r="L4" i="27"/>
  <c r="K6" i="27"/>
  <c r="K7" i="27"/>
  <c r="D8" i="27"/>
  <c r="A10" i="27"/>
  <c r="K10" i="27" s="1"/>
  <c r="A11" i="27"/>
  <c r="A12" i="27"/>
  <c r="K12" i="27" s="1"/>
  <c r="K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G66" i="27"/>
  <c r="H66" i="27"/>
  <c r="G67" i="27"/>
  <c r="H67" i="27"/>
  <c r="N5" i="33"/>
  <c r="C7" i="33"/>
  <c r="D8" i="33"/>
  <c r="I8" i="33"/>
  <c r="D9" i="33"/>
  <c r="K11" i="33"/>
  <c r="A13" i="33"/>
  <c r="Q13" i="33" s="1"/>
  <c r="A15" i="33"/>
  <c r="Q15" i="33" s="1"/>
  <c r="A16" i="33"/>
  <c r="A17" i="33"/>
  <c r="Q17" i="33" s="1"/>
  <c r="A19" i="33"/>
  <c r="Q19" i="33" s="1"/>
  <c r="A21" i="33"/>
  <c r="Q21" i="33" s="1"/>
  <c r="A23" i="33"/>
  <c r="Q23" i="33" s="1"/>
  <c r="D24" i="33"/>
  <c r="F25" i="33"/>
  <c r="A27" i="33"/>
  <c r="Q27" i="33" s="1"/>
  <c r="A28" i="33"/>
  <c r="A29" i="33"/>
  <c r="Q29" i="33" s="1"/>
  <c r="A31" i="33"/>
  <c r="Q31" i="33" s="1"/>
  <c r="A32" i="33"/>
  <c r="Q32" i="33" s="1"/>
  <c r="J33" i="33"/>
  <c r="Q34" i="33"/>
  <c r="Q35" i="33"/>
  <c r="L38" i="33"/>
  <c r="I40" i="33"/>
  <c r="L40" i="33"/>
  <c r="F50" i="33"/>
  <c r="B52" i="33"/>
  <c r="I52" i="33"/>
  <c r="F57" i="33"/>
  <c r="F60" i="33"/>
  <c r="A62" i="33"/>
  <c r="Q62" i="33" s="1"/>
  <c r="Q63" i="33"/>
  <c r="A64" i="33"/>
  <c r="Q64" i="33" s="1"/>
  <c r="Q65" i="33"/>
  <c r="A66" i="33"/>
  <c r="Q66" i="33" s="1"/>
  <c r="D67" i="33"/>
  <c r="Q67" i="33"/>
  <c r="F68" i="33"/>
  <c r="Q68" i="33"/>
  <c r="Q69" i="33"/>
  <c r="A70" i="33"/>
  <c r="Q70" i="33" s="1"/>
  <c r="A71" i="33"/>
  <c r="Q71" i="33" s="1"/>
  <c r="A72" i="33"/>
  <c r="Q72" i="33" s="1"/>
  <c r="Q73" i="33"/>
  <c r="A74" i="33"/>
  <c r="Q74" i="33" s="1"/>
  <c r="A75" i="33"/>
  <c r="Q75" i="33" s="1"/>
  <c r="A77" i="33"/>
  <c r="Q77" i="33" s="1"/>
  <c r="F82" i="33"/>
  <c r="K82" i="33"/>
  <c r="K84" i="33"/>
  <c r="D5" i="31"/>
  <c r="D6" i="31"/>
  <c r="D8" i="31"/>
  <c r="F8" i="31"/>
  <c r="G9" i="31"/>
  <c r="B11" i="31"/>
  <c r="M11" i="31" s="1"/>
  <c r="D12" i="31"/>
  <c r="B14" i="31"/>
  <c r="M14" i="31" s="1"/>
  <c r="M16" i="31"/>
  <c r="N20" i="31"/>
  <c r="N21" i="31"/>
  <c r="N22" i="31"/>
  <c r="N23" i="31"/>
  <c r="N24" i="31"/>
  <c r="N25" i="31"/>
  <c r="N26" i="31"/>
  <c r="N27" i="31"/>
  <c r="N28" i="31"/>
  <c r="N29" i="31"/>
  <c r="N30" i="31"/>
  <c r="N31" i="31"/>
  <c r="N32" i="31"/>
  <c r="N33" i="31"/>
  <c r="N34" i="31"/>
  <c r="N35" i="31"/>
  <c r="N36" i="31"/>
  <c r="N37" i="31"/>
  <c r="N38" i="31"/>
  <c r="N39" i="31"/>
  <c r="N40" i="31"/>
  <c r="N41" i="31"/>
  <c r="N42" i="31"/>
  <c r="N43" i="31"/>
  <c r="N44" i="31"/>
  <c r="N45" i="31"/>
  <c r="N46" i="31"/>
  <c r="N47" i="31"/>
  <c r="N48" i="31"/>
  <c r="N49" i="31"/>
  <c r="N50" i="31"/>
  <c r="N51" i="31"/>
  <c r="N52" i="31"/>
  <c r="N53" i="31"/>
  <c r="N54" i="31"/>
  <c r="N55" i="31"/>
  <c r="N56" i="31"/>
  <c r="N57" i="31"/>
  <c r="N58" i="31"/>
  <c r="N59" i="31"/>
  <c r="N60" i="31"/>
  <c r="N61" i="31"/>
  <c r="N62" i="31"/>
  <c r="N63" i="31"/>
  <c r="N64" i="31"/>
  <c r="N65" i="31"/>
  <c r="N66" i="31"/>
  <c r="N67" i="31"/>
  <c r="N68" i="31"/>
  <c r="N69" i="31"/>
  <c r="N70" i="31"/>
  <c r="N71" i="31"/>
  <c r="N72" i="31"/>
  <c r="N73" i="31"/>
  <c r="N74" i="31"/>
  <c r="N75" i="31"/>
  <c r="N76" i="31"/>
  <c r="N77" i="31"/>
  <c r="N78" i="31"/>
  <c r="N79" i="31"/>
  <c r="N80" i="31"/>
  <c r="N81" i="31"/>
  <c r="I82" i="31"/>
  <c r="N82" i="31"/>
  <c r="N83" i="31"/>
  <c r="N84" i="31"/>
  <c r="N85" i="31"/>
  <c r="N86" i="31"/>
  <c r="N87" i="31"/>
  <c r="A97" i="31"/>
  <c r="F97" i="31"/>
  <c r="I97" i="31"/>
  <c r="C1" i="7"/>
  <c r="C2" i="7"/>
  <c r="C3" i="7"/>
  <c r="C5" i="7"/>
  <c r="E5" i="7" s="1"/>
  <c r="C6" i="7"/>
  <c r="C7" i="7"/>
  <c r="E7" i="7" s="1"/>
  <c r="C8" i="7"/>
  <c r="C10" i="7"/>
  <c r="C13" i="7"/>
  <c r="E13" i="7" s="1"/>
  <c r="C18" i="7"/>
  <c r="G6" i="6"/>
  <c r="E15" i="6"/>
  <c r="B16" i="6"/>
  <c r="C17" i="6"/>
  <c r="C18" i="6"/>
  <c r="N18" i="6" s="1"/>
  <c r="C20" i="6"/>
  <c r="B21" i="6"/>
  <c r="D23" i="6"/>
  <c r="A27" i="6"/>
  <c r="M27" i="6" s="1"/>
  <c r="A28" i="6"/>
  <c r="A29" i="6"/>
  <c r="M29" i="6" s="1"/>
  <c r="A32" i="6"/>
  <c r="M32" i="6" s="1"/>
  <c r="B33" i="6"/>
  <c r="A35" i="6"/>
  <c r="C35" i="6"/>
  <c r="N35" i="6" s="1"/>
  <c r="A51" i="6"/>
  <c r="C51" i="6"/>
  <c r="N51" i="6" s="1"/>
  <c r="A52" i="6"/>
  <c r="A64" i="6"/>
  <c r="F64" i="6"/>
  <c r="L7" i="12"/>
  <c r="H8" i="12"/>
  <c r="I9" i="12"/>
  <c r="C13" i="12"/>
  <c r="E16" i="12"/>
  <c r="A18" i="12"/>
  <c r="N18" i="12" s="1"/>
  <c r="A19" i="12"/>
  <c r="A20" i="12"/>
  <c r="N20" i="12" s="1"/>
  <c r="D31" i="12"/>
  <c r="F99" i="12"/>
  <c r="F102" i="12"/>
  <c r="F106" i="12"/>
  <c r="A11" i="10"/>
  <c r="I11" i="10"/>
  <c r="A16" i="10"/>
  <c r="B16" i="10"/>
  <c r="J16" i="10"/>
  <c r="B17" i="10"/>
  <c r="J17" i="10"/>
  <c r="A20" i="10"/>
  <c r="I20" i="10"/>
  <c r="E21" i="10"/>
  <c r="M21" i="10"/>
  <c r="K41" i="10"/>
  <c r="K42" i="10"/>
  <c r="B44" i="10"/>
  <c r="C44" i="10"/>
  <c r="C45" i="10"/>
  <c r="F6" i="9"/>
  <c r="E9" i="9"/>
  <c r="C11" i="9"/>
  <c r="F12" i="9"/>
  <c r="C13" i="9"/>
  <c r="B15" i="9"/>
  <c r="L15" i="9"/>
  <c r="H16" i="9"/>
  <c r="B18" i="9"/>
  <c r="L18" i="9" s="1"/>
  <c r="B19" i="9"/>
  <c r="B20" i="9"/>
  <c r="L20" i="9" s="1"/>
  <c r="L22" i="9"/>
  <c r="L24" i="9"/>
  <c r="B55" i="9"/>
  <c r="C55" i="9"/>
  <c r="C57" i="9"/>
  <c r="A1" i="25"/>
  <c r="G7" i="25" s="1"/>
  <c r="L4" i="25"/>
  <c r="L6" i="25"/>
  <c r="A9" i="25"/>
  <c r="L9" i="25" s="1"/>
  <c r="L10" i="25"/>
  <c r="A61" i="25"/>
  <c r="F67" i="25" s="1"/>
  <c r="L64" i="25"/>
  <c r="L66" i="25"/>
  <c r="L69" i="25"/>
  <c r="L70" i="25"/>
  <c r="M71" i="25"/>
  <c r="G72" i="25"/>
  <c r="N9" i="17"/>
  <c r="B11" i="17"/>
  <c r="D12" i="17"/>
  <c r="A17" i="17"/>
  <c r="W17" i="17" s="1"/>
  <c r="O24" i="17"/>
  <c r="Q31" i="17"/>
  <c r="J44" i="17"/>
  <c r="Q44" i="17"/>
  <c r="J46" i="17"/>
  <c r="A1" i="23"/>
  <c r="F5" i="23"/>
  <c r="C8" i="23"/>
  <c r="H8" i="23"/>
  <c r="D9" i="23"/>
  <c r="H9" i="23"/>
  <c r="C10" i="23"/>
  <c r="B13" i="23"/>
  <c r="K13" i="23" s="1"/>
  <c r="B14" i="23"/>
  <c r="B15" i="23"/>
  <c r="K15" i="23" s="1"/>
  <c r="B17" i="23"/>
  <c r="K17" i="23" s="1"/>
  <c r="B18" i="23"/>
  <c r="K18" i="23" s="1"/>
  <c r="B19" i="23"/>
  <c r="K19" i="23" s="1"/>
  <c r="B20" i="23"/>
  <c r="K20" i="23" s="1"/>
  <c r="B23" i="23"/>
  <c r="K23" i="23" s="1"/>
  <c r="E31" i="23"/>
  <c r="H31" i="23"/>
  <c r="H35" i="23"/>
  <c r="B1" i="13"/>
  <c r="E3" i="13" s="1"/>
  <c r="J7" i="13"/>
  <c r="J9" i="13"/>
  <c r="J12" i="13"/>
  <c r="J14" i="13"/>
  <c r="A17" i="13"/>
  <c r="J17" i="13" s="1"/>
  <c r="A18" i="13"/>
  <c r="A19" i="13"/>
  <c r="J19" i="13" s="1"/>
  <c r="K22" i="13"/>
  <c r="L22" i="13"/>
  <c r="G24" i="13"/>
  <c r="B7" i="16"/>
  <c r="C9" i="16"/>
  <c r="E9" i="16"/>
  <c r="I9" i="16"/>
  <c r="I11" i="16"/>
  <c r="A14" i="16"/>
  <c r="L14" i="16" s="1"/>
  <c r="A15" i="16"/>
  <c r="A16" i="16"/>
  <c r="L16" i="16" s="1"/>
  <c r="A18" i="16"/>
  <c r="L18" i="16" s="1"/>
  <c r="A19" i="16"/>
  <c r="L19" i="16" s="1"/>
  <c r="C21" i="16"/>
  <c r="M21" i="16" s="1"/>
  <c r="E22" i="16"/>
  <c r="A25" i="16"/>
  <c r="L25" i="16" s="1"/>
  <c r="C29" i="16"/>
  <c r="M29" i="16" s="1"/>
  <c r="G31" i="16"/>
  <c r="G6" i="5"/>
  <c r="C7" i="5"/>
  <c r="I8" i="5"/>
  <c r="D9" i="5"/>
  <c r="K10" i="5"/>
  <c r="A12" i="5"/>
  <c r="Q12" i="5" s="1"/>
  <c r="A14" i="5"/>
  <c r="Q14" i="5" s="1"/>
  <c r="A15" i="5"/>
  <c r="A16" i="5"/>
  <c r="Q16" i="5" s="1"/>
  <c r="C17" i="5"/>
  <c r="T17" i="5" s="1"/>
  <c r="A19" i="5"/>
  <c r="Q19" i="5" s="1"/>
  <c r="A21" i="5"/>
  <c r="Q21" i="5" s="1"/>
  <c r="D22" i="5"/>
  <c r="F23" i="5"/>
  <c r="A29" i="5"/>
  <c r="Q29" i="5" s="1"/>
  <c r="A30" i="5"/>
  <c r="Q30" i="5" s="1"/>
  <c r="A31" i="5"/>
  <c r="Q31" i="5" s="1"/>
  <c r="A34" i="5"/>
  <c r="C34" i="5"/>
  <c r="A37" i="5"/>
  <c r="Q37" i="5" s="1"/>
  <c r="A38" i="5"/>
  <c r="Q38" i="5" s="1"/>
  <c r="A39" i="5"/>
  <c r="Q40" i="5"/>
  <c r="A44" i="5"/>
  <c r="B44" i="5"/>
  <c r="D44" i="5"/>
  <c r="F44" i="5"/>
  <c r="H44" i="5"/>
  <c r="I44" i="5"/>
  <c r="J44" i="5"/>
  <c r="K44" i="5"/>
  <c r="L44" i="5"/>
  <c r="M44" i="5"/>
  <c r="N44" i="5"/>
  <c r="A47" i="5"/>
  <c r="B47" i="5"/>
  <c r="D47" i="5"/>
  <c r="F47" i="5"/>
  <c r="H47" i="5"/>
  <c r="J47" i="5"/>
  <c r="L47" i="5"/>
  <c r="N47" i="5"/>
  <c r="A50" i="5"/>
  <c r="B50" i="5"/>
  <c r="E50" i="5"/>
  <c r="G50" i="5"/>
  <c r="I50" i="5"/>
  <c r="K50" i="5"/>
  <c r="M50" i="5"/>
  <c r="D51" i="5"/>
  <c r="G51" i="5"/>
  <c r="L51" i="5"/>
  <c r="J53" i="5"/>
  <c r="D54" i="5"/>
  <c r="A55" i="5"/>
  <c r="B55" i="5"/>
  <c r="R55" i="5" s="1"/>
  <c r="F56" i="5"/>
  <c r="H56" i="5"/>
  <c r="A57" i="5"/>
  <c r="C57" i="5"/>
  <c r="T57" i="5" s="1"/>
  <c r="A59" i="5"/>
  <c r="C59" i="5"/>
  <c r="E60" i="5"/>
  <c r="F61" i="5"/>
  <c r="A62" i="5"/>
  <c r="F62" i="5"/>
  <c r="S64" i="5"/>
  <c r="S65" i="5"/>
  <c r="S66" i="5"/>
  <c r="S67" i="5"/>
  <c r="S68" i="5"/>
  <c r="S69" i="5"/>
  <c r="S70" i="5"/>
  <c r="S71" i="5"/>
  <c r="S72" i="5"/>
  <c r="S73"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2" i="5"/>
  <c r="S103" i="5"/>
  <c r="S104" i="5"/>
  <c r="S105" i="5"/>
  <c r="S106" i="5"/>
  <c r="S107" i="5"/>
  <c r="S108" i="5"/>
  <c r="S109" i="5"/>
  <c r="S110" i="5"/>
  <c r="S111" i="5"/>
  <c r="S112" i="5"/>
  <c r="S113" i="5"/>
  <c r="S114" i="5"/>
  <c r="S115" i="5"/>
  <c r="S116" i="5"/>
  <c r="S117" i="5"/>
  <c r="S118" i="5"/>
  <c r="S119" i="5"/>
  <c r="S120" i="5"/>
  <c r="S121" i="5"/>
  <c r="S122" i="5"/>
  <c r="S123" i="5"/>
  <c r="S124" i="5"/>
  <c r="S125" i="5"/>
  <c r="S126" i="5"/>
  <c r="S127" i="5"/>
  <c r="S128" i="5"/>
  <c r="S129" i="5"/>
  <c r="S130" i="5"/>
  <c r="S131" i="5"/>
  <c r="S133" i="5"/>
  <c r="U133" i="5"/>
  <c r="L134" i="5"/>
  <c r="I135" i="5"/>
  <c r="L135" i="5"/>
  <c r="A1" i="28"/>
  <c r="G6" i="28" s="1"/>
  <c r="K5" i="28"/>
  <c r="D6" i="28"/>
  <c r="A8" i="28"/>
  <c r="K8" i="28" s="1"/>
  <c r="A9" i="28"/>
  <c r="A10" i="28"/>
  <c r="K10" i="28" s="1"/>
  <c r="K11" i="28"/>
  <c r="K12" i="28"/>
  <c r="H13" i="28"/>
  <c r="G14" i="28"/>
  <c r="H14" i="28"/>
  <c r="A16" i="28"/>
  <c r="G21" i="28" s="1"/>
  <c r="K20" i="28"/>
  <c r="D21" i="28"/>
  <c r="K22" i="28"/>
  <c r="K24" i="28"/>
  <c r="H25" i="28"/>
  <c r="G26" i="28"/>
  <c r="H26" i="28"/>
  <c r="L4" i="15"/>
  <c r="K6" i="15"/>
  <c r="K7" i="15"/>
  <c r="A15" i="15"/>
  <c r="K15" i="15" s="1"/>
  <c r="A16" i="15"/>
  <c r="A17" i="15"/>
  <c r="K17" i="15" s="1"/>
  <c r="K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H71" i="15"/>
  <c r="G72" i="15"/>
  <c r="H72"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B3" i="8"/>
  <c r="F4" i="8"/>
  <c r="B5" i="8"/>
  <c r="C8" i="8"/>
  <c r="I42" i="8"/>
  <c r="A43" i="8"/>
  <c r="I44" i="8"/>
  <c r="F53" i="8"/>
  <c r="H4" i="3"/>
  <c r="C5" i="3"/>
  <c r="B10" i="3"/>
  <c r="B11" i="3"/>
  <c r="K11" i="3" s="1"/>
  <c r="B13" i="3"/>
  <c r="K13" i="3" s="1"/>
  <c r="B15" i="3"/>
  <c r="K15" i="3" s="1"/>
  <c r="E17" i="3"/>
  <c r="B19" i="3"/>
  <c r="E19" i="3"/>
  <c r="B26" i="3"/>
  <c r="H26" i="3"/>
  <c r="B28" i="3"/>
  <c r="K28" i="3" s="1"/>
  <c r="B30" i="3"/>
  <c r="K30" i="3" s="1"/>
  <c r="B31" i="3"/>
  <c r="B32" i="3"/>
  <c r="K32" i="3" s="1"/>
  <c r="B34" i="3"/>
  <c r="K34" i="3" s="1"/>
  <c r="B36" i="3"/>
  <c r="K36" i="3" s="1"/>
  <c r="D37" i="3"/>
  <c r="M37" i="3" s="1"/>
  <c r="B39" i="3"/>
  <c r="K39" i="3" s="1"/>
  <c r="E40" i="3"/>
  <c r="B45" i="3"/>
  <c r="K45" i="3" s="1"/>
  <c r="B46" i="3"/>
  <c r="K46" i="3" s="1"/>
  <c r="B47" i="3"/>
  <c r="K47" i="3" s="1"/>
  <c r="B48" i="3"/>
  <c r="K48" i="3" s="1"/>
  <c r="B49" i="3"/>
  <c r="K49" i="3" s="1"/>
  <c r="B50" i="3"/>
  <c r="K50" i="3" s="1"/>
  <c r="B51" i="3"/>
  <c r="K51" i="3" s="1"/>
  <c r="B52" i="3"/>
  <c r="B53" i="3"/>
  <c r="B54" i="3"/>
  <c r="A55" i="3"/>
  <c r="B55" i="3"/>
  <c r="B57" i="3"/>
  <c r="A59" i="3"/>
  <c r="L63" i="3"/>
  <c r="L64" i="3"/>
  <c r="L65" i="3"/>
  <c r="H66" i="3"/>
  <c r="C2" i="43"/>
  <c r="E61" i="43"/>
  <c r="L3" i="42"/>
  <c r="K5" i="42"/>
  <c r="K6" i="42"/>
  <c r="A9" i="42"/>
  <c r="K9" i="42" s="1"/>
  <c r="A10" i="42"/>
  <c r="A11" i="42"/>
  <c r="K11" i="42" s="1"/>
  <c r="L12" i="42"/>
  <c r="L13" i="42"/>
  <c r="L14" i="42"/>
  <c r="L15" i="42"/>
  <c r="L16" i="42"/>
  <c r="L17" i="42"/>
  <c r="L18" i="42"/>
  <c r="L19" i="42"/>
  <c r="L20" i="42"/>
  <c r="L21" i="42"/>
  <c r="L22" i="42"/>
  <c r="L23" i="42"/>
  <c r="L24" i="42"/>
  <c r="L25" i="42"/>
  <c r="L26" i="42"/>
  <c r="L27" i="42"/>
  <c r="L28" i="42"/>
  <c r="L29" i="42"/>
  <c r="G31" i="42"/>
  <c r="H31" i="42"/>
  <c r="M44" i="42"/>
  <c r="M45" i="42"/>
  <c r="M46" i="42"/>
  <c r="M47" i="42"/>
  <c r="M48" i="42"/>
  <c r="M49" i="42"/>
  <c r="M50" i="42"/>
  <c r="M51" i="42"/>
  <c r="M52" i="42"/>
  <c r="M53" i="42"/>
  <c r="M54" i="42"/>
  <c r="M55" i="42"/>
  <c r="M56" i="42"/>
  <c r="M57" i="42"/>
  <c r="M58" i="42"/>
  <c r="M59" i="42"/>
  <c r="M60" i="42"/>
  <c r="M61" i="42"/>
  <c r="M62" i="42"/>
  <c r="M63" i="42"/>
  <c r="M64" i="42"/>
  <c r="M65" i="42"/>
  <c r="M66" i="42"/>
  <c r="M67" i="42"/>
  <c r="M68" i="42"/>
  <c r="M69" i="42"/>
  <c r="C1" i="2"/>
  <c r="K2" i="2"/>
  <c r="A9" i="2"/>
  <c r="P9" i="2" s="1"/>
  <c r="D10" i="2"/>
  <c r="A13" i="2"/>
  <c r="F14" i="2"/>
  <c r="A19" i="2"/>
  <c r="A20" i="2"/>
  <c r="P20" i="2" s="1"/>
  <c r="A23" i="2"/>
  <c r="P23" i="2" s="1"/>
  <c r="A24" i="2"/>
  <c r="A25" i="2"/>
  <c r="P25" i="2" s="1"/>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J56" i="2"/>
  <c r="L56" i="2"/>
  <c r="J57" i="2"/>
  <c r="L57" i="2"/>
  <c r="B2" i="1"/>
  <c r="C14" i="7" s="1"/>
  <c r="O10" i="1"/>
  <c r="I4" i="32"/>
  <c r="H13" i="1"/>
  <c r="B24" i="10" s="1"/>
  <c r="I13" i="1"/>
  <c r="I30" i="9" s="1"/>
  <c r="R15" i="1"/>
  <c r="R16" i="1"/>
  <c r="S18" i="1"/>
  <c r="R21" i="1"/>
  <c r="S24" i="1"/>
  <c r="O42" i="1"/>
  <c r="C17" i="7" s="1"/>
  <c r="E45" i="1"/>
  <c r="F45" i="1"/>
  <c r="C8" i="33" s="1"/>
  <c r="F28" i="1"/>
  <c r="BG4" i="32" s="1"/>
  <c r="B1" i="1"/>
  <c r="BF4" i="32" s="1"/>
  <c r="D6" i="3"/>
  <c r="B16" i="12"/>
  <c r="F7" i="43"/>
  <c r="H10" i="5"/>
  <c r="F6" i="43"/>
  <c r="H11" i="33"/>
  <c r="D22" i="6"/>
  <c r="B27" i="3"/>
  <c r="J25" i="1"/>
  <c r="E28" i="1" s="1"/>
  <c r="C9" i="7"/>
  <c r="C64" i="43"/>
  <c r="G28" i="9"/>
  <c r="C12" i="29"/>
  <c r="B60" i="33"/>
  <c r="C6" i="8"/>
  <c r="AP1" i="26"/>
  <c r="F5" i="1"/>
  <c r="E3" i="2"/>
  <c r="C6" i="28"/>
  <c r="A17" i="7"/>
  <c r="H30" i="9"/>
  <c r="C21" i="28" l="1"/>
  <c r="A23" i="28"/>
  <c r="K23" i="28" s="1"/>
  <c r="J24" i="10"/>
  <c r="F33" i="33"/>
  <c r="C12" i="7"/>
  <c r="AH1" i="26"/>
  <c r="H27" i="9"/>
  <c r="AQ551" i="35"/>
  <c r="O57" i="35" s="1"/>
  <c r="AR341" i="35"/>
  <c r="O43" i="35" s="1"/>
  <c r="F6" i="28"/>
  <c r="F7" i="42"/>
  <c r="E4" i="32"/>
  <c r="B11" i="29"/>
  <c r="B9" i="16"/>
  <c r="E10" i="30"/>
  <c r="H52" i="33"/>
  <c r="D3" i="13"/>
  <c r="F21" i="28"/>
  <c r="C7" i="42"/>
  <c r="G13" i="15"/>
  <c r="A3" i="13"/>
  <c r="F13" i="15"/>
  <c r="F7" i="25"/>
  <c r="G67" i="25"/>
  <c r="C67" i="25"/>
  <c r="C7" i="25"/>
  <c r="C9" i="23"/>
  <c r="J13" i="12"/>
  <c r="F24" i="6"/>
  <c r="C6" i="36"/>
  <c r="C15" i="36"/>
  <c r="C11" i="7"/>
  <c r="BH4" i="32"/>
</calcChain>
</file>

<file path=xl/comments1.xml><?xml version="1.0" encoding="utf-8"?>
<comments xmlns="http://schemas.openxmlformats.org/spreadsheetml/2006/main">
  <authors>
    <author>Автор</author>
  </authors>
  <commentList>
    <comment ref="C6" authorId="0">
      <text>
        <r>
          <rPr>
            <sz val="9"/>
            <color indexed="81"/>
            <rFont val="Tahoma"/>
            <family val="2"/>
            <charset val="204"/>
          </rPr>
          <t>Все поля с датами заполняются БЕЗ БУКВ</t>
        </r>
      </text>
    </comment>
    <comment ref="F13" authorId="0">
      <text>
        <r>
          <rPr>
            <b/>
            <sz val="11"/>
            <color indexed="81"/>
            <rFont val="Tahoma"/>
            <family val="2"/>
            <charset val="204"/>
          </rPr>
          <t>1 - уретропластика кожным лоскутом
2 - ЛСК простатэктомия
3 - ЛСК цистэктомия
4 - ЛСК тазовая лимфаденэктомия
5 - ЛСК нефрэктомия, забор донорской почки
6 - ЛСК иссечение кисты почки
7 - ЛСК пластика ЛМС
8 - ЛСК нефруретерэктомия
9 - ЛСК резекция почки
10 - ЧПНЛТ
11 - Слинговые операции</t>
        </r>
      </text>
    </comment>
    <comment ref="K13" authorId="0">
      <text>
        <r>
          <rPr>
            <b/>
            <sz val="10"/>
            <color indexed="81"/>
            <rFont val="Tahoma"/>
            <family val="2"/>
            <charset val="204"/>
          </rPr>
          <t>При наличии исполняющего обязанности заведующего отделением</t>
        </r>
      </text>
    </comment>
    <comment ref="C25" authorId="0">
      <text>
        <r>
          <rPr>
            <sz val="9"/>
            <color indexed="81"/>
            <rFont val="Tahoma"/>
            <family val="2"/>
            <charset val="204"/>
          </rPr>
          <t>В конце предложения указывается "больному показано оперативное лечение."</t>
        </r>
      </text>
    </comment>
  </commentList>
</comments>
</file>

<file path=xl/comments2.xml><?xml version="1.0" encoding="utf-8"?>
<comments xmlns="http://schemas.openxmlformats.org/spreadsheetml/2006/main">
  <authors>
    <author>Автор</author>
  </authors>
  <commentList>
    <comment ref="F26" authorId="0">
      <text>
        <r>
          <rPr>
            <sz val="11"/>
            <color indexed="81"/>
            <rFont val="Tahoma"/>
            <family val="2"/>
            <charset val="204"/>
          </rPr>
          <t>Первая строчка в окнах, начинающихся на "!" удаляется</t>
        </r>
      </text>
    </comment>
  </commentList>
</comments>
</file>

<file path=xl/comments3.xml><?xml version="1.0" encoding="utf-8"?>
<comments xmlns="http://schemas.openxmlformats.org/spreadsheetml/2006/main">
  <authors>
    <author>Автор</author>
  </authors>
  <commentList>
    <comment ref="B2" authorId="0">
      <text>
        <r>
          <rPr>
            <b/>
            <sz val="9"/>
            <color indexed="81"/>
            <rFont val="Tahoma"/>
            <family val="2"/>
            <charset val="204"/>
          </rPr>
          <t xml:space="preserve">Рачитывается на сутки, в/в или в/м
Доза делится согласино крастности введения: 1-2 /сутки
Максимальная суточная доза не должная превышать 1,5г
</t>
        </r>
      </text>
    </comment>
    <comment ref="F4" authorId="0">
      <text>
        <r>
          <rPr>
            <b/>
            <sz val="9"/>
            <color indexed="81"/>
            <rFont val="Tahoma"/>
            <family val="2"/>
            <charset val="204"/>
          </rPr>
          <t>Vienna-Nomogram: Number of Cores per Biopsy to Ensure 90% Certainty of Cancer Detection as a
Function of Prostate Gland Size  аnd Age</t>
        </r>
        <r>
          <rPr>
            <sz val="9"/>
            <color indexed="81"/>
            <rFont val="Tahoma"/>
            <family val="2"/>
            <charset val="204"/>
          </rPr>
          <t xml:space="preserve">
</t>
        </r>
      </text>
    </comment>
    <comment ref="B6" authorId="0">
      <text>
        <r>
          <rPr>
            <b/>
            <sz val="9"/>
            <color indexed="81"/>
            <rFont val="Tahoma"/>
            <family val="2"/>
            <charset val="204"/>
          </rPr>
          <t>Часы,
при СКФ&lt;50мл/мин
доза, половина суточной</t>
        </r>
      </text>
    </comment>
    <comment ref="B8" authorId="0">
      <text>
        <r>
          <rPr>
            <b/>
            <u/>
            <sz val="9"/>
            <color indexed="81"/>
            <rFont val="Tahoma"/>
            <family val="2"/>
            <charset val="204"/>
          </rPr>
          <t>Необходимо:</t>
        </r>
        <r>
          <rPr>
            <b/>
            <sz val="9"/>
            <color indexed="81"/>
            <rFont val="Tahoma"/>
            <family val="2"/>
            <charset val="204"/>
          </rPr>
          <t xml:space="preserve">
Дата рождения, 
Креатинин крови</t>
        </r>
      </text>
    </comment>
    <comment ref="B11" authorId="0">
      <text>
        <r>
          <rPr>
            <b/>
            <u/>
            <sz val="9"/>
            <color indexed="81"/>
            <rFont val="Tahoma"/>
            <family val="2"/>
            <charset val="204"/>
          </rPr>
          <t>Необходимо:</t>
        </r>
        <r>
          <rPr>
            <b/>
            <sz val="9"/>
            <color indexed="81"/>
            <rFont val="Tahoma"/>
            <family val="2"/>
            <charset val="204"/>
          </rPr>
          <t xml:space="preserve">
Дата рождения
Вес
Креатинин крови</t>
        </r>
      </text>
    </comment>
    <comment ref="B14" authorId="0">
      <text>
        <r>
          <rPr>
            <b/>
            <u/>
            <sz val="9"/>
            <color indexed="81"/>
            <rFont val="Tahoma"/>
            <family val="2"/>
            <charset val="204"/>
          </rPr>
          <t>Необходимо:</t>
        </r>
        <r>
          <rPr>
            <b/>
            <sz val="9"/>
            <color indexed="81"/>
            <rFont val="Tahoma"/>
            <family val="2"/>
            <charset val="204"/>
          </rPr>
          <t xml:space="preserve">
ОАК: палочкоядерные%
ОАК: сегментоядерные%
ОАК: лимфоциты%</t>
        </r>
        <r>
          <rPr>
            <sz val="9"/>
            <color indexed="81"/>
            <rFont val="Tahoma"/>
            <family val="2"/>
            <charset val="204"/>
          </rPr>
          <t xml:space="preserve">
</t>
        </r>
      </text>
    </comment>
    <comment ref="B15" authorId="0">
      <text>
        <r>
          <rPr>
            <b/>
            <sz val="9"/>
            <color indexed="81"/>
            <rFont val="Tahoma"/>
            <family val="2"/>
            <charset val="204"/>
          </rPr>
          <t xml:space="preserve">Elevated preoperative NLR (&gt;3) is associated with significantly increased risk for locally advanced disease as well as subsequent disease recurrence, and cancer-specific and all-cause mortality. </t>
        </r>
        <r>
          <rPr>
            <sz val="9"/>
            <color indexed="81"/>
            <rFont val="Tahoma"/>
            <family val="2"/>
            <charset val="204"/>
          </rPr>
          <t xml:space="preserve">
Pretreatment Neutrophil-to-Lymphocyte Ratio Is Associated with Advanced Pathologic Tumor Stage and Increased Cancer-specific Mortality Among Patients with Urothelial Carcinoma of the Bladder Undergoing Radical Cystectomy
By: Boyd R. Viers a , Stephen A. Boorjian a , Igor Frank a , Robert F. Tarrell b , Prabin Thapa b , R. Jeffrey Karnes a , R. Houston Thompson a and Matthew K. Tollefson a  lowast  
Published online: 12 March 2014</t>
        </r>
      </text>
    </comment>
    <comment ref="B17" authorId="0">
      <text>
        <r>
          <rPr>
            <b/>
            <sz val="9"/>
            <color indexed="81"/>
            <rFont val="Tahoma"/>
            <family val="2"/>
            <charset val="204"/>
          </rPr>
          <t>1. Charlson (1987) J Chron Dis 40: 373–83
2. Gold (1994) J Clin Epidemiol 47: 1245–51</t>
        </r>
        <r>
          <rPr>
            <sz val="9"/>
            <color indexed="81"/>
            <rFont val="Tahoma"/>
            <family val="2"/>
            <charset val="204"/>
          </rPr>
          <t xml:space="preserve">
</t>
        </r>
      </text>
    </comment>
    <comment ref="L17" authorId="0">
      <text>
        <r>
          <rPr>
            <sz val="9"/>
            <color indexed="81"/>
            <rFont val="Tahoma"/>
            <family val="2"/>
            <charset val="204"/>
          </rPr>
          <t>Kattan M.W., Wheeler T.M., Scardino P.T. Postoperative nomogram for disease recurrence after radical prostatectomy for prostate cancer. J Clin Oncol. 1999 May;17:1499-1507.</t>
        </r>
      </text>
    </comment>
    <comment ref="G30" authorId="0">
      <text>
        <r>
          <rPr>
            <b/>
            <sz val="9"/>
            <color indexed="81"/>
            <rFont val="Tahoma"/>
            <family val="2"/>
            <charset val="204"/>
          </rPr>
          <t>10-летняя выживаемость:
Assess whether a patient will live long enough to benefit from a specific screening measure or medical intervention</t>
        </r>
        <r>
          <rPr>
            <sz val="9"/>
            <color indexed="81"/>
            <rFont val="Tahoma"/>
            <family val="2"/>
            <charset val="204"/>
          </rPr>
          <t xml:space="preserve">
</t>
        </r>
      </text>
    </comment>
    <comment ref="B41" authorId="0">
      <text>
        <r>
          <rPr>
            <b/>
            <u/>
            <sz val="9"/>
            <color indexed="81"/>
            <rFont val="Tahoma"/>
            <family val="2"/>
            <charset val="204"/>
          </rPr>
          <t>Необходимо:</t>
        </r>
        <r>
          <rPr>
            <b/>
            <sz val="9"/>
            <color indexed="81"/>
            <rFont val="Tahoma"/>
            <family val="2"/>
            <charset val="204"/>
          </rPr>
          <t xml:space="preserve">
Рост
Вес</t>
        </r>
      </text>
    </comment>
    <comment ref="B42" authorId="0">
      <text>
        <r>
          <rPr>
            <b/>
            <sz val="9"/>
            <color indexed="81"/>
            <rFont val="Tahoma"/>
            <family val="2"/>
            <charset val="204"/>
          </rPr>
          <t>м2</t>
        </r>
      </text>
    </comment>
    <comment ref="G42" authorId="0">
      <text>
        <r>
          <rPr>
            <b/>
            <sz val="9"/>
            <color indexed="81"/>
            <rFont val="Tahoma"/>
            <family val="2"/>
            <charset val="204"/>
          </rPr>
          <t xml:space="preserve">Krumholtz et al, 2002 </t>
        </r>
      </text>
    </comment>
    <comment ref="O43" authorId="0">
      <text>
        <r>
          <rPr>
            <b/>
            <sz val="9"/>
            <color indexed="81"/>
            <rFont val="Tahoma"/>
            <family val="2"/>
            <charset val="204"/>
          </rPr>
          <t xml:space="preserve">Probability of extracapsular extension </t>
        </r>
      </text>
    </comment>
    <comment ref="B44" authorId="0">
      <text>
        <r>
          <rPr>
            <b/>
            <u/>
            <sz val="9"/>
            <color indexed="81"/>
            <rFont val="Tahoma"/>
            <family val="2"/>
            <charset val="204"/>
          </rPr>
          <t>Необходимо:</t>
        </r>
        <r>
          <rPr>
            <b/>
            <sz val="9"/>
            <color indexed="81"/>
            <rFont val="Tahoma"/>
            <family val="2"/>
            <charset val="204"/>
          </rPr>
          <t xml:space="preserve">
Рост
Вес</t>
        </r>
      </text>
    </comment>
    <comment ref="B47" authorId="0">
      <text>
        <r>
          <rPr>
            <b/>
            <u/>
            <sz val="9"/>
            <color indexed="81"/>
            <rFont val="Tahoma"/>
            <family val="2"/>
            <charset val="204"/>
          </rPr>
          <t>Необходимо:</t>
        </r>
        <r>
          <rPr>
            <b/>
            <sz val="9"/>
            <color indexed="81"/>
            <rFont val="Tahoma"/>
            <family val="2"/>
            <charset val="204"/>
          </rPr>
          <t xml:space="preserve">
Рост
Вес</t>
        </r>
      </text>
    </comment>
    <comment ref="B48" authorId="0">
      <text>
        <r>
          <rPr>
            <b/>
            <sz val="9"/>
            <color indexed="81"/>
            <rFont val="Tahoma"/>
            <family val="2"/>
            <charset val="204"/>
          </rPr>
          <t>кКал/сутки
Энергетические потребности:
BMR x 1,2 при отсутствии нагрузок
BMR х 2,0 при тяжелых нагрузках</t>
        </r>
      </text>
    </comment>
    <comment ref="B50" authorId="0">
      <text>
        <r>
          <rPr>
            <b/>
            <u/>
            <sz val="9"/>
            <color indexed="81"/>
            <rFont val="Tahoma"/>
            <family val="2"/>
            <charset val="204"/>
          </rPr>
          <t xml:space="preserve">Необходимо:
</t>
        </r>
        <r>
          <rPr>
            <b/>
            <sz val="9"/>
            <color indexed="81"/>
            <rFont val="Tahoma"/>
            <family val="2"/>
            <charset val="204"/>
          </rPr>
          <t>Рост
Вес</t>
        </r>
        <r>
          <rPr>
            <sz val="9"/>
            <color indexed="81"/>
            <rFont val="Tahoma"/>
            <family val="2"/>
            <charset val="204"/>
          </rPr>
          <t xml:space="preserve">
</t>
        </r>
      </text>
    </comment>
    <comment ref="B53" authorId="0">
      <text>
        <r>
          <rPr>
            <b/>
            <u/>
            <sz val="9"/>
            <color indexed="81"/>
            <rFont val="Tahoma"/>
            <family val="2"/>
            <charset val="204"/>
          </rPr>
          <t xml:space="preserve">Необходимо:
</t>
        </r>
        <r>
          <rPr>
            <b/>
            <sz val="9"/>
            <color indexed="81"/>
            <rFont val="Tahoma"/>
            <family val="2"/>
            <charset val="204"/>
          </rPr>
          <t>Рост
Вес</t>
        </r>
        <r>
          <rPr>
            <sz val="9"/>
            <color indexed="81"/>
            <rFont val="Tahoma"/>
            <family val="2"/>
            <charset val="204"/>
          </rPr>
          <t xml:space="preserve">
</t>
        </r>
      </text>
    </comment>
  </commentList>
</comments>
</file>

<file path=xl/comments4.xml><?xml version="1.0" encoding="utf-8"?>
<comments xmlns="http://schemas.openxmlformats.org/spreadsheetml/2006/main">
  <authors>
    <author>Автор</author>
  </authors>
  <commentList>
    <comment ref="C7" authorId="0">
      <text>
        <r>
          <rPr>
            <b/>
            <sz val="9"/>
            <color indexed="81"/>
            <rFont val="Tahoma"/>
            <family val="2"/>
            <charset val="204"/>
          </rPr>
          <t>Специалист, чья консультация требуется</t>
        </r>
      </text>
    </comment>
    <comment ref="B10" authorId="0">
      <text>
        <r>
          <rPr>
            <b/>
            <sz val="9"/>
            <color indexed="81"/>
            <rFont val="Tahoma"/>
            <family val="2"/>
            <charset val="204"/>
          </rPr>
          <t>Причина заявки</t>
        </r>
      </text>
    </comment>
  </commentList>
</comments>
</file>

<file path=xl/sharedStrings.xml><?xml version="1.0" encoding="utf-8"?>
<sst xmlns="http://schemas.openxmlformats.org/spreadsheetml/2006/main" count="12624" uniqueCount="2802">
  <si>
    <t>ФИО</t>
  </si>
  <si>
    <t>№ и/б</t>
  </si>
  <si>
    <t>дата поступления</t>
  </si>
  <si>
    <t>время поступления</t>
  </si>
  <si>
    <t>возраст</t>
  </si>
  <si>
    <t>дата рождения</t>
  </si>
  <si>
    <t>Место жительства</t>
  </si>
  <si>
    <t>Телефон</t>
  </si>
  <si>
    <t>Жалобы</t>
  </si>
  <si>
    <t>Anamnesis morbi</t>
  </si>
  <si>
    <t>Anamnesis vitae</t>
  </si>
  <si>
    <t>Аллергоанамнез</t>
  </si>
  <si>
    <t>Трудовой анамнез, место работы</t>
  </si>
  <si>
    <t>Трансфузиологический анамнез</t>
  </si>
  <si>
    <t>Объективно при поступлении</t>
  </si>
  <si>
    <t>Per rectum</t>
  </si>
  <si>
    <t>Данные амбулаторного обследования</t>
  </si>
  <si>
    <t>Клинический диагноз</t>
  </si>
  <si>
    <t>Сопутствующий диагноз</t>
  </si>
  <si>
    <t>№ И/б:</t>
  </si>
  <si>
    <t>Возраст:</t>
  </si>
  <si>
    <t>Адрес:</t>
  </si>
  <si>
    <t>Телефон:</t>
  </si>
  <si>
    <t>Дата поступления:</t>
  </si>
  <si>
    <t>Время:</t>
  </si>
  <si>
    <t>Жалобы:</t>
  </si>
  <si>
    <t>Anamnesis morbi:</t>
  </si>
  <si>
    <t>Anamnesis vitae:</t>
  </si>
  <si>
    <t>Трудовой анамнез, место работы:</t>
  </si>
  <si>
    <t>Трансфузиологический анамнез:</t>
  </si>
  <si>
    <t>Объективно при поступлении:</t>
  </si>
  <si>
    <t>Заключение:</t>
  </si>
  <si>
    <t>Диагноз при поступлении:</t>
  </si>
  <si>
    <t>ФИО:</t>
  </si>
  <si>
    <t>Аллергоанамнез:</t>
  </si>
  <si>
    <t>г.р.</t>
  </si>
  <si>
    <t>1-сутки в отделении</t>
  </si>
  <si>
    <t>Лечащий врач</t>
  </si>
  <si>
    <t>Зав. отд.</t>
  </si>
  <si>
    <t>Назначить:</t>
  </si>
  <si>
    <t>ОАК, ОАМ, б/х крови, коагулограмма, группа крови</t>
  </si>
  <si>
    <t>Консультация терапевта</t>
  </si>
  <si>
    <t>Обзорная урогафия</t>
  </si>
  <si>
    <t>Экскреторная урография</t>
  </si>
  <si>
    <t>ЭКГ, УЗИ, ТРУЗИ, УФМ</t>
  </si>
  <si>
    <t>Стол ОВД, режим палатный</t>
  </si>
  <si>
    <t>Стол ОВД3, режим палатный</t>
  </si>
  <si>
    <t>Sol. Cyprofloxacini 400мг х 2р/с в/м</t>
  </si>
  <si>
    <t>Система постоянного орошения мочевого пуыря</t>
  </si>
  <si>
    <t>Эластическое бинтование нижних конечностей</t>
  </si>
  <si>
    <t>Динамическое наблюдение, контроль жалоб, термометрия</t>
  </si>
  <si>
    <t>Консультация невролога</t>
  </si>
  <si>
    <t>Консультация хирурга</t>
  </si>
  <si>
    <t>Глюкоза крови на 6:00, 18:00</t>
  </si>
  <si>
    <t>Контроль АД 2 раза в сутки</t>
  </si>
  <si>
    <t>ЭхоКГ</t>
  </si>
  <si>
    <t>МРТ</t>
  </si>
  <si>
    <t>КТ натив</t>
  </si>
  <si>
    <t>КТ с в/в болюсом</t>
  </si>
  <si>
    <t>УЗАС вен н/к</t>
  </si>
  <si>
    <t>ДНСГ</t>
  </si>
  <si>
    <t>УЗИ брюшной полости, малого таза</t>
  </si>
  <si>
    <t>Консультация нефролога</t>
  </si>
  <si>
    <t>Р-графия органов грудной клетки</t>
  </si>
  <si>
    <t>ПСА крови общий</t>
  </si>
  <si>
    <t>УЗИ мошонки, пахового канала</t>
  </si>
  <si>
    <t>Посев мочи на микрофлору</t>
  </si>
  <si>
    <t>Остеосцинтиграфия</t>
  </si>
  <si>
    <t>МЭС</t>
  </si>
  <si>
    <t>Код заболевания</t>
  </si>
  <si>
    <t>кол-во койко-дней МЭСа</t>
  </si>
  <si>
    <t>Клинический диагноз:</t>
  </si>
  <si>
    <t>Показание для операции</t>
  </si>
  <si>
    <t>Планируемое оперативное вмешательство:</t>
  </si>
  <si>
    <t>Леч.врач</t>
  </si>
  <si>
    <t>Профессор</t>
  </si>
  <si>
    <t>Юсуфов А.Г.</t>
  </si>
  <si>
    <t>36 УРОЛОГИЧЕСКОЕ ОТДЕЛЕНИЕ</t>
  </si>
  <si>
    <t xml:space="preserve">ПРЕДОПЕРАЦИОННЫЙ ЭПИКРИЗ </t>
  </si>
  <si>
    <t>№и/б</t>
  </si>
  <si>
    <t>Тел.</t>
  </si>
  <si>
    <t>Возможные осложнения</t>
  </si>
  <si>
    <t>Цель операции</t>
  </si>
  <si>
    <t>Дата операции</t>
  </si>
  <si>
    <t>Предоперационный осмотр</t>
  </si>
  <si>
    <t xml:space="preserve">Назначить: </t>
  </si>
  <si>
    <t>Онкологический совет в составе:</t>
  </si>
  <si>
    <t>лечащего врача Юсуфова А.Г.</t>
  </si>
  <si>
    <t>Данные проведенного обследования:</t>
  </si>
  <si>
    <t>Зам.гл.вр., проф.</t>
  </si>
  <si>
    <t>Царев М.И.</t>
  </si>
  <si>
    <t>Кривобородов Г.Г.</t>
  </si>
  <si>
    <t>Врач-онколог</t>
  </si>
  <si>
    <t>Шиятая О.К.</t>
  </si>
  <si>
    <t>Приложение №2 к приказу</t>
  </si>
  <si>
    <t>Департамента здравоохранения от 28.06.96г. №405</t>
  </si>
  <si>
    <t xml:space="preserve">ГКБ №1 им. Н.И. Пирогова </t>
  </si>
  <si>
    <t xml:space="preserve">Медицинская карта </t>
  </si>
  <si>
    <t xml:space="preserve">стационарного больного №  </t>
  </si>
  <si>
    <t>Выписной эпикриз</t>
  </si>
  <si>
    <t>по</t>
  </si>
  <si>
    <t>Дата выписки</t>
  </si>
  <si>
    <t xml:space="preserve">Код стандарта </t>
  </si>
  <si>
    <t>075.010</t>
  </si>
  <si>
    <t xml:space="preserve">шифр по МКБ </t>
  </si>
  <si>
    <t>Гем.  г/л</t>
  </si>
  <si>
    <t>Эр. х10(12)/л</t>
  </si>
  <si>
    <t>Тр. х10(9)/л</t>
  </si>
  <si>
    <t>Лц. Х10(9)/л</t>
  </si>
  <si>
    <t>П/я %</t>
  </si>
  <si>
    <t>С/я %</t>
  </si>
  <si>
    <t>Эоз %</t>
  </si>
  <si>
    <t>Баз %</t>
  </si>
  <si>
    <t>Лф %</t>
  </si>
  <si>
    <t>Мон %</t>
  </si>
  <si>
    <t>СОЭ мм/час</t>
  </si>
  <si>
    <t>Реакция мочи</t>
  </si>
  <si>
    <t>Белок, г/л</t>
  </si>
  <si>
    <t>Плотность</t>
  </si>
  <si>
    <t>Лейкоциты, в п.зр.</t>
  </si>
  <si>
    <t>Эритроциты, в п.зр.</t>
  </si>
  <si>
    <t>Соли</t>
  </si>
  <si>
    <t>Бактерии</t>
  </si>
  <si>
    <t>Грибки</t>
  </si>
  <si>
    <t>Дрожжевые грибки</t>
  </si>
  <si>
    <t>Билирубин, мкмоль/л</t>
  </si>
  <si>
    <t>Мочевина, ммоль/л</t>
  </si>
  <si>
    <t>Глюкоза, мкмоль/л</t>
  </si>
  <si>
    <t>Общий белок, г/л</t>
  </si>
  <si>
    <t>Суммарная лучевая нагрузка за время госпитализации:</t>
  </si>
  <si>
    <t>мкЗв</t>
  </si>
  <si>
    <t>Лучевая нагрузка</t>
  </si>
  <si>
    <t>Группа крови</t>
  </si>
  <si>
    <t>Группа крови:</t>
  </si>
  <si>
    <t xml:space="preserve">ВИЧ, HBsAg, RW, антиHCV </t>
  </si>
  <si>
    <t xml:space="preserve">ВИЧ, HBsAg, RW, антиHCV: </t>
  </si>
  <si>
    <t xml:space="preserve">Выписан: </t>
  </si>
  <si>
    <t>Выписан</t>
  </si>
  <si>
    <t>с улучшением</t>
  </si>
  <si>
    <t>Трудоспособность</t>
  </si>
  <si>
    <t>Трудоспособность:</t>
  </si>
  <si>
    <t>Лист нетрудоспособности:</t>
  </si>
  <si>
    <t>Лист нетрудоспособности</t>
  </si>
  <si>
    <t>не выдавался</t>
  </si>
  <si>
    <t>Рекомендовано:</t>
  </si>
  <si>
    <t>ЭКГ</t>
  </si>
  <si>
    <t>Таб. Клацид 500мг в обед 7 дней.</t>
  </si>
  <si>
    <t>Питьевой режим не менее 2,5л/сутки.</t>
  </si>
  <si>
    <t>Леч.врач.</t>
  </si>
  <si>
    <t xml:space="preserve">Утверждена Департаментом </t>
  </si>
  <si>
    <t xml:space="preserve">Здравоохранения г. Москвы </t>
  </si>
  <si>
    <t>приказ от 17.05.1995г. №289</t>
  </si>
  <si>
    <t>Приложение 2</t>
  </si>
  <si>
    <t>В  Ы  П  И  С  К  А  №</t>
  </si>
  <si>
    <t>из медицинской карты стационарного больного злокачественным новообразованием</t>
  </si>
  <si>
    <t xml:space="preserve">(заполняется всеми стационарами)  </t>
  </si>
  <si>
    <t>Москва, Ленинский проспект, дом 10, корпус 12,  ГКБ №1 им.Н.И.Пирогова, 36 урологическое отделение</t>
  </si>
  <si>
    <t>Московский городской онкодиспансер</t>
  </si>
  <si>
    <t xml:space="preserve">Диагноз злокачественного новообразования установлен впервые в жизни: </t>
  </si>
  <si>
    <t xml:space="preserve">Да – 1; </t>
  </si>
  <si>
    <t>Нет – 2</t>
  </si>
  <si>
    <t xml:space="preserve">Фамилия, имя, отчество больного:  </t>
  </si>
  <si>
    <t>РФ</t>
  </si>
  <si>
    <t xml:space="preserve">Название и адрес учреждения, куда направляется выписка: </t>
  </si>
  <si>
    <t>Адрес учреждения, выдавшего выписку:</t>
  </si>
  <si>
    <t>Национальность:</t>
  </si>
  <si>
    <t>Место работы:</t>
  </si>
  <si>
    <t>Профессия:</t>
  </si>
  <si>
    <t>Адрес больного:</t>
  </si>
  <si>
    <t xml:space="preserve">Дата поступления в стационар: </t>
  </si>
  <si>
    <t>Длительность нахождения в стационаре (в днях):</t>
  </si>
  <si>
    <t>Стадия:</t>
  </si>
  <si>
    <t xml:space="preserve">Диагноз подтвержден: </t>
  </si>
  <si>
    <t xml:space="preserve">1. Только хирургическое (дата, название и объем операции) </t>
  </si>
  <si>
    <t xml:space="preserve">2. Только лучевое (методика, последовательность применения и доза) </t>
  </si>
  <si>
    <t xml:space="preserve">а) дистанционная гамматерапия </t>
  </si>
  <si>
    <t xml:space="preserve">б) рентгенотерапия </t>
  </si>
  <si>
    <t xml:space="preserve">в) быстрые электроны </t>
  </si>
  <si>
    <t xml:space="preserve">г) сочетанное: I – контактная и дистанционная гамматерапия </t>
  </si>
  <si>
    <t xml:space="preserve">II – контактная гамматерапия и глубокая рентгенотерапия </t>
  </si>
  <si>
    <t xml:space="preserve">3. Комбинированное: (дата операции и ее характер, методика и вид облучения, </t>
  </si>
  <si>
    <t>последовательность применения, доза раздельно для каждого вида облучения)</t>
  </si>
  <si>
    <t>4. Только химиотерапевтическое</t>
  </si>
  <si>
    <t xml:space="preserve">5. Только гормональное </t>
  </si>
  <si>
    <t xml:space="preserve">6. Комплексное лечение </t>
  </si>
  <si>
    <t xml:space="preserve">7. Другие виды лечения </t>
  </si>
  <si>
    <t>Рекомендации по дальнейшему лечению больного: наблюдение урологом, онкологом по месту жительства.</t>
  </si>
  <si>
    <t>Подпись врача</t>
  </si>
  <si>
    <t>________________________________________ нет ___________________________________________</t>
  </si>
  <si>
    <t>___________________________________</t>
  </si>
  <si>
    <t>И/б</t>
  </si>
  <si>
    <t>Диагноз</t>
  </si>
  <si>
    <t>Поступил экстренно/планово</t>
  </si>
  <si>
    <t>Дата госпитализации</t>
  </si>
  <si>
    <t>Дата выписки/перевода</t>
  </si>
  <si>
    <t>Название операции</t>
  </si>
  <si>
    <t>Послеоперационные осложнения</t>
  </si>
  <si>
    <t>Причина смерти</t>
  </si>
  <si>
    <t>-</t>
  </si>
  <si>
    <t>Заседание КЭК/ПЭТ</t>
  </si>
  <si>
    <t>(оформляется в соответствии с графами инструкции по заполнению учётной формы №035/у-20)</t>
  </si>
  <si>
    <t xml:space="preserve">1. Порядковый номер: </t>
  </si>
  <si>
    <t xml:space="preserve">2. Дата проведения экспертизы: </t>
  </si>
  <si>
    <t xml:space="preserve">3. ФИО лечащего врача: </t>
  </si>
  <si>
    <t xml:space="preserve">Отделение (участок): </t>
  </si>
  <si>
    <t xml:space="preserve">Информация для идентификации: </t>
  </si>
  <si>
    <t>4. ФИО Пациента:</t>
  </si>
  <si>
    <t xml:space="preserve">5. Адрес, № истории болезни, амбулаторной карты или страхового полиса: </t>
  </si>
  <si>
    <t xml:space="preserve">6. Число, месяц, год рождения </t>
  </si>
  <si>
    <t>8. Социальный статус, профессия:</t>
  </si>
  <si>
    <t>9. Диагноз основной, сопутствующий и коды МКБ-10:</t>
  </si>
  <si>
    <t>9.1. Причина обращения:</t>
  </si>
  <si>
    <t>10. Характеристика случая экспертизы:</t>
  </si>
  <si>
    <t>- № листка нетрудоспособности</t>
  </si>
  <si>
    <t>- Количество дней временной нетрудоспособности</t>
  </si>
  <si>
    <t>- длительность пребывания в стационаре</t>
  </si>
  <si>
    <t>12. Отклонение от стандартов МЭС (код, срок)</t>
  </si>
  <si>
    <t>«да» (указать какие)</t>
  </si>
  <si>
    <t>«нет»__________________ «не использованы»_________________________</t>
  </si>
  <si>
    <t>13. Дефекты, нарушения, ошибки и др.:</t>
  </si>
  <si>
    <t>14. Достижение результата этапа или исходного лечебно-профилактического</t>
  </si>
  <si>
    <t>мероприятия: (без изменения, улучшение, улучшение не достигнуто)</t>
  </si>
  <si>
    <t>15. Заключение экспертов, рекомендации:</t>
  </si>
  <si>
    <t>16. Дата направления в бюро МСЭ или в другие (специализированные)</t>
  </si>
  <si>
    <t>учреждения:</t>
  </si>
  <si>
    <t>17. Заключение МСЭ или других (специализированных) учреждений:</t>
  </si>
  <si>
    <t>18. Дата получения заключения МСЭ или других учреждений, срок их</t>
  </si>
  <si>
    <t>действия:</t>
  </si>
  <si>
    <t xml:space="preserve">19. Дополнительная информация: </t>
  </si>
  <si>
    <t>20. Основной состав экспертов:</t>
  </si>
  <si>
    <t>21. Подписи:</t>
  </si>
  <si>
    <t>_________________________</t>
  </si>
  <si>
    <t>___________________</t>
  </si>
  <si>
    <t>________________________________________________________________</t>
  </si>
  <si>
    <t>11.     Вид и предмет экспертизы:</t>
  </si>
  <si>
    <t>36 урологическое отделение</t>
  </si>
  <si>
    <t>______</t>
  </si>
  <si>
    <t>_________</t>
  </si>
  <si>
    <t>к/д</t>
  </si>
  <si>
    <t>Выявлено при экспертизе</t>
  </si>
  <si>
    <t>Приложение 3</t>
  </si>
  <si>
    <t>к Инструкции по применению медицинских стандартов</t>
  </si>
  <si>
    <t>в больничных учреждениях и учету медицинской помощи</t>
  </si>
  <si>
    <t>в дневных стационарах (всех типов)</t>
  </si>
  <si>
    <t>в системе ОМС города Москвы</t>
  </si>
  <si>
    <t>ПРОТОКОЛ</t>
  </si>
  <si>
    <t>заседания врачебной комиссии</t>
  </si>
  <si>
    <t>Врачебная комиссия</t>
  </si>
  <si>
    <t>ГКБ № 1 им Н И Пирогова</t>
  </si>
  <si>
    <t>(наименование медицинской организации)</t>
  </si>
  <si>
    <t>в составе (ФИО, должность):</t>
  </si>
  <si>
    <t>рассмотрев объем и качество медицинской помощи, оказанной пациенту (ФИО):</t>
  </si>
  <si>
    <t>медицинская карта стационарного больного №</t>
  </si>
  <si>
    <t>Зам. гл. врача._________________</t>
  </si>
  <si>
    <t>Зав.отделением_______________</t>
  </si>
  <si>
    <t>Леч.врач______________________</t>
  </si>
  <si>
    <t xml:space="preserve">данные его (ее) объективного обследования, лабораторных и инструментальных </t>
  </si>
  <si>
    <t xml:space="preserve">исследований, пришла к выводу, что лечение проведено в соответствии с медицинским </t>
  </si>
  <si>
    <t>стандартом</t>
  </si>
  <si>
    <t>(код стандарта). Клинический результат достигнут за</t>
  </si>
  <si>
    <t>счет применения сложных, ресурсоемких медицинских технологий, в том числе</t>
  </si>
  <si>
    <t>приведших к интенсификации лечебного процесса и сокращению срока лечения.</t>
  </si>
  <si>
    <t>Случай оказания медицинской помощи подлежит кодированию в системе ОМС</t>
  </si>
  <si>
    <t>как «особый случай законченной госпитализации».</t>
  </si>
  <si>
    <t>("Д")</t>
  </si>
  <si>
    <t>Председатель комиссии:</t>
  </si>
  <si>
    <t>Члены комиссии:</t>
  </si>
  <si>
    <t>__________________</t>
  </si>
  <si>
    <t>(ФИО, подпись)</t>
  </si>
  <si>
    <t>Использование современного микрохирургического инструментария</t>
  </si>
  <si>
    <t>Использования современного оборудования и операционной технки</t>
  </si>
  <si>
    <t>Использование современного лапароскопического оборудования</t>
  </si>
  <si>
    <t>Использование современного оборудования для перкутанной хирургии</t>
  </si>
  <si>
    <t>Использование современного оборудования дистанционной литотрипсии</t>
  </si>
  <si>
    <t>Использование современного оборудования для малоинвазивных операций</t>
  </si>
  <si>
    <t>Использование современного оборудования для трансуретральных операций</t>
  </si>
  <si>
    <t>Использование современного лазерного оборудования</t>
  </si>
  <si>
    <t>Приложение</t>
  </si>
  <si>
    <t>к Положению</t>
  </si>
  <si>
    <t>(Образец)</t>
  </si>
  <si>
    <t>Приложение № ______</t>
  </si>
  <si>
    <t>к выписному эпикризу</t>
  </si>
  <si>
    <t xml:space="preserve">Медицинской карты стационарного больного №  </t>
  </si>
  <si>
    <t>Домашний адрес:</t>
  </si>
  <si>
    <t>Контактный телефон:</t>
  </si>
  <si>
    <t>(Ф.И.О.)</t>
  </si>
  <si>
    <t xml:space="preserve"> (полных лет)</t>
  </si>
  <si>
    <t>Находился (ась) на стационарном лечении</t>
  </si>
  <si>
    <t>36 урологического отделения ГКБ №1 им. Н.И.Пирогова</t>
  </si>
  <si>
    <t>С</t>
  </si>
  <si>
    <t>года</t>
  </si>
  <si>
    <t>Даны рекомендации:</t>
  </si>
  <si>
    <t>(заполнить и подчеркнуть выбранное)</t>
  </si>
  <si>
    <t xml:space="preserve">2.Продолжение лечения в условиях дневного стационара амбулаторно-поликлинического учреждения по месту </t>
  </si>
  <si>
    <t xml:space="preserve">лечение в условиях реабилитационного отделения поликлиники; стационара (ГКБ №_____); </t>
  </si>
  <si>
    <t>реабилитационное лечение в условиях профильного санатория.</t>
  </si>
  <si>
    <t>3.Комплекс лечебных мероприятий:</t>
  </si>
  <si>
    <t>3.1.Соблюдение диеты</t>
  </si>
  <si>
    <t>Диета</t>
  </si>
  <si>
    <t>ОВД</t>
  </si>
  <si>
    <t>3.3.Лекарственные средства/препараты</t>
  </si>
  <si>
    <t>(по МНН, с указанием лекарственной формы, дозы, кратности, длительности приема)</t>
  </si>
  <si>
    <t>(методики и длительность курса)</t>
  </si>
  <si>
    <t>3.4.Другое ________________________________________________________________________________________</t>
  </si>
  <si>
    <t>4.Контрольные лабораторные исследования</t>
  </si>
  <si>
    <t>(перечень)</t>
  </si>
  <si>
    <t>5.Функциональные исследования</t>
  </si>
  <si>
    <t xml:space="preserve">7.Явка в амбулаторно-поликлиническое учреждение по месту жительства:  поликлинику (ДЦ) №___; </t>
  </si>
  <si>
    <t xml:space="preserve">8.Направлено по электронной почте: ________________ факсу: (8(495) 633 99 84) в поликлинику (ДЦ) №___, </t>
  </si>
  <si>
    <t>Лечащий врач ______________________/</t>
  </si>
  <si>
    <t>Ф.И.О.</t>
  </si>
  <si>
    <t>Зав.отделением ____________________/</t>
  </si>
  <si>
    <t>С условиями долечивания ознакомлен:</t>
  </si>
  <si>
    <t>Пациент ___________________________/</t>
  </si>
  <si>
    <t xml:space="preserve">Этапный эпикриз </t>
  </si>
  <si>
    <t xml:space="preserve">(день пребывания; день п/операционного периода и т.п.)            </t>
  </si>
  <si>
    <t xml:space="preserve">Динамика жалоб </t>
  </si>
  <si>
    <t xml:space="preserve">Динамика состояния </t>
  </si>
  <si>
    <t>Динамика результатов лабораторных и инструментальных исследований</t>
  </si>
  <si>
    <t xml:space="preserve">Дополнение к анамнезу </t>
  </si>
  <si>
    <t xml:space="preserve">Диагноз: </t>
  </si>
  <si>
    <t>Дополнение к лечению:</t>
  </si>
  <si>
    <t>Дополнение к обследованию:</t>
  </si>
  <si>
    <t>нет</t>
  </si>
  <si>
    <t>Лечащий врач ___________________</t>
  </si>
  <si>
    <t>(подпись)</t>
  </si>
  <si>
    <t>(ФИО разборчиво)</t>
  </si>
  <si>
    <t>Показание для КТ груди с в/в контрастированием</t>
  </si>
  <si>
    <t>Показание для КТ брюшной полости и малого таза с в/в контрастированием</t>
  </si>
  <si>
    <t>Показание для КТ брюшной полости и малого таза НАТИВ</t>
  </si>
  <si>
    <t>Показание для КТ груди НАТИВ</t>
  </si>
  <si>
    <t>Показание для КТ головы</t>
  </si>
  <si>
    <t>Показание для КТ малого таза НАТИВ</t>
  </si>
  <si>
    <t>Показание для КТ малого таза с интрапузырным введением контраста</t>
  </si>
  <si>
    <t>Показание для МРТ малого таза без в/в контрастного усиления</t>
  </si>
  <si>
    <t>Показание для МРТ малого таза с в/в контрастным усилением</t>
  </si>
  <si>
    <t>Показание для уретрографии, микционной цистоуретрографии</t>
  </si>
  <si>
    <t>Показание для рентгенографии органов грудной клетки</t>
  </si>
  <si>
    <t>Осмотр с зав.отд. Котовым С.В.</t>
  </si>
  <si>
    <t xml:space="preserve">Жалобы: </t>
  </si>
  <si>
    <r>
      <t>Объективно</t>
    </r>
    <r>
      <rPr>
        <sz val="12"/>
        <color indexed="8"/>
        <rFont val="Times New Roman"/>
        <family val="1"/>
        <charset val="204"/>
      </rPr>
      <t xml:space="preserve">: </t>
    </r>
  </si>
  <si>
    <t>НАПРАВЛЕНИЕ</t>
  </si>
  <si>
    <t>На патогистологическое исследование биопсии, операционного, секционного материала.</t>
  </si>
  <si>
    <t>Возраст</t>
  </si>
  <si>
    <t>Пол</t>
  </si>
  <si>
    <t>История болезни</t>
  </si>
  <si>
    <t xml:space="preserve">Клинические данные: </t>
  </si>
  <si>
    <t xml:space="preserve">Операция: </t>
  </si>
  <si>
    <t>опер.хирург.</t>
  </si>
  <si>
    <t xml:space="preserve">Что посылается для исследования </t>
  </si>
  <si>
    <r>
      <t xml:space="preserve">Данные исследование биопсированного материала: </t>
    </r>
    <r>
      <rPr>
        <sz val="12"/>
        <color indexed="8"/>
        <rFont val="Times New Roman"/>
        <family val="1"/>
        <charset val="204"/>
      </rPr>
      <t>(если таковое ранее производилось):</t>
    </r>
    <r>
      <rPr>
        <b/>
        <u/>
        <sz val="12"/>
        <color indexed="8"/>
        <rFont val="Times New Roman"/>
        <family val="1"/>
        <charset val="204"/>
      </rPr>
      <t xml:space="preserve"> </t>
    </r>
  </si>
  <si>
    <t>(указать орган, ткань, сколько кусочков и откуда взят материал)</t>
  </si>
  <si>
    <t>Подпись направившего материал</t>
  </si>
  <si>
    <t>Департамент Здравоохранения г. Москвы</t>
  </si>
  <si>
    <t>___________________________________________________________</t>
  </si>
  <si>
    <t>ИНФОРМИРОВАННОЕ ДОБРОВОЛЬНОЕ СОГЛАСИЕ</t>
  </si>
  <si>
    <t>1)</t>
  </si>
  <si>
    <t>2)</t>
  </si>
  <si>
    <t>3)</t>
  </si>
  <si>
    <t>4)</t>
  </si>
  <si>
    <t>___________________________</t>
  </si>
  <si>
    <t>(подпись пациента)</t>
  </si>
  <si>
    <t>(ФИО)</t>
  </si>
  <si>
    <t>_______________/</t>
  </si>
  <si>
    <t>СОГЛАСИЕ</t>
  </si>
  <si>
    <t>ПАЦИЕНТА НА ОПЕРАЦИЮ ПЕРЕЛИВАНИЯ КРОВИ, ЕЕ</t>
  </si>
  <si>
    <t>КОМПОНЕНТОВ ИЛИ КРОВЕЗАМЕНИТЕЛЕЙ</t>
  </si>
  <si>
    <t>Я,</t>
  </si>
  <si>
    <t>(фамилия, имя, отчество)</t>
  </si>
  <si>
    <t>__________________________________</t>
  </si>
  <si>
    <t xml:space="preserve">или расписался (согласно пункту 1.7 «инструкция по применению </t>
  </si>
  <si>
    <t xml:space="preserve">компонентов крови», утвержденной приказом Минздрава России от </t>
  </si>
  <si>
    <t>(подпись,  ФИО доверенного лица,</t>
  </si>
  <si>
    <t>реквизиты документа, подтверждающего право представлять интересы пациента, дата)</t>
  </si>
  <si>
    <t xml:space="preserve">или присутствовавшие при беседе </t>
  </si>
  <si>
    <t xml:space="preserve"> (подпись, ФИО врача)</t>
  </si>
  <si>
    <t>(подписи, ФИО свидетелей беседы)</t>
  </si>
  <si>
    <t>Койко-день до опер.</t>
  </si>
  <si>
    <t xml:space="preserve">к/д </t>
  </si>
  <si>
    <t>С какого числа Л/Н</t>
  </si>
  <si>
    <t>Общее число дней ВН</t>
  </si>
  <si>
    <t>_____________________________________</t>
  </si>
  <si>
    <t>___________________________________________________</t>
  </si>
  <si>
    <t>Койко-день общий</t>
  </si>
  <si>
    <t xml:space="preserve">сутки в отделении, </t>
  </si>
  <si>
    <t>Tab. Famotidini 20мг х 2р/с per os</t>
  </si>
  <si>
    <t>Tab. Cyprofloxacini 500мг х 2р/с per os</t>
  </si>
  <si>
    <t>Tab. Drotaverini 2т х 3р/с per os</t>
  </si>
  <si>
    <t>Tab. Cystoni 2т х 3р/с per os</t>
  </si>
  <si>
    <t>Tab. Sorbiferi tur 1т х 2р/с per os</t>
  </si>
  <si>
    <t>Tab. Furagini 50мг х 3р/с per os</t>
  </si>
  <si>
    <t>Tab. Omezi 20мг х 2р/с per os</t>
  </si>
  <si>
    <t>Ежедневные перевязки</t>
  </si>
  <si>
    <t>Sol. Analgini 2мл - 50% в/м</t>
  </si>
  <si>
    <t>Tab. Nolicini 400мг х 2р/с per os</t>
  </si>
  <si>
    <t>Sol. Amikacini 1мл в/м</t>
  </si>
  <si>
    <t>Supp. Voltareni 100мг на ночь</t>
  </si>
  <si>
    <t>Sol. Spasmolini 5мл в/м</t>
  </si>
  <si>
    <t>Sol. Cefotaximi 2,0 х 2р/с в/м</t>
  </si>
  <si>
    <t>Sol. Heparini 5000Ед х 3р/с п/к</t>
  </si>
  <si>
    <t>Sol. Suprastini 2,0 в/м перед операцией</t>
  </si>
  <si>
    <t>Sol. Cefotaximi 2,0 в/м перед операцией</t>
  </si>
  <si>
    <t>Sol. NaCl 0,9% - 1200,0 в/в</t>
  </si>
  <si>
    <t>Креатинин мкмоль/л</t>
  </si>
  <si>
    <t>на боли, рези при хотьбе, при мочеиспускании</t>
  </si>
  <si>
    <t xml:space="preserve">Состояние  удовлетворительное. Температура 36,9С. Кожные покровы обычной окраски. Л/у доступные пальпации не увеличены. Дыхание в легких везикулярное. ЧД 16 в мин. Тоны сердца приглушены, ритмичные. АД 120/80, ЧСС 70 в мин. Живот не вздут, симметричный, мягкий, участвует в акте дыхания.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отрицательный с обеих сторон. Мочевой пузырь пальпаторно и перкуторно не определяется. Мочится самостоятельно. Уретрита нет. Органы мошонки: пальпируются оба яичка, варикоцеле, гидроцеле не определяется. Мочеиспускание не затрудненное, учащенное, безболезненное. Моча светлая, без примесей. </t>
  </si>
  <si>
    <t>Стриктура верхней трети правого мочеточника. Гидронефроз справа. Внутренний мочеточниковый стент справа.</t>
  </si>
  <si>
    <t>N13.0</t>
  </si>
  <si>
    <t xml:space="preserve"> </t>
  </si>
  <si>
    <t>Больному показано удаление внутреннего мочеточникового стента на 3.2.14г. С целью динамичского наблюдение и дальнейшей оценки характера пассажа мочи по ВМП.</t>
  </si>
  <si>
    <t>Данные проведенного обследования</t>
  </si>
  <si>
    <t>ИМТ</t>
  </si>
  <si>
    <t>Возможные осложнения:</t>
  </si>
  <si>
    <r>
      <t xml:space="preserve">Материал:  </t>
    </r>
    <r>
      <rPr>
        <sz val="12"/>
        <color indexed="8"/>
        <rFont val="Times New Roman"/>
        <family val="1"/>
        <charset val="204"/>
      </rPr>
      <t xml:space="preserve">биопсированный, </t>
    </r>
    <r>
      <rPr>
        <u/>
        <sz val="12"/>
        <color indexed="8"/>
        <rFont val="Times New Roman"/>
        <family val="1"/>
        <charset val="204"/>
      </rPr>
      <t>операционный</t>
    </r>
    <r>
      <rPr>
        <sz val="12"/>
        <color indexed="8"/>
        <rFont val="Times New Roman"/>
        <family val="1"/>
        <charset val="204"/>
      </rPr>
      <t>, секционный (подчеркнуть) взят</t>
    </r>
  </si>
  <si>
    <t>7. Пол:</t>
  </si>
  <si>
    <t>Больной (ая )</t>
  </si>
  <si>
    <t xml:space="preserve">1.Наблюдение врачами специалистами _____________________________ амбулаторно-поликлинического учреждения </t>
  </si>
  <si>
    <t>3.5 Физиотерапевтическое лечение: ____________________________________________________________________</t>
  </si>
  <si>
    <t>6.Другое_____________________________________________________________________________________________</t>
  </si>
  <si>
    <t>Удаление системы постоянного орошения мочевого пузыря</t>
  </si>
  <si>
    <t>Наблюдение урологом по м/ж.</t>
  </si>
  <si>
    <t>Контроль посева мочи через 1 мес.</t>
  </si>
  <si>
    <t>Контроль УЗИ почек, мочевого пузыря, органов брюшной полости каждые 3 мес (первые 2 года), каждые 6 мес (следующие 2 года), затем ежегодно.</t>
  </si>
  <si>
    <t>Контроль КТ брюшной полости, забрюшинного пространства каждые 6 мес (первые 2 года), затем ежегодно</t>
  </si>
  <si>
    <t>Контроль рентгенография/КТ органов грудной клетки каждые 6 мес (первые 2 года), затем ежегодно.</t>
  </si>
  <si>
    <t>Контроль УЗИ почек, органов брюшной полости, малого таза каждые 3 мес (первые 2 года), каждые 6 мес (следующие 2 года), затем ежегодно.</t>
  </si>
  <si>
    <t>Контроль КТ брюшной полости, забрюшинного пространства, малого таза каждые 6 мес (первые 2 года), затем ежегодно.</t>
  </si>
  <si>
    <t>Ограничение физических нагрузок 1 мес.</t>
  </si>
  <si>
    <t xml:space="preserve">Таб. Фурагин 50мг х 3р/с 10 дней. </t>
  </si>
  <si>
    <t>Капс. Роватинекс 2капс х 3р/с 1 мес.</t>
  </si>
  <si>
    <t>Таб. Флюконазол 100 мг/сутки 5 дней.</t>
  </si>
  <si>
    <t>Таб. Трентал ретард 400мг 1-2 р/сут 1 мес.</t>
  </si>
  <si>
    <t>Питьевой режим 1,5-2 литра/сутки.</t>
  </si>
  <si>
    <t>Режим принудительных учащенных микций каждые 1,5-2 часа.</t>
  </si>
  <si>
    <t>Наблюдение кардиологом по м/ж.</t>
  </si>
  <si>
    <t>Таб. Эуфиллин 1т х 1р/с 2 нед.</t>
  </si>
  <si>
    <t>Свечи Вольтарен 100мг на ночь 5 дней.</t>
  </si>
  <si>
    <t>Капс.Тамсулозин (Омник) 0,4мг 1капс/сут.</t>
  </si>
  <si>
    <t>Таб. Левофлоксацин (Таваник) 500мг х 1р/с  7 дней.</t>
  </si>
  <si>
    <t>Таб. Ципрофлоксацин 500мг х 2р/с 10 дней.</t>
  </si>
  <si>
    <t>Контроль ДНСГ через 3мес.</t>
  </si>
  <si>
    <t>Контроль УЗИ почек через 1 мес.</t>
  </si>
  <si>
    <t>Ношение бандажа 1,5 месяца.</t>
  </si>
  <si>
    <t>Таб. Цефиксим (Супракс-солютаб) 400 мг 1 раз в день после еды 10 дней.</t>
  </si>
  <si>
    <t>Таб. Везикар 5мг х 1р/сут 1 мес.</t>
  </si>
  <si>
    <t>Таб. Сорбифер дурулес 1т х 2р/с 1 мес.</t>
  </si>
  <si>
    <t>Таб. Омез 20мг х 2р/с 20 дней.</t>
  </si>
  <si>
    <t>Капс. Дутастерид (Аводарт) 0,5мг х 1р/с 6-12 мес.</t>
  </si>
  <si>
    <t>Капс. Линекс 2капс. х 3 р/д в течение 2 недель.</t>
  </si>
  <si>
    <t>Таб. Проскар 5 мг х 1 р/сутки 6-12 месяцев.</t>
  </si>
  <si>
    <t>Таб. Хофитол 2 таб. х 3р/д 1 мес.</t>
  </si>
  <si>
    <t xml:space="preserve">Таб. Мелоксикам (Мовалис) 15мг 1таб/сут. </t>
  </si>
  <si>
    <t>Контроль УЗАС вен н/к через 5 дней.</t>
  </si>
  <si>
    <t>Наблюдением нефрологом по м/ж</t>
  </si>
  <si>
    <t>Таб. Канефрон Н 2таб х 3р/с 1мес.</t>
  </si>
  <si>
    <t>Таб. Нифедипин 10мг х 1р/с 10 дней.</t>
  </si>
  <si>
    <t>Таб. Цистон 2т х 3р/д 1 мес.</t>
  </si>
  <si>
    <t>Таб. Нолицин 400мг х 2р/с 10 дней.</t>
  </si>
  <si>
    <t>Проведение курса внутрипузырной химиотерапии Митомицином С 1р/нед. в течение 6 недель онкологом по м/ж.</t>
  </si>
  <si>
    <t>Контроль опухолевых маркеров через 7 дней (ЛДГ, в-ХГЧ, а-ФП).</t>
  </si>
  <si>
    <t>Таб. Ингибиторы ФДЭ-5го типа (1р/сут) 1 мес.</t>
  </si>
  <si>
    <t>Контроль ПСА крови (общий) каждые 3 мес.</t>
  </si>
  <si>
    <t>Контроль анализа мочи на типические клетки через 1 мес.</t>
  </si>
  <si>
    <t>Контроль УЗАС вен нижних конечностей через 1 мес. (МГФЦ при ГКБ № 1 им. Н.И. Пирогова).</t>
  </si>
  <si>
    <t>Таб. АЦЦ Лонг 600мг х 2 р/сут внутрь 30 дней.</t>
  </si>
  <si>
    <t>Инъекции витамина В 12 1000мкг х 2 р/год</t>
  </si>
  <si>
    <t xml:space="preserve">При ухудшении состояния – госпитализация по «03» </t>
  </si>
  <si>
    <t>Контроль КТ малого таза, грудной клетки каждые 3 месяца в течение 2 лет, далее каждые 6 месяцев</t>
  </si>
  <si>
    <t>Контроль анализа на общий и ионизированный кальций крови (амб).</t>
  </si>
  <si>
    <t>Контрольное определение ТТГ, Парат-гормона, Т3, Т4 (амб).</t>
  </si>
  <si>
    <t>Контроль КТ органов брюшной полости, забрюшинного пространства с в/в контрастированием (амб).</t>
  </si>
  <si>
    <t>Контроль ОАК, ОАМ, Б/х крови, посев мочи через 1 мес.</t>
  </si>
  <si>
    <t xml:space="preserve">Контроль УЗИ почек через 1 мес., затем каждые 6 мес. </t>
  </si>
  <si>
    <t>Контроль КЩР, электролитов, ОАМ, ОАК, б/х крови перед каждым плановым посещением врача.</t>
  </si>
  <si>
    <t>Инъекции низкомолекулярных гепаринов (Клексан, Фраксипарин, Фрагмин) 1р/с п/к 1 мес.</t>
  </si>
  <si>
    <t>Капли Хилак Форте по 30 кап. х 3 р/д до еды в течение 1 недели</t>
  </si>
  <si>
    <t>Капли Леспенифрил внутрь перед едой по 1-2 чайной ложки 2-3 раза в сутки 1 мес.</t>
  </si>
  <si>
    <t>Контроль анализа состава отошедшего конкремента, б/х анализа суточной мочи амбулаторно.</t>
  </si>
  <si>
    <t>Осмотр дежурного уролога</t>
  </si>
  <si>
    <t>Деж.уролог</t>
  </si>
  <si>
    <t>Продолжение проводимой терапии в прежнем объеме</t>
  </si>
  <si>
    <t>ТУР ПЖ</t>
  </si>
  <si>
    <t>Показания к операции</t>
  </si>
  <si>
    <t>учитывая наличие ДГПЖ, неэффективности консервативной терапии, размеров простаты</t>
  </si>
  <si>
    <t>Удаление аденомы простаты</t>
  </si>
  <si>
    <t>Планируемое оперативное пособие</t>
  </si>
  <si>
    <t xml:space="preserve">Возможные осложнения </t>
  </si>
  <si>
    <t>Стриктура уретры, кровотечение, инфекционно-воспалительные изменения уретры, мочевого пузыря, разрыв мочевого пузыря, недержание мочи.</t>
  </si>
  <si>
    <t>Операция
 радикальная-1; паллиативная-2.</t>
  </si>
  <si>
    <t>ЛСК резекция левой почки</t>
  </si>
  <si>
    <t>Опухоль левой почки</t>
  </si>
  <si>
    <t>Избавление пациента от опухоли почки</t>
  </si>
  <si>
    <t>Лапароскопическая резекция левой  почки.</t>
  </si>
  <si>
    <t xml:space="preserve">Паренхиматозное почечное кровотечение, конверсия, кровотечение, инфекционные осложнения, нефрэктомия </t>
  </si>
  <si>
    <t>ПлАЭ</t>
  </si>
  <si>
    <t>Избавление пациента от аденомы простаты, восстановление самостоятельного мочеиспускания.</t>
  </si>
  <si>
    <t xml:space="preserve">Позадилонная аденомэктомия. </t>
  </si>
  <si>
    <t>Кровотечение во время и/или после операции, потребующее переливания компонентов крови, тромбоэмболические осложнения, воспалительные осложнения, нагноение послеоперационной раны, недержание мочи,  склероз простаты</t>
  </si>
  <si>
    <t xml:space="preserve">Учитывая клиническую картину инфравезикальной обструкции, наличия остаточной мочи, объема простаты, наличие цистостомы </t>
  </si>
  <si>
    <t>Цистоскопия</t>
  </si>
  <si>
    <t xml:space="preserve"> Стриктуры бульбо-мембранозного отдела уретры.</t>
  </si>
  <si>
    <t>оценка локализации, характера и протяженности стриктуры</t>
  </si>
  <si>
    <t xml:space="preserve">Уретроцистоскопия. ТУР - стенки мочевого пузыря. </t>
  </si>
  <si>
    <t>Стриктура уретры, кровотечение, инфекционно воспалительные изменения уретры, мочевого пузыря, разрыв мочевого пузыря. Склероз шейки мочевого пузыря. Необходимость открытого оперативного вмешательства.</t>
  </si>
  <si>
    <t>Циркумцизио</t>
  </si>
  <si>
    <t xml:space="preserve">Рубцовый фимоз. </t>
  </si>
  <si>
    <t>Иссечение тканей, приводящих к фимозу.</t>
  </si>
  <si>
    <t>Планируемое опер. пособие</t>
  </si>
  <si>
    <t>циркумцизио</t>
  </si>
  <si>
    <t>Кровотечение, гематома, инфекционные осложнения в послеоперационном периоде.</t>
  </si>
  <si>
    <t>Пейрони корпоропластика</t>
  </si>
  <si>
    <t xml:space="preserve">Фибропластическая индурация полового члена, приводящая к искривлению полового члена и затрудняющая проведение полового акта, является показанием к оперативному лечению. Учитывая размеры полового члена, сохранность эректильной функции, методом выбора оперативного вмешательства является корпоропластика лоскутом слизистой щеки.  </t>
  </si>
  <si>
    <t xml:space="preserve">Улучшение качества жизни. </t>
  </si>
  <si>
    <t>Корпоропластика белочной оболочки лоскутом слизистой щеки.</t>
  </si>
  <si>
    <t xml:space="preserve">Кровотечение, инфекционные осложнения, инфаркт миокарда, венозные тромботические осложнение, желудочно-кишечное кровотечение и т.д. </t>
  </si>
  <si>
    <t>ТУР МП</t>
  </si>
  <si>
    <t xml:space="preserve">Опухоль мочевого пузыря сT1NхMо. </t>
  </si>
  <si>
    <t xml:space="preserve">верификация диагноза и определения степени поражения а так же определения  гистологического строения опухоли. </t>
  </si>
  <si>
    <t xml:space="preserve">Уретроцистоскопия. ТУР-биопсия стенки мочевого пузыря. </t>
  </si>
  <si>
    <t>Стриктура уретры, кровотечение, инфекционно воспалительные изменения уретры, мочевого пузыря, разрыв мочевого пузыря. Склероз шейки мочевого пузыря. необходимость открытого оперативного вмешательства.</t>
  </si>
  <si>
    <t>о.Мармара</t>
  </si>
  <si>
    <t>Учитывая наличие рецидива варикоцеле слева, приводящего к патологическим изменениям спермограммы и болевому синдрому, методом выбора является выполнение микрохирургической варикоцелэктомии из подпахового доступа слева.</t>
  </si>
  <si>
    <t>Перевязка и пересечение патологических вен левого семенного канатика.</t>
  </si>
  <si>
    <t>Микрохирургическая варикоцелэктомия из подпахового доступа слева.</t>
  </si>
  <si>
    <t>ЛСК киста почки</t>
  </si>
  <si>
    <t>Киста правой почки, имеющая прогрессивный характер роста.</t>
  </si>
  <si>
    <t>Избавление пациентки от кисты правой почки</t>
  </si>
  <si>
    <t>Лапароскопическое иссечение стенок кисты правой  почки.</t>
  </si>
  <si>
    <t xml:space="preserve">Паренхиматозное почечное кровотечение, рецидив кисты. </t>
  </si>
  <si>
    <t>о.Лорда</t>
  </si>
  <si>
    <t>Наличие гидроцеле приводящей к болевой симптоматике.</t>
  </si>
  <si>
    <t>Избавление от водянки яичек.</t>
  </si>
  <si>
    <t>Пластика оболочек яичек по Лорду.</t>
  </si>
  <si>
    <t>Кровотечение во время и/или после операции, потребующее переливания компонентов крови, тромбоэмболические осложнения, воспалительные осложнения, нагноение послеоперационной раны, прогрессирование дыхательной, сердечно-сосудистой недостаточности.</t>
  </si>
  <si>
    <t>Орхэктомия</t>
  </si>
  <si>
    <t xml:space="preserve">Показания </t>
  </si>
  <si>
    <t>Гистологическая верификация, удаление первичного очага.</t>
  </si>
  <si>
    <t>Опер.  пособие</t>
  </si>
  <si>
    <t>Высокая орхфуникулэктомия слева.</t>
  </si>
  <si>
    <t>Кровотечение во время и/или после операции, потребующее переливания компонентов крови, тромбоэмболические осложнения, воспалительные осложнения, нагноение послеоперационной раны</t>
  </si>
  <si>
    <t>ЧПНЛТ</t>
  </si>
  <si>
    <t>Конкремент верхней трети правого мочеточника, приводящий к дилатации чашечно-лоханочной системе.</t>
  </si>
  <si>
    <t>Избавление от конкремента, ликвидация обструкции.</t>
  </si>
  <si>
    <t xml:space="preserve">Интерпозиция конкремента в лоханку правой почки, перкутанная чресфистульная нефролитотомия, нефростомия справа.  </t>
  </si>
  <si>
    <t>Кровотечение, инфекционные осложнения, ранение кишечника, желчного пузыря, печени. Необходимость установки стента.</t>
  </si>
  <si>
    <t>Лазерная энуклеация</t>
  </si>
  <si>
    <t>ДГПЖ, приводящая к ухудшению качества мочеиспускания, неэффективность консервативной терапии, наличие камня мочевого пузыря.</t>
  </si>
  <si>
    <t xml:space="preserve">Удаление аденоматозной ткани предстательной железы, камня мочевого пузыря.. </t>
  </si>
  <si>
    <t>Лазерная энуклеации (Diоderm Surgical™ Laser) долей предстательной железы, цистолитотомия.</t>
  </si>
  <si>
    <t>Стриктура уретры, кровотечение, инфекционно-воспалительные изменения уретры, мочевого пузыря, разрыв мочевого пузыря, недержание мочи, необходимость проведения аутокатетеризации.</t>
  </si>
  <si>
    <t>Цистэктомия Штудер</t>
  </si>
  <si>
    <t>Наличие инвазивного рака мочевого пузыря,  отсутствие прорастания задней уретры.</t>
  </si>
  <si>
    <t xml:space="preserve">Удаление мочевого пузыря с опухолью,  регионарных лимфатических узлов.     </t>
  </si>
  <si>
    <t>Радикальная цистэктомия, ортотопическая пластика мочевого пузыря по Studer.</t>
  </si>
  <si>
    <t>Кровотечение во время операции и в послеоперационном периоде, кишечная непроходимость, перитонит, несостоятельность анастомозов, острый пиелонефрит, развитие лимфоцеле, стриктура анастомоза, недержание мочи, ТЭЛА, инфаркт миокарда, воспалительные осложнения со стороны операционной раны</t>
  </si>
  <si>
    <t>КУЛТ</t>
  </si>
  <si>
    <t>Наличие конкремента правого мочеточника.</t>
  </si>
  <si>
    <t>Избавление от конкремента, восстановление пассажа мочи</t>
  </si>
  <si>
    <t xml:space="preserve">Уретероскопия. Уретеролитотрипсия. Уретеролитоэкстракция справа. </t>
  </si>
  <si>
    <t>Кровотечение, стриктура, перфорация мочеточника, тромбоэмболические осложнения.</t>
  </si>
  <si>
    <t>ЛСК радикальная нефрэктомия</t>
  </si>
  <si>
    <t>Опухоль левой почки сT3аNоMо.</t>
  </si>
  <si>
    <t>Избавление пациента от опухоли левой почки.</t>
  </si>
  <si>
    <t xml:space="preserve">Радикальная лапароскопическая левосторонняя нефрэктомия. </t>
  </si>
  <si>
    <t>Кровотечение во время и/или после операции, потребующее переливания компонентов крови, тромбоэмболические осложнения, воспалительные осложнения, нагноение послеоперационной раны, ранение 12-п кишки, желчных путей.</t>
  </si>
  <si>
    <t>РПЭ РТЛАЭ</t>
  </si>
  <si>
    <t xml:space="preserve"> Показания</t>
  </si>
  <si>
    <t>Клинически локализованный рак предстательной железы, отсутствие тяжелой сопутствующей патологии, ожидаемый прогноз жизни.</t>
  </si>
  <si>
    <t>Избавление пациента от рака простаты</t>
  </si>
  <si>
    <t xml:space="preserve">Радикальная позадилонная простатэктомия, тазовая лимфаденэктомия. </t>
  </si>
  <si>
    <t>Ботокс</t>
  </si>
  <si>
    <t xml:space="preserve">клиническая картина идиопатической детрузорной гиперактивности, рефрактерной к лечению м-холинолитиками. </t>
  </si>
  <si>
    <t>Улучшение качества жизни.</t>
  </si>
  <si>
    <t>Уретроцистоскопия под наркозом, введение 200 ЕД ботулинического токсина типа А в детрузор.</t>
  </si>
  <si>
    <t>Меатопластика</t>
  </si>
  <si>
    <t>Учитывая наличие  стриктуры ладьевидной ямки,  пациенту показано проведение меатотомии.</t>
  </si>
  <si>
    <t>Восстановление адекватного просвета уретры</t>
  </si>
  <si>
    <t xml:space="preserve"> Меатотомия</t>
  </si>
  <si>
    <t xml:space="preserve">Кровотечение во время и после операции, о. простатит, о. эпидидимит, рецедив стриктуры, несостоятельность швов. </t>
  </si>
  <si>
    <t>Пластика уретры</t>
  </si>
  <si>
    <t>Восстановление самостоятельного мочеиспускания</t>
  </si>
  <si>
    <t xml:space="preserve">Концевая уретропластика. </t>
  </si>
  <si>
    <t>Стриктура уретры, кровотечение, инфекционно воспалительные изменения уретры, мочевого пузыря</t>
  </si>
  <si>
    <t>Билатеральная орхэктомия</t>
  </si>
  <si>
    <t>РПЖ. Гормональная терапия.</t>
  </si>
  <si>
    <t>Максимальная андрогенная блокада</t>
  </si>
  <si>
    <t>Протоколы операций</t>
  </si>
  <si>
    <t>Показания</t>
  </si>
  <si>
    <t>N13.2</t>
  </si>
  <si>
    <t>Q63.0</t>
  </si>
  <si>
    <t>N13.5</t>
  </si>
  <si>
    <t>N28.8</t>
  </si>
  <si>
    <t>Q63.8</t>
  </si>
  <si>
    <t>N26</t>
  </si>
  <si>
    <t>N27.9</t>
  </si>
  <si>
    <t>N13.8</t>
  </si>
  <si>
    <t>Q63.3</t>
  </si>
  <si>
    <t>N13.4</t>
  </si>
  <si>
    <t>Q63.2</t>
  </si>
  <si>
    <t>N13.7</t>
  </si>
  <si>
    <t>N13.3</t>
  </si>
  <si>
    <t>N13.1</t>
  </si>
  <si>
    <t>Q63.1</t>
  </si>
  <si>
    <t>N13.6</t>
  </si>
  <si>
    <t>N28.1</t>
  </si>
  <si>
    <t>075.020</t>
  </si>
  <si>
    <t>N21.0</t>
  </si>
  <si>
    <t>075.030</t>
  </si>
  <si>
    <t>N20.1</t>
  </si>
  <si>
    <t>N21.1</t>
  </si>
  <si>
    <t>N21.8</t>
  </si>
  <si>
    <t>N20.0</t>
  </si>
  <si>
    <t>N21.9</t>
  </si>
  <si>
    <t>N15.1</t>
  </si>
  <si>
    <t>075.040</t>
  </si>
  <si>
    <t>N12</t>
  </si>
  <si>
    <t>N10</t>
  </si>
  <si>
    <t>S35.8</t>
  </si>
  <si>
    <t>075.050</t>
  </si>
  <si>
    <t>S37.81</t>
  </si>
  <si>
    <t>N35.0</t>
  </si>
  <si>
    <t>R30.0</t>
  </si>
  <si>
    <t>N40</t>
  </si>
  <si>
    <t>R33</t>
  </si>
  <si>
    <t>R39.1</t>
  </si>
  <si>
    <t>N32.0</t>
  </si>
  <si>
    <t>S37.80</t>
  </si>
  <si>
    <t>N35.1</t>
  </si>
  <si>
    <t>N35.9</t>
  </si>
  <si>
    <t>D29.2</t>
  </si>
  <si>
    <t>075.060</t>
  </si>
  <si>
    <t>S31.2</t>
  </si>
  <si>
    <t>R36</t>
  </si>
  <si>
    <t>N41.2</t>
  </si>
  <si>
    <t>N45.0</t>
  </si>
  <si>
    <t>N41.0</t>
  </si>
  <si>
    <t>N45.9</t>
  </si>
  <si>
    <t>N41.1</t>
  </si>
  <si>
    <t>S38.0</t>
  </si>
  <si>
    <t>S38.2</t>
  </si>
  <si>
    <t>N30.3</t>
  </si>
  <si>
    <t>075.070</t>
  </si>
  <si>
    <t>F98.0</t>
  </si>
  <si>
    <t>N30.9</t>
  </si>
  <si>
    <t>R32</t>
  </si>
  <si>
    <t>N30.0</t>
  </si>
  <si>
    <t>N30.1</t>
  </si>
  <si>
    <t>N30.8</t>
  </si>
  <si>
    <t>N30.2</t>
  </si>
  <si>
    <t>N32.3</t>
  </si>
  <si>
    <t>075.080</t>
  </si>
  <si>
    <t>N32.4</t>
  </si>
  <si>
    <t>S37.30</t>
  </si>
  <si>
    <t>S37.31</t>
  </si>
  <si>
    <t>S37.20</t>
  </si>
  <si>
    <t>Q64.1</t>
  </si>
  <si>
    <t>D41.4</t>
  </si>
  <si>
    <t>S37.21</t>
  </si>
  <si>
    <t>D30.3</t>
  </si>
  <si>
    <t>Q62.6</t>
  </si>
  <si>
    <t>075.090</t>
  </si>
  <si>
    <t>Q62.2</t>
  </si>
  <si>
    <t>Q54.4</t>
  </si>
  <si>
    <t>Q62.1</t>
  </si>
  <si>
    <t>Q62.5</t>
  </si>
  <si>
    <t>Q62.7</t>
  </si>
  <si>
    <t>Q64.0</t>
  </si>
  <si>
    <t>Z02.3</t>
  </si>
  <si>
    <t>Q62.3</t>
  </si>
  <si>
    <t>Q62.4</t>
  </si>
  <si>
    <t>Q62.8</t>
  </si>
  <si>
    <t>Q54.0</t>
  </si>
  <si>
    <t>Q64.9</t>
  </si>
  <si>
    <t>I86.1</t>
  </si>
  <si>
    <t>S31.3</t>
  </si>
  <si>
    <t>N43.0</t>
  </si>
  <si>
    <t>N50.8</t>
  </si>
  <si>
    <t>Q64.4</t>
  </si>
  <si>
    <t>D29.4</t>
  </si>
  <si>
    <t>075.100</t>
  </si>
  <si>
    <t>N36.2</t>
  </si>
  <si>
    <t>D29.7</t>
  </si>
  <si>
    <t>N47</t>
  </si>
  <si>
    <t>D23.9</t>
  </si>
  <si>
    <t>D29.0</t>
  </si>
  <si>
    <t>C62.1</t>
  </si>
  <si>
    <t>075.110</t>
  </si>
  <si>
    <t>C61</t>
  </si>
  <si>
    <t>C62.0</t>
  </si>
  <si>
    <t>C63.0</t>
  </si>
  <si>
    <t>C67.4</t>
  </si>
  <si>
    <t>075.120</t>
  </si>
  <si>
    <t>C67.8</t>
  </si>
  <si>
    <t>C67.1</t>
  </si>
  <si>
    <t>C67.2</t>
  </si>
  <si>
    <t>C67.0</t>
  </si>
  <si>
    <t>C67.6</t>
  </si>
  <si>
    <t>C67.3</t>
  </si>
  <si>
    <t>C67.5</t>
  </si>
  <si>
    <t>C67.7</t>
  </si>
  <si>
    <t>C67.9</t>
  </si>
  <si>
    <t>C65</t>
  </si>
  <si>
    <t>075.130</t>
  </si>
  <si>
    <t>C66</t>
  </si>
  <si>
    <t>C74.9</t>
  </si>
  <si>
    <t>C74.1</t>
  </si>
  <si>
    <t>C74.0</t>
  </si>
  <si>
    <t>D30.0</t>
  </si>
  <si>
    <t>D30.1</t>
  </si>
  <si>
    <t>D30.2</t>
  </si>
  <si>
    <t>C64</t>
  </si>
  <si>
    <t>E79.0</t>
  </si>
  <si>
    <t>075.140</t>
  </si>
  <si>
    <t>E74.8</t>
  </si>
  <si>
    <t>M10.9</t>
  </si>
  <si>
    <t>R10.4</t>
  </si>
  <si>
    <t>075.150</t>
  </si>
  <si>
    <t>R30.9</t>
  </si>
  <si>
    <t>N23</t>
  </si>
  <si>
    <t>Опухоль левого яичка с метастазами в л/у</t>
  </si>
  <si>
    <r>
      <t xml:space="preserve">Койко-день </t>
    </r>
    <r>
      <rPr>
        <b/>
        <sz val="11"/>
        <color indexed="8"/>
        <rFont val="Times New Roman"/>
        <family val="1"/>
        <charset val="204"/>
      </rPr>
      <t>общий</t>
    </r>
  </si>
  <si>
    <r>
      <t xml:space="preserve">Койко-день </t>
    </r>
    <r>
      <rPr>
        <b/>
        <sz val="11"/>
        <color indexed="8"/>
        <rFont val="Times New Roman"/>
        <family val="1"/>
        <charset val="204"/>
      </rPr>
      <t>до операции</t>
    </r>
  </si>
  <si>
    <r>
      <t xml:space="preserve">Койко-день </t>
    </r>
    <r>
      <rPr>
        <b/>
        <sz val="11"/>
        <color indexed="8"/>
        <rFont val="Times New Roman"/>
        <family val="1"/>
        <charset val="204"/>
      </rPr>
      <t>после операции</t>
    </r>
  </si>
  <si>
    <r>
      <t xml:space="preserve">Показание для обзорной урографии:
</t>
    </r>
    <r>
      <rPr>
        <sz val="12"/>
        <color indexed="8"/>
        <rFont val="Times New Roman"/>
        <family val="1"/>
        <charset val="204"/>
      </rPr>
      <t>У больного МКБ: конкремент правой почки, больному показано выполнение обзорной урографии для визуализации конкрементов</t>
    </r>
  </si>
  <si>
    <r>
      <t>Кровотечение во время и/или после операции, потребующее переливания компонентов крови, тромбоэмболические осложнения, воспалительные осложнения, нагноение послеоперационной раны, недержание мочи, эректильная дисфункция, лимфоцеле, стриктура уретровезикального анастомоза, уретроректальный свищ,</t>
    </r>
    <r>
      <rPr>
        <b/>
        <sz val="11"/>
        <color indexed="8"/>
        <rFont val="Times New Roman"/>
        <family val="1"/>
        <charset val="204"/>
      </rPr>
      <t xml:space="preserve"> </t>
    </r>
    <r>
      <rPr>
        <sz val="11"/>
        <color indexed="8"/>
        <rFont val="Times New Roman"/>
        <family val="1"/>
        <charset val="204"/>
      </rPr>
      <t>формирование уретероцистонеоанастамоза,</t>
    </r>
    <r>
      <rPr>
        <b/>
        <sz val="11"/>
        <color indexed="8"/>
        <rFont val="Times New Roman"/>
        <family val="1"/>
        <charset val="204"/>
      </rPr>
      <t xml:space="preserve"> </t>
    </r>
    <r>
      <rPr>
        <sz val="11"/>
        <color indexed="8"/>
        <rFont val="Times New Roman"/>
        <family val="1"/>
        <charset val="204"/>
      </rPr>
      <t>рецидив опухоли.</t>
    </r>
  </si>
  <si>
    <r>
      <t>Кровотечение во время и/или после операции, потребующее переливания компонентов крови, тромбоэмболические осложнения, воспалительные осложнения, недержание мочи, эректильная дисфункция, уретроректальный свищ,</t>
    </r>
    <r>
      <rPr>
        <b/>
        <sz val="11"/>
        <color indexed="8"/>
        <rFont val="Times New Roman"/>
        <family val="1"/>
        <charset val="204"/>
      </rPr>
      <t xml:space="preserve"> </t>
    </r>
    <r>
      <rPr>
        <sz val="11"/>
        <color indexed="8"/>
        <rFont val="Times New Roman"/>
        <family val="1"/>
        <charset val="204"/>
      </rPr>
      <t>формирование уретероцистонеоанастамоза,</t>
    </r>
    <r>
      <rPr>
        <b/>
        <sz val="11"/>
        <color indexed="8"/>
        <rFont val="Times New Roman"/>
        <family val="1"/>
        <charset val="204"/>
      </rPr>
      <t xml:space="preserve"> </t>
    </r>
    <r>
      <rPr>
        <sz val="11"/>
        <color indexed="8"/>
        <rFont val="Times New Roman"/>
        <family val="1"/>
        <charset val="204"/>
      </rPr>
      <t>рецидив опухоли.</t>
    </r>
  </si>
  <si>
    <t>Послеоперационный дневник</t>
  </si>
  <si>
    <t xml:space="preserve">Состояние  среднетяжелое. Температура 36,9С. Кожные покровы обычной окраски. Л/у доступные пальпации не увеличены. Дыхание в легких везикулярное. ЧД 16 в мин. Тоны сердца приглушены, ритмичные. АД 120/80, ЧСС 70 в мин. Живот не вздут, симметричный, мягкий, участвует в акте дыхания.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отрицательный с обеих сторон. Мочевой пузырь пальпаторно и перкуторно не определяется. Мочится самостоятельно. Уретрита нет. Органы мошонки: пальпируются оба яичка, варикоцеле, гидроцеле не определяется. Мочеиспускание не затрудненное, учащенное, безболезненное. Моча светлая, без примесей. </t>
  </si>
  <si>
    <t>Больной переведен из операционной.</t>
  </si>
  <si>
    <t>Тяжесть состояние больного соответствует времени и тяжести перенесенной операции.</t>
  </si>
  <si>
    <t>активно не предъявляет.</t>
  </si>
  <si>
    <t xml:space="preserve">Неосложненное течение послеоперационного периода. </t>
  </si>
  <si>
    <t>Показана выписка больного с рекомендациями.</t>
  </si>
  <si>
    <t>Выписной дневник</t>
  </si>
  <si>
    <t>Московские городские стандарты стационарной медицинской помощи</t>
  </si>
  <si>
    <t>для взрослого населения</t>
  </si>
  <si>
    <t xml:space="preserve"> Код МС</t>
  </si>
  <si>
    <t xml:space="preserve">  Шифр по                 МКБ-10</t>
  </si>
  <si>
    <t xml:space="preserve">     Наименования медицинского стандарта и заболеваний</t>
  </si>
  <si>
    <t xml:space="preserve">      Перечень диагностических        процедур</t>
  </si>
  <si>
    <t xml:space="preserve"> Крат-ность</t>
  </si>
  <si>
    <t xml:space="preserve">   Перечень лечебных процедур и воздействий</t>
  </si>
  <si>
    <t xml:space="preserve"> Сроки стац. лечения</t>
  </si>
  <si>
    <t xml:space="preserve">    Требования к результатам лечения</t>
  </si>
  <si>
    <t xml:space="preserve"> 75.010</t>
  </si>
  <si>
    <t>Гидронефроз, нефроптоз, нефросклероз, врожденные аномалии почек</t>
  </si>
  <si>
    <t xml:space="preserve"> ЛАБОРАТОРНАЯ</t>
  </si>
  <si>
    <t xml:space="preserve"> МЕДИКАМЕНТОЗНОЕ</t>
  </si>
  <si>
    <t xml:space="preserve"> Полная или </t>
  </si>
  <si>
    <t>Гидронефроз с обструкцией лоханочно-мочеточникового соединения</t>
  </si>
  <si>
    <t xml:space="preserve"> ДИАГНОСТИКА</t>
  </si>
  <si>
    <t xml:space="preserve"> ЛЕЧЕНИЕ</t>
  </si>
  <si>
    <t xml:space="preserve"> частичная санация</t>
  </si>
  <si>
    <t>Гидронефроз со стриктурой мочеточника, не классифицированный в других рубриках</t>
  </si>
  <si>
    <t xml:space="preserve"> (ОБЯЗАТЕЛЬНАЯ)</t>
  </si>
  <si>
    <t xml:space="preserve"> Атибактериальные</t>
  </si>
  <si>
    <t xml:space="preserve"> очага инфекции</t>
  </si>
  <si>
    <t>Гидронефроз с обструкцией почки и мочеточника камнем</t>
  </si>
  <si>
    <t xml:space="preserve"> Общий анализ крови</t>
  </si>
  <si>
    <t xml:space="preserve"> препараты</t>
  </si>
  <si>
    <t xml:space="preserve"> Улучшение</t>
  </si>
  <si>
    <t>Другие и неуточненные гидронефрозы</t>
  </si>
  <si>
    <t xml:space="preserve"> Мочевина крови</t>
  </si>
  <si>
    <t xml:space="preserve"> Уросептики</t>
  </si>
  <si>
    <t xml:space="preserve"> уродинамики</t>
  </si>
  <si>
    <t>Гидроуретер</t>
  </si>
  <si>
    <t xml:space="preserve"> Креатинин крови</t>
  </si>
  <si>
    <t xml:space="preserve"> Анальгетики</t>
  </si>
  <si>
    <t xml:space="preserve"> Нормализация или</t>
  </si>
  <si>
    <t>Перегиб и стриктура мочеточника без гидронефроза</t>
  </si>
  <si>
    <t xml:space="preserve"> Билирубин общий</t>
  </si>
  <si>
    <t xml:space="preserve"> Спазмолитики</t>
  </si>
  <si>
    <t xml:space="preserve"> улучшение</t>
  </si>
  <si>
    <t>Пионефроз</t>
  </si>
  <si>
    <t xml:space="preserve"> АЛТ</t>
  </si>
  <si>
    <t xml:space="preserve"> Гипотензивные</t>
  </si>
  <si>
    <t xml:space="preserve"> лабораторных</t>
  </si>
  <si>
    <t>Уропатия, обусловленная пузырно-мочеточниковым рефлюксом</t>
  </si>
  <si>
    <t xml:space="preserve"> ACT</t>
  </si>
  <si>
    <t xml:space="preserve"> показателей</t>
  </si>
  <si>
    <t>Другая обструктивная уропатия и рефлюкс-уропатия</t>
  </si>
  <si>
    <t xml:space="preserve"> Глюкоза крови</t>
  </si>
  <si>
    <t xml:space="preserve"> Снижение АД</t>
  </si>
  <si>
    <t>Сморщенная почка неуточненная</t>
  </si>
  <si>
    <t xml:space="preserve"> Группа крови</t>
  </si>
  <si>
    <t xml:space="preserve"> ФИЗИЧЕСКИЕ И </t>
  </si>
  <si>
    <t>Маленькая почка неуточненная</t>
  </si>
  <si>
    <t xml:space="preserve"> Резус-фактор</t>
  </si>
  <si>
    <t xml:space="preserve"> АКТИВНЫЕ</t>
  </si>
  <si>
    <t>Другие уточненные болезни почек и мочеточника</t>
  </si>
  <si>
    <t xml:space="preserve"> Коагулограмма</t>
  </si>
  <si>
    <t xml:space="preserve"> МЕТОДЫ ЛЕЧЕНИЯ</t>
  </si>
  <si>
    <t>Добавочная почка</t>
  </si>
  <si>
    <t xml:space="preserve"> Общий анализ мочи</t>
  </si>
  <si>
    <t xml:space="preserve"> (ОБЯЗАТЕЛЬНЫЕ)</t>
  </si>
  <si>
    <t>Слившаяся, дольчатая и подковообразная почка</t>
  </si>
  <si>
    <t xml:space="preserve"> Проба Реберга</t>
  </si>
  <si>
    <t xml:space="preserve"> Психотерапия (выбор</t>
  </si>
  <si>
    <t>Эктопическая почка</t>
  </si>
  <si>
    <t xml:space="preserve"> Анализ мочи</t>
  </si>
  <si>
    <t xml:space="preserve"> методов воздействия</t>
  </si>
  <si>
    <t>Гиперпластическая и гигантская почка</t>
  </si>
  <si>
    <t xml:space="preserve"> по Нечипоренко</t>
  </si>
  <si>
    <t xml:space="preserve"> по показаниям, см.</t>
  </si>
  <si>
    <t>Другие уточненные врожденные аномалии почки</t>
  </si>
  <si>
    <t xml:space="preserve"> Микроб исслед.</t>
  </si>
  <si>
    <t xml:space="preserve"> медицинский стандарт</t>
  </si>
  <si>
    <t xml:space="preserve"> мочи с идентиф.</t>
  </si>
  <si>
    <t xml:space="preserve"> стационарной</t>
  </si>
  <si>
    <t xml:space="preserve"> возбуд. и опред.</t>
  </si>
  <si>
    <t xml:space="preserve"> помощи 91).</t>
  </si>
  <si>
    <t xml:space="preserve"> чувств. к</t>
  </si>
  <si>
    <t xml:space="preserve"> антибиотикам</t>
  </si>
  <si>
    <t xml:space="preserve"> ОПЕРАТИВНОЕ </t>
  </si>
  <si>
    <t xml:space="preserve"> Кровь на ВИЧ и</t>
  </si>
  <si>
    <t xml:space="preserve"> ПОСОБИЕ</t>
  </si>
  <si>
    <t xml:space="preserve"> HBsAg</t>
  </si>
  <si>
    <t xml:space="preserve"> Открытая операция</t>
  </si>
  <si>
    <t xml:space="preserve"> Кровь на RW</t>
  </si>
  <si>
    <t xml:space="preserve"> Эндоурологическая</t>
  </si>
  <si>
    <t xml:space="preserve"> Гистологическое</t>
  </si>
  <si>
    <t xml:space="preserve"> операция</t>
  </si>
  <si>
    <t xml:space="preserve"> исследование</t>
  </si>
  <si>
    <t xml:space="preserve"> операционного</t>
  </si>
  <si>
    <t xml:space="preserve"> материала</t>
  </si>
  <si>
    <t xml:space="preserve"> ИНСТРУМЕНТАЛЬНАЯ</t>
  </si>
  <si>
    <t xml:space="preserve"> ЭКГ</t>
  </si>
  <si>
    <t xml:space="preserve"> Rg-графия грудной</t>
  </si>
  <si>
    <t xml:space="preserve"> клетки</t>
  </si>
  <si>
    <t xml:space="preserve"> В/венная</t>
  </si>
  <si>
    <t xml:space="preserve"> экскреторная</t>
  </si>
  <si>
    <t xml:space="preserve"> урография</t>
  </si>
  <si>
    <t xml:space="preserve"> УЗИ мочеполовой</t>
  </si>
  <si>
    <t xml:space="preserve"> системы</t>
  </si>
  <si>
    <t xml:space="preserve"> (ДОПОЛНИТЕЛЬНАЯ)</t>
  </si>
  <si>
    <t xml:space="preserve"> Брюшная аортография</t>
  </si>
  <si>
    <t xml:space="preserve"> Ренография изотопн.</t>
  </si>
  <si>
    <t xml:space="preserve"> Антеградная и</t>
  </si>
  <si>
    <t xml:space="preserve"> ретроградная</t>
  </si>
  <si>
    <t xml:space="preserve"> пиелография</t>
  </si>
  <si>
    <t xml:space="preserve"> КОНСУЛЬТАЦИИ</t>
  </si>
  <si>
    <t xml:space="preserve"> СПЕЦИАЛИСТОВ</t>
  </si>
  <si>
    <t xml:space="preserve"> Окулиста</t>
  </si>
  <si>
    <t xml:space="preserve"> Терапевта</t>
  </si>
  <si>
    <t xml:space="preserve"> Психотерапевта</t>
  </si>
  <si>
    <t xml:space="preserve"> Медицинского</t>
  </si>
  <si>
    <t xml:space="preserve"> психолога</t>
  </si>
  <si>
    <t xml:space="preserve"> 75.020</t>
  </si>
  <si>
    <t>Кисты почек</t>
  </si>
  <si>
    <t>Киста почки приобретенная</t>
  </si>
  <si>
    <t xml:space="preserve"> состояния</t>
  </si>
  <si>
    <t xml:space="preserve"> паренхимы почек</t>
  </si>
  <si>
    <t xml:space="preserve"> Кровь на ВИЧ</t>
  </si>
  <si>
    <t xml:space="preserve"> Психотерапия</t>
  </si>
  <si>
    <t xml:space="preserve"> Анализ мочи по</t>
  </si>
  <si>
    <t xml:space="preserve"> Зимницкому</t>
  </si>
  <si>
    <t xml:space="preserve"> Нечипоренко</t>
  </si>
  <si>
    <t xml:space="preserve"> HBs-антиген</t>
  </si>
  <si>
    <t xml:space="preserve"> УЗИ почек</t>
  </si>
  <si>
    <t xml:space="preserve"> Rg-графия мочевой</t>
  </si>
  <si>
    <t xml:space="preserve"> системы обзорная</t>
  </si>
  <si>
    <t xml:space="preserve"> Rg-графия гр.</t>
  </si>
  <si>
    <t xml:space="preserve"> Экскреторная</t>
  </si>
  <si>
    <t xml:space="preserve"> Кистография</t>
  </si>
  <si>
    <t xml:space="preserve"> Сцинтиграфия почек</t>
  </si>
  <si>
    <t xml:space="preserve"> Ренография</t>
  </si>
  <si>
    <t xml:space="preserve"> 75.030</t>
  </si>
  <si>
    <t>Камни почек, мочеточников, мочевых путей и пузыря</t>
  </si>
  <si>
    <t xml:space="preserve"> ОПЕРАЦИИ</t>
  </si>
  <si>
    <t xml:space="preserve"> Купирование</t>
  </si>
  <si>
    <t>Камни почки</t>
  </si>
  <si>
    <t xml:space="preserve"> болевого</t>
  </si>
  <si>
    <t>Камни мочеточника</t>
  </si>
  <si>
    <t xml:space="preserve"> ДЛТ</t>
  </si>
  <si>
    <t xml:space="preserve"> синдрома</t>
  </si>
  <si>
    <t>Камни в мочевом пузыре</t>
  </si>
  <si>
    <t xml:space="preserve"> Нормализация</t>
  </si>
  <si>
    <t>Камни в уретре</t>
  </si>
  <si>
    <t>Другие камни в нижних отделах мочевых путей</t>
  </si>
  <si>
    <t xml:space="preserve"> Консервативное</t>
  </si>
  <si>
    <t>Камни в нижних отделах мочевых путей неуточненные</t>
  </si>
  <si>
    <t xml:space="preserve"> лечение</t>
  </si>
  <si>
    <t xml:space="preserve"> Инфузионная терапия</t>
  </si>
  <si>
    <t xml:space="preserve"> Для ДЛТ полная</t>
  </si>
  <si>
    <t xml:space="preserve"> Противовоспалительная</t>
  </si>
  <si>
    <t xml:space="preserve"> дезинтеграция</t>
  </si>
  <si>
    <t xml:space="preserve"> терапия</t>
  </si>
  <si>
    <t xml:space="preserve"> камня с</t>
  </si>
  <si>
    <t xml:space="preserve"> Витаминотерапня</t>
  </si>
  <si>
    <t xml:space="preserve"> отхождением </t>
  </si>
  <si>
    <t xml:space="preserve"> Физиотерапия</t>
  </si>
  <si>
    <t xml:space="preserve"> до 2/3 массы</t>
  </si>
  <si>
    <t xml:space="preserve"> Химический состав</t>
  </si>
  <si>
    <t xml:space="preserve"> камня</t>
  </si>
  <si>
    <t xml:space="preserve"> ЩФ</t>
  </si>
  <si>
    <t xml:space="preserve"> Электролиты</t>
  </si>
  <si>
    <t xml:space="preserve"> Антибиотики</t>
  </si>
  <si>
    <t xml:space="preserve"> и ВИЧ</t>
  </si>
  <si>
    <t xml:space="preserve"> Иммуностимуляторы</t>
  </si>
  <si>
    <t xml:space="preserve"> Тест Говарда</t>
  </si>
  <si>
    <t xml:space="preserve"> Паратгормон</t>
  </si>
  <si>
    <t xml:space="preserve"> Ионизированный</t>
  </si>
  <si>
    <t xml:space="preserve"> кальций</t>
  </si>
  <si>
    <t xml:space="preserve"> УЗИ моч. пол.</t>
  </si>
  <si>
    <t xml:space="preserve"> Хромоцистоскопия</t>
  </si>
  <si>
    <t xml:space="preserve"> Обзорная урография</t>
  </si>
  <si>
    <t xml:space="preserve"> Динамическая</t>
  </si>
  <si>
    <t xml:space="preserve"> сцинтиграфия почек</t>
  </si>
  <si>
    <t xml:space="preserve"> Ретроградная</t>
  </si>
  <si>
    <t xml:space="preserve"> уретропиелография</t>
  </si>
  <si>
    <t xml:space="preserve"> УЗИ паращитовидных</t>
  </si>
  <si>
    <t xml:space="preserve"> желез</t>
  </si>
  <si>
    <t xml:space="preserve"> Антеградная</t>
  </si>
  <si>
    <t xml:space="preserve"> Нефролога</t>
  </si>
  <si>
    <t xml:space="preserve"> 75.040</t>
  </si>
  <si>
    <t xml:space="preserve"> Острый пиелонефрит,</t>
  </si>
  <si>
    <t xml:space="preserve"> Ликвидация очага</t>
  </si>
  <si>
    <t>карбункул, паранефрит.</t>
  </si>
  <si>
    <t xml:space="preserve"> гнойной инфекции</t>
  </si>
  <si>
    <t>Гнойные заболевания почек.</t>
  </si>
  <si>
    <t xml:space="preserve"> N10</t>
  </si>
  <si>
    <t xml:space="preserve"> Острый тубулоинтерстициаль-</t>
  </si>
  <si>
    <t>ный нефрит</t>
  </si>
  <si>
    <t xml:space="preserve"> Дезинтоксикационная</t>
  </si>
  <si>
    <t xml:space="preserve"> N12</t>
  </si>
  <si>
    <t>Тубулоинтерстициальный</t>
  </si>
  <si>
    <t xml:space="preserve"> нефрит, не уточненный как </t>
  </si>
  <si>
    <t xml:space="preserve"> Общий белок</t>
  </si>
  <si>
    <t>острый или хронический</t>
  </si>
  <si>
    <t xml:space="preserve"> N13.6</t>
  </si>
  <si>
    <t xml:space="preserve"> N15.1</t>
  </si>
  <si>
    <t xml:space="preserve">Абсцесс почки и </t>
  </si>
  <si>
    <t xml:space="preserve"> Анализ крови на</t>
  </si>
  <si>
    <t>околопочечной клетчатки</t>
  </si>
  <si>
    <t xml:space="preserve"> ВИЧ</t>
  </si>
  <si>
    <t xml:space="preserve"> Кровь на RW, HBsAg</t>
  </si>
  <si>
    <t xml:space="preserve"> мочи и др.</t>
  </si>
  <si>
    <t xml:space="preserve"> отделяемого с</t>
  </si>
  <si>
    <t xml:space="preserve"> идентиф.</t>
  </si>
  <si>
    <t xml:space="preserve"> Обзорная</t>
  </si>
  <si>
    <t xml:space="preserve"> Цистоскопия</t>
  </si>
  <si>
    <t xml:space="preserve"> Радиоизотопная</t>
  </si>
  <si>
    <t xml:space="preserve"> ренография</t>
  </si>
  <si>
    <t xml:space="preserve"> Хирурга</t>
  </si>
  <si>
    <t xml:space="preserve"> 75.050</t>
  </si>
  <si>
    <t xml:space="preserve"> Аденома</t>
  </si>
  <si>
    <t xml:space="preserve"> предстательной железы</t>
  </si>
  <si>
    <t>Склероз шейки мочевого пузыря</t>
  </si>
  <si>
    <t>Стриктура уретры</t>
  </si>
  <si>
    <t xml:space="preserve"> Восстановление</t>
  </si>
  <si>
    <t>Травма предстательной железы</t>
  </si>
  <si>
    <t xml:space="preserve"> N32.0</t>
  </si>
  <si>
    <t xml:space="preserve"> Обтурация шейки</t>
  </si>
  <si>
    <t xml:space="preserve"> мочевого пузыря</t>
  </si>
  <si>
    <t xml:space="preserve"> N35.0</t>
  </si>
  <si>
    <t xml:space="preserve"> Посттравматическая</t>
  </si>
  <si>
    <t xml:space="preserve"> Анализ крови на ВИЧ</t>
  </si>
  <si>
    <t xml:space="preserve"> стриктура уретры</t>
  </si>
  <si>
    <t xml:space="preserve"> N35.1</t>
  </si>
  <si>
    <t>Постинфекционная</t>
  </si>
  <si>
    <t xml:space="preserve"> стриктура уретры, не </t>
  </si>
  <si>
    <t xml:space="preserve"> Кровь на</t>
  </si>
  <si>
    <t xml:space="preserve"> ЛФК</t>
  </si>
  <si>
    <t>классифицированная в других</t>
  </si>
  <si>
    <t xml:space="preserve"> RW, HBsAg</t>
  </si>
  <si>
    <t>рубриках</t>
  </si>
  <si>
    <t xml:space="preserve"> N35.8</t>
  </si>
  <si>
    <t xml:space="preserve"> Другая стриктура уретры</t>
  </si>
  <si>
    <t xml:space="preserve"> N35.9</t>
  </si>
  <si>
    <t xml:space="preserve"> Стриктура уретры</t>
  </si>
  <si>
    <t xml:space="preserve"> неуточненная</t>
  </si>
  <si>
    <t xml:space="preserve"> N40</t>
  </si>
  <si>
    <t xml:space="preserve"> Гиперплазия</t>
  </si>
  <si>
    <t>Дизурия</t>
  </si>
  <si>
    <t xml:space="preserve"> Термотерапия</t>
  </si>
  <si>
    <t>Задержка мочи</t>
  </si>
  <si>
    <t>Другие трудности, связанные с</t>
  </si>
  <si>
    <t>мочеиспусканием</t>
  </si>
  <si>
    <t xml:space="preserve"> Микроб. исслед.</t>
  </si>
  <si>
    <t xml:space="preserve"> S37.80</t>
  </si>
  <si>
    <t>Травма других тазовых органов</t>
  </si>
  <si>
    <t>без открытой раны в брюшную</t>
  </si>
  <si>
    <t>полость</t>
  </si>
  <si>
    <t xml:space="preserve"> S37.81</t>
  </si>
  <si>
    <t>с открытой раны в брюшную</t>
  </si>
  <si>
    <t xml:space="preserve"> Цитологическое</t>
  </si>
  <si>
    <t xml:space="preserve"> пунктата</t>
  </si>
  <si>
    <t xml:space="preserve"> предстательной</t>
  </si>
  <si>
    <t xml:space="preserve"> железы</t>
  </si>
  <si>
    <t xml:space="preserve"> PSA</t>
  </si>
  <si>
    <t xml:space="preserve"> Кислая фосфотаза</t>
  </si>
  <si>
    <t xml:space="preserve"> Простетическая</t>
  </si>
  <si>
    <t xml:space="preserve"> фракция кислой</t>
  </si>
  <si>
    <t xml:space="preserve"> фосфотазы</t>
  </si>
  <si>
    <t xml:space="preserve"> уретрография</t>
  </si>
  <si>
    <t xml:space="preserve"> Экскреторн.</t>
  </si>
  <si>
    <t xml:space="preserve"> урограф.</t>
  </si>
  <si>
    <t xml:space="preserve"> Физиотерапевта</t>
  </si>
  <si>
    <t xml:space="preserve"> 75.060</t>
  </si>
  <si>
    <t>Острый, хронический простатит,</t>
  </si>
  <si>
    <t xml:space="preserve"> Устранение</t>
  </si>
  <si>
    <t xml:space="preserve"> орхит, эпидидимит </t>
  </si>
  <si>
    <t xml:space="preserve"> воспалительных</t>
  </si>
  <si>
    <t>Травма наружных половых</t>
  </si>
  <si>
    <t xml:space="preserve"> явлений</t>
  </si>
  <si>
    <t>органов</t>
  </si>
  <si>
    <t xml:space="preserve"> Анализ крови</t>
  </si>
  <si>
    <t xml:space="preserve"> Уроантисептики</t>
  </si>
  <si>
    <t xml:space="preserve"> D29.2</t>
  </si>
  <si>
    <t xml:space="preserve"> Доброкачественные</t>
  </si>
  <si>
    <t xml:space="preserve"> Противовоспалительные</t>
  </si>
  <si>
    <t xml:space="preserve"> клинических и</t>
  </si>
  <si>
    <t xml:space="preserve"> новообразования</t>
  </si>
  <si>
    <t xml:space="preserve"> яичка</t>
  </si>
  <si>
    <t xml:space="preserve"> N41.0</t>
  </si>
  <si>
    <t xml:space="preserve"> Острый простатит</t>
  </si>
  <si>
    <t xml:space="preserve"> Жаропонижающие</t>
  </si>
  <si>
    <t xml:space="preserve"> N41.1</t>
  </si>
  <si>
    <t xml:space="preserve"> Хронический простатит</t>
  </si>
  <si>
    <t xml:space="preserve"> дизурии</t>
  </si>
  <si>
    <t xml:space="preserve"> N41.2</t>
  </si>
  <si>
    <t xml:space="preserve">Абсцесс редстательной </t>
  </si>
  <si>
    <t>железы</t>
  </si>
  <si>
    <t xml:space="preserve"> ОПЕРАТИВНОЕ</t>
  </si>
  <si>
    <t xml:space="preserve"> N45.0</t>
  </si>
  <si>
    <t xml:space="preserve"> Орхит, эпидидимит и</t>
  </si>
  <si>
    <t xml:space="preserve"> эпидидимоорхит с</t>
  </si>
  <si>
    <t xml:space="preserve"> Троакарная</t>
  </si>
  <si>
    <t xml:space="preserve"> абсцессом</t>
  </si>
  <si>
    <t xml:space="preserve"> цистостомия</t>
  </si>
  <si>
    <t xml:space="preserve"> N45.9</t>
  </si>
  <si>
    <t xml:space="preserve"> отделяемого для</t>
  </si>
  <si>
    <t xml:space="preserve"> Эпицистостомия</t>
  </si>
  <si>
    <t xml:space="preserve">  эпидидимоорхит без</t>
  </si>
  <si>
    <t xml:space="preserve"> идентиф. возбуд.</t>
  </si>
  <si>
    <t xml:space="preserve"> Промежностная</t>
  </si>
  <si>
    <t>упоминания об абсцессе</t>
  </si>
  <si>
    <t xml:space="preserve"> и опред. чувств.</t>
  </si>
  <si>
    <t xml:space="preserve"> пункция абсцесса</t>
  </si>
  <si>
    <t>Выделения из уретры</t>
  </si>
  <si>
    <t xml:space="preserve"> к антибиотикам</t>
  </si>
  <si>
    <t xml:space="preserve"> простаты под УЗ -</t>
  </si>
  <si>
    <t xml:space="preserve"> S31.2</t>
  </si>
  <si>
    <t xml:space="preserve"> Открытая рана</t>
  </si>
  <si>
    <t xml:space="preserve"> Анализ секрета</t>
  </si>
  <si>
    <t xml:space="preserve"> контролем</t>
  </si>
  <si>
    <t xml:space="preserve"> полового члена</t>
  </si>
  <si>
    <t xml:space="preserve"> простаты</t>
  </si>
  <si>
    <t xml:space="preserve"> Вскрытие абсцесса</t>
  </si>
  <si>
    <t xml:space="preserve"> S38.0</t>
  </si>
  <si>
    <t xml:space="preserve"> Размозжение наружных</t>
  </si>
  <si>
    <t xml:space="preserve"> Иммунодиагностика</t>
  </si>
  <si>
    <t xml:space="preserve"> половых органов</t>
  </si>
  <si>
    <t xml:space="preserve"> микоуреаплазмоза,</t>
  </si>
  <si>
    <t xml:space="preserve"> S38.2</t>
  </si>
  <si>
    <t xml:space="preserve">Травматическая ампутация </t>
  </si>
  <si>
    <t xml:space="preserve"> хламидиоза</t>
  </si>
  <si>
    <t>наружных половых органов</t>
  </si>
  <si>
    <t xml:space="preserve"> УЗИ простаты</t>
  </si>
  <si>
    <t xml:space="preserve"> УЗИ мочевого пузыря</t>
  </si>
  <si>
    <t xml:space="preserve"> Пункция</t>
  </si>
  <si>
    <t xml:space="preserve"> сперматоцеле</t>
  </si>
  <si>
    <t xml:space="preserve"> УЗИ яичка</t>
  </si>
  <si>
    <t xml:space="preserve"> 75.070</t>
  </si>
  <si>
    <t xml:space="preserve"> Цистит</t>
  </si>
  <si>
    <t xml:space="preserve"> F98.0</t>
  </si>
  <si>
    <t xml:space="preserve"> Энурез неорганической</t>
  </si>
  <si>
    <t xml:space="preserve"> природы</t>
  </si>
  <si>
    <t xml:space="preserve"> Антибактериальные</t>
  </si>
  <si>
    <t xml:space="preserve"> N30.0</t>
  </si>
  <si>
    <t xml:space="preserve"> Острый цистит</t>
  </si>
  <si>
    <t xml:space="preserve"> средства</t>
  </si>
  <si>
    <t xml:space="preserve"> N30.1</t>
  </si>
  <si>
    <t xml:space="preserve"> Интерстициальный</t>
  </si>
  <si>
    <t xml:space="preserve"> клинич.</t>
  </si>
  <si>
    <t>(хронический) цистит</t>
  </si>
  <si>
    <t xml:space="preserve"> N30.2</t>
  </si>
  <si>
    <t xml:space="preserve"> Другой хронический</t>
  </si>
  <si>
    <t xml:space="preserve"> Дезинтоксикационные</t>
  </si>
  <si>
    <t xml:space="preserve"> цистит</t>
  </si>
  <si>
    <t xml:space="preserve"> N30.3</t>
  </si>
  <si>
    <t xml:space="preserve"> Тригонит</t>
  </si>
  <si>
    <t xml:space="preserve"> N30.8</t>
  </si>
  <si>
    <t xml:space="preserve">Другие  циститы </t>
  </si>
  <si>
    <t xml:space="preserve"> N30.9</t>
  </si>
  <si>
    <t xml:space="preserve">  Цистит неуточненный </t>
  </si>
  <si>
    <t xml:space="preserve"> R32</t>
  </si>
  <si>
    <t>Недержание мочи неуточненное</t>
  </si>
  <si>
    <t>Обследование призывников</t>
  </si>
  <si>
    <t>в вооруженные силлы</t>
  </si>
  <si>
    <t xml:space="preserve"> Микроволновая терапия</t>
  </si>
  <si>
    <t xml:space="preserve"> (КВЧ)</t>
  </si>
  <si>
    <t xml:space="preserve"> Гистология</t>
  </si>
  <si>
    <t xml:space="preserve"> биоптата</t>
  </si>
  <si>
    <t xml:space="preserve"> Анализ крови на RW</t>
  </si>
  <si>
    <t xml:space="preserve"> (ДОПОЛНИТЕЛЬНЫЕ)</t>
  </si>
  <si>
    <t xml:space="preserve"> Иглорефлексотерапия</t>
  </si>
  <si>
    <t xml:space="preserve"> Гормоны крови</t>
  </si>
  <si>
    <t xml:space="preserve"> IgG, IpM</t>
  </si>
  <si>
    <t xml:space="preserve"> Цистоскопия с</t>
  </si>
  <si>
    <t xml:space="preserve"> биопс.</t>
  </si>
  <si>
    <t xml:space="preserve"> Рефлексотерапевта</t>
  </si>
  <si>
    <t xml:space="preserve"> 75.080</t>
  </si>
  <si>
    <t>Повреждения, дивертикул</t>
  </si>
  <si>
    <t>мочевого пузыря</t>
  </si>
  <si>
    <t xml:space="preserve"> D30.3</t>
  </si>
  <si>
    <t xml:space="preserve"> Антибактериальная</t>
  </si>
  <si>
    <t xml:space="preserve"> терапия уросептиками</t>
  </si>
  <si>
    <t xml:space="preserve"> и антибактериальными</t>
  </si>
  <si>
    <t xml:space="preserve"> D41.4</t>
  </si>
  <si>
    <t>Новообразование неопределен-</t>
  </si>
  <si>
    <t xml:space="preserve"> препаратами</t>
  </si>
  <si>
    <t>ного или неизвестного</t>
  </si>
  <si>
    <t>характера мочевого пузыря</t>
  </si>
  <si>
    <t xml:space="preserve"> и HBsAg</t>
  </si>
  <si>
    <t xml:space="preserve"> N32.3</t>
  </si>
  <si>
    <t xml:space="preserve"> Дивертикул мочевого</t>
  </si>
  <si>
    <t xml:space="preserve"> пузыря</t>
  </si>
  <si>
    <t xml:space="preserve"> N32.4</t>
  </si>
  <si>
    <t xml:space="preserve"> Разрыв мочевого</t>
  </si>
  <si>
    <t xml:space="preserve"> нетравматический</t>
  </si>
  <si>
    <t xml:space="preserve"> Q64.1</t>
  </si>
  <si>
    <t xml:space="preserve"> Экстрофия мочевого</t>
  </si>
  <si>
    <t xml:space="preserve"> S37.20</t>
  </si>
  <si>
    <t xml:space="preserve"> Травма мочевого пузыря</t>
  </si>
  <si>
    <t xml:space="preserve"> S37.21</t>
  </si>
  <si>
    <t>ДИАГНОСТИКА</t>
  </si>
  <si>
    <t xml:space="preserve"> S37.30</t>
  </si>
  <si>
    <t xml:space="preserve"> Травма</t>
  </si>
  <si>
    <t xml:space="preserve"> мочеиспускательного</t>
  </si>
  <si>
    <t xml:space="preserve"> Компьютерная</t>
  </si>
  <si>
    <t xml:space="preserve"> канала</t>
  </si>
  <si>
    <t xml:space="preserve"> томография</t>
  </si>
  <si>
    <t xml:space="preserve"> Цистоскопия,</t>
  </si>
  <si>
    <t xml:space="preserve"> цистоуретрография</t>
  </si>
  <si>
    <t xml:space="preserve"> S37.31</t>
  </si>
  <si>
    <t xml:space="preserve"> контрастцистография</t>
  </si>
  <si>
    <t xml:space="preserve"> Экскрет, урография</t>
  </si>
  <si>
    <t xml:space="preserve"> Терапевт</t>
  </si>
  <si>
    <t xml:space="preserve"> Хирург</t>
  </si>
  <si>
    <t xml:space="preserve"> Гинеколог</t>
  </si>
  <si>
    <t xml:space="preserve"> 75.090</t>
  </si>
  <si>
    <t xml:space="preserve"> Варикоцеле, гидроцеле,</t>
  </si>
  <si>
    <t xml:space="preserve"> Клиническое</t>
  </si>
  <si>
    <t>гипоспадия, эписпадия</t>
  </si>
  <si>
    <t xml:space="preserve"> выздоровление</t>
  </si>
  <si>
    <t xml:space="preserve">Врожденные аномалии </t>
  </si>
  <si>
    <t xml:space="preserve"> Отсутствие</t>
  </si>
  <si>
    <t>мочевых путей</t>
  </si>
  <si>
    <t xml:space="preserve"> послеоперационных</t>
  </si>
  <si>
    <t xml:space="preserve"> I86.1</t>
  </si>
  <si>
    <t xml:space="preserve"> Варикозное расширение</t>
  </si>
  <si>
    <t xml:space="preserve"> осложнений</t>
  </si>
  <si>
    <t xml:space="preserve"> вен мошонки</t>
  </si>
  <si>
    <t xml:space="preserve"> N43.0</t>
  </si>
  <si>
    <t>Гидроцеле осумкованное</t>
  </si>
  <si>
    <t xml:space="preserve"> N50.8</t>
  </si>
  <si>
    <t xml:space="preserve">Другие уточненные болезни </t>
  </si>
  <si>
    <t>мужских половых органов</t>
  </si>
  <si>
    <t xml:space="preserve"> Q54.0</t>
  </si>
  <si>
    <t xml:space="preserve"> Гипоспадия головки </t>
  </si>
  <si>
    <t xml:space="preserve"> Анализ мочи общий</t>
  </si>
  <si>
    <t>полового члена</t>
  </si>
  <si>
    <t xml:space="preserve"> Гист. исслед.</t>
  </si>
  <si>
    <t xml:space="preserve"> Q54.4</t>
  </si>
  <si>
    <t>Врожденное искривление</t>
  </si>
  <si>
    <t xml:space="preserve"> операц. материала</t>
  </si>
  <si>
    <t xml:space="preserve"> Кровь на RW и</t>
  </si>
  <si>
    <t xml:space="preserve"> Q62.1</t>
  </si>
  <si>
    <t xml:space="preserve"> Атрезия и стеноз</t>
  </si>
  <si>
    <t xml:space="preserve"> Эндохирургическая</t>
  </si>
  <si>
    <t xml:space="preserve"> мочеточника</t>
  </si>
  <si>
    <t xml:space="preserve"> Q62.2</t>
  </si>
  <si>
    <t xml:space="preserve"> Врожденное расширение</t>
  </si>
  <si>
    <t xml:space="preserve"> мочеточника (врожденный</t>
  </si>
  <si>
    <t>мегалоуретер)</t>
  </si>
  <si>
    <t xml:space="preserve"> Q62.3</t>
  </si>
  <si>
    <t>Другие врожденные нарушения</t>
  </si>
  <si>
    <t>проходимости почечной</t>
  </si>
  <si>
    <t>лоханки и мочеточника</t>
  </si>
  <si>
    <t xml:space="preserve"> Q62.4</t>
  </si>
  <si>
    <t>Агенезия мочеточника</t>
  </si>
  <si>
    <t xml:space="preserve"> Q62.5</t>
  </si>
  <si>
    <t xml:space="preserve"> Удвоение мочеточника</t>
  </si>
  <si>
    <t xml:space="preserve"> Q62.6</t>
  </si>
  <si>
    <t xml:space="preserve"> Неправильное</t>
  </si>
  <si>
    <t xml:space="preserve"> Rg-графия органов</t>
  </si>
  <si>
    <t xml:space="preserve"> расположение</t>
  </si>
  <si>
    <t xml:space="preserve"> груднов клетки</t>
  </si>
  <si>
    <t xml:space="preserve"> Q62.7</t>
  </si>
  <si>
    <t xml:space="preserve"> Врожденныйпузырно-мочеточ-</t>
  </si>
  <si>
    <t>никово-почечный рефлюкс</t>
  </si>
  <si>
    <t xml:space="preserve"> Допплерография</t>
  </si>
  <si>
    <t xml:space="preserve"> Q62.8</t>
  </si>
  <si>
    <t xml:space="preserve"> Другие врожденные</t>
  </si>
  <si>
    <t xml:space="preserve"> яичной артерии</t>
  </si>
  <si>
    <t xml:space="preserve"> аномалии мочеточника</t>
  </si>
  <si>
    <t xml:space="preserve"> Q64.0</t>
  </si>
  <si>
    <t xml:space="preserve"> Эписпадия</t>
  </si>
  <si>
    <t xml:space="preserve"> Q64.4</t>
  </si>
  <si>
    <t xml:space="preserve"> Аномалии урахуса</t>
  </si>
  <si>
    <t xml:space="preserve"> Флебография почек</t>
  </si>
  <si>
    <t xml:space="preserve"> Q64.9</t>
  </si>
  <si>
    <t>Врожденная аномалия</t>
  </si>
  <si>
    <t xml:space="preserve"> мочевыделительной системы</t>
  </si>
  <si>
    <t>неуточненная</t>
  </si>
  <si>
    <t xml:space="preserve"> S31.3</t>
  </si>
  <si>
    <t xml:space="preserve"> Открытая рана мошонки</t>
  </si>
  <si>
    <t xml:space="preserve"> и яичек</t>
  </si>
  <si>
    <t xml:space="preserve"> 75.100</t>
  </si>
  <si>
    <t xml:space="preserve">Полип уретры, фимоз, </t>
  </si>
  <si>
    <t xml:space="preserve"> Анатомо-</t>
  </si>
  <si>
    <t>парафимоз. Рана полового члена</t>
  </si>
  <si>
    <t xml:space="preserve"> морфологи-</t>
  </si>
  <si>
    <t xml:space="preserve"> D23.9</t>
  </si>
  <si>
    <t>Другие доброкачественные</t>
  </si>
  <si>
    <t xml:space="preserve"> ческое улучшение</t>
  </si>
  <si>
    <t>новообразования кожи</t>
  </si>
  <si>
    <t xml:space="preserve"> состояния органа</t>
  </si>
  <si>
    <t>неуточненной локализации</t>
  </si>
  <si>
    <t xml:space="preserve"> D29.0</t>
  </si>
  <si>
    <t xml:space="preserve"> D29.4</t>
  </si>
  <si>
    <t xml:space="preserve"> мошонки</t>
  </si>
  <si>
    <t xml:space="preserve"> D29.7</t>
  </si>
  <si>
    <t xml:space="preserve"> новообразования других</t>
  </si>
  <si>
    <t xml:space="preserve"> Гистологическое,</t>
  </si>
  <si>
    <t xml:space="preserve"> цитологическое</t>
  </si>
  <si>
    <t xml:space="preserve"> N36.2</t>
  </si>
  <si>
    <t>Уретральный карункул</t>
  </si>
  <si>
    <t xml:space="preserve"> N47</t>
  </si>
  <si>
    <t xml:space="preserve"> Избыточная  крайняя</t>
  </si>
  <si>
    <t xml:space="preserve"> плоть,фимоз и парафимоз</t>
  </si>
  <si>
    <t xml:space="preserve"> Rg-графия</t>
  </si>
  <si>
    <t xml:space="preserve"> грудной клетки</t>
  </si>
  <si>
    <t xml:space="preserve"> 75.110</t>
  </si>
  <si>
    <t>Рак предстательной железы,</t>
  </si>
  <si>
    <t xml:space="preserve"> Удаление или</t>
  </si>
  <si>
    <t>яичка, придатка яичка</t>
  </si>
  <si>
    <t xml:space="preserve"> уменьшение</t>
  </si>
  <si>
    <t xml:space="preserve"> С61</t>
  </si>
  <si>
    <t xml:space="preserve"> Злокачественное</t>
  </si>
  <si>
    <t xml:space="preserve"> размеров опухоли</t>
  </si>
  <si>
    <t xml:space="preserve"> новообразование</t>
  </si>
  <si>
    <t xml:space="preserve"> С62.0</t>
  </si>
  <si>
    <t xml:space="preserve"> Злокачественные</t>
  </si>
  <si>
    <t xml:space="preserve"> неопустившегося яичка</t>
  </si>
  <si>
    <t xml:space="preserve"> Гормональные</t>
  </si>
  <si>
    <t xml:space="preserve"> С62.1</t>
  </si>
  <si>
    <t xml:space="preserve"> Химиотерапия</t>
  </si>
  <si>
    <t>опущенного яичка</t>
  </si>
  <si>
    <t xml:space="preserve"> С63.0</t>
  </si>
  <si>
    <t>придатка яичка</t>
  </si>
  <si>
    <t xml:space="preserve"> С 60.1</t>
  </si>
  <si>
    <t>Рак полового члена</t>
  </si>
  <si>
    <t xml:space="preserve"> Гистология биоптата</t>
  </si>
  <si>
    <t xml:space="preserve"> Эндоскопическая</t>
  </si>
  <si>
    <t xml:space="preserve"> Биопсия</t>
  </si>
  <si>
    <t xml:space="preserve"> ДОПОЛНИТЕЛЬНАЯ</t>
  </si>
  <si>
    <t xml:space="preserve"> парааортальной</t>
  </si>
  <si>
    <t xml:space="preserve"> области</t>
  </si>
  <si>
    <t xml:space="preserve"> Сцинтиграфия</t>
  </si>
  <si>
    <t xml:space="preserve"> скелета</t>
  </si>
  <si>
    <t xml:space="preserve"> Онколога</t>
  </si>
  <si>
    <t xml:space="preserve"> 75.120</t>
  </si>
  <si>
    <t>Рак мочевого пузыря</t>
  </si>
  <si>
    <t xml:space="preserve"> Удаление опухоли</t>
  </si>
  <si>
    <t xml:space="preserve"> С67.0</t>
  </si>
  <si>
    <t xml:space="preserve"> треугольника</t>
  </si>
  <si>
    <t xml:space="preserve"> С67.1</t>
  </si>
  <si>
    <t xml:space="preserve"> болевого синдрома</t>
  </si>
  <si>
    <t xml:space="preserve"> купола</t>
  </si>
  <si>
    <t xml:space="preserve"> С67.2</t>
  </si>
  <si>
    <t xml:space="preserve"> ФИЗИЧЕСКИЕ </t>
  </si>
  <si>
    <t xml:space="preserve"> боковой стенки</t>
  </si>
  <si>
    <t xml:space="preserve"> И АКТИВНЫЕ</t>
  </si>
  <si>
    <t xml:space="preserve"> С67.3</t>
  </si>
  <si>
    <t xml:space="preserve"> передней стенки</t>
  </si>
  <si>
    <t xml:space="preserve"> С67.4</t>
  </si>
  <si>
    <t xml:space="preserve"> задней стенки</t>
  </si>
  <si>
    <t xml:space="preserve"> АСТ</t>
  </si>
  <si>
    <t xml:space="preserve"> С67.5</t>
  </si>
  <si>
    <t xml:space="preserve"> шейки мочевого пузыря</t>
  </si>
  <si>
    <t xml:space="preserve"> С67.6</t>
  </si>
  <si>
    <t xml:space="preserve"> мочеточникового</t>
  </si>
  <si>
    <t xml:space="preserve"> отверстия</t>
  </si>
  <si>
    <t xml:space="preserve"> С67.7</t>
  </si>
  <si>
    <t xml:space="preserve"> мочевого пузыря,</t>
  </si>
  <si>
    <t xml:space="preserve"> первичного мочевого</t>
  </si>
  <si>
    <t xml:space="preserve"> протока (урахуса)</t>
  </si>
  <si>
    <t xml:space="preserve"> С67.8</t>
  </si>
  <si>
    <t xml:space="preserve"> выходящие за пределы одной</t>
  </si>
  <si>
    <t xml:space="preserve"> и более вышеуказанных</t>
  </si>
  <si>
    <t xml:space="preserve"> локализаций</t>
  </si>
  <si>
    <t xml:space="preserve"> С67.9</t>
  </si>
  <si>
    <t xml:space="preserve"> неуточненной</t>
  </si>
  <si>
    <t xml:space="preserve"> части</t>
  </si>
  <si>
    <t xml:space="preserve"> 75.130</t>
  </si>
  <si>
    <t>Опухоль почки, мочеточников,</t>
  </si>
  <si>
    <t>надпочечников</t>
  </si>
  <si>
    <t xml:space="preserve"> C64</t>
  </si>
  <si>
    <t xml:space="preserve"> лаб. показателей</t>
  </si>
  <si>
    <t xml:space="preserve"> почки, кроме почечных</t>
  </si>
  <si>
    <t xml:space="preserve"> лоханок</t>
  </si>
  <si>
    <t xml:space="preserve"> C65</t>
  </si>
  <si>
    <t xml:space="preserve"> почечных лоханок</t>
  </si>
  <si>
    <t xml:space="preserve"> C66</t>
  </si>
  <si>
    <t xml:space="preserve"> Химиопрепараты</t>
  </si>
  <si>
    <t xml:space="preserve"> C74.0</t>
  </si>
  <si>
    <t>коры надпочечника</t>
  </si>
  <si>
    <t xml:space="preserve"> C74.1</t>
  </si>
  <si>
    <t>мозгового слоя надпочечника</t>
  </si>
  <si>
    <t xml:space="preserve"> C74.9</t>
  </si>
  <si>
    <t xml:space="preserve"> Резекция почки</t>
  </si>
  <si>
    <t xml:space="preserve"> надпочечника неуточненной</t>
  </si>
  <si>
    <t xml:space="preserve"> Нефрэктомия</t>
  </si>
  <si>
    <t>части</t>
  </si>
  <si>
    <t xml:space="preserve"> Нефруретероэтомия</t>
  </si>
  <si>
    <t xml:space="preserve"> D30.0</t>
  </si>
  <si>
    <t xml:space="preserve"> Повторная осложненная</t>
  </si>
  <si>
    <t xml:space="preserve"> новообразования почки</t>
  </si>
  <si>
    <t xml:space="preserve"> нефрэктомия с</t>
  </si>
  <si>
    <t xml:space="preserve"> D30.1</t>
  </si>
  <si>
    <t xml:space="preserve"> Исследование</t>
  </si>
  <si>
    <t xml:space="preserve"> тромбэктомией,</t>
  </si>
  <si>
    <t xml:space="preserve"> гормонов</t>
  </si>
  <si>
    <t xml:space="preserve"> резекцией нижней</t>
  </si>
  <si>
    <t xml:space="preserve"> надпочечников</t>
  </si>
  <si>
    <t xml:space="preserve"> полой вены</t>
  </si>
  <si>
    <t xml:space="preserve"> D30.2</t>
  </si>
  <si>
    <t xml:space="preserve"> (17-КС, 17-ОКС)</t>
  </si>
  <si>
    <t xml:space="preserve"> Андренапэктомия</t>
  </si>
  <si>
    <t xml:space="preserve"> Анализ мочи на</t>
  </si>
  <si>
    <t xml:space="preserve"> Эмболизация почечной</t>
  </si>
  <si>
    <t xml:space="preserve"> мочеточников</t>
  </si>
  <si>
    <t xml:space="preserve"> катехоламины</t>
  </si>
  <si>
    <t xml:space="preserve"> артерии</t>
  </si>
  <si>
    <t xml:space="preserve"> УЗИ печени,</t>
  </si>
  <si>
    <t xml:space="preserve"> желчного пузыря,</t>
  </si>
  <si>
    <t xml:space="preserve"> урография с</t>
  </si>
  <si>
    <t xml:space="preserve"> нисходящей</t>
  </si>
  <si>
    <t xml:space="preserve"> цистографией</t>
  </si>
  <si>
    <t xml:space="preserve"> Ангиография</t>
  </si>
  <si>
    <t xml:space="preserve"> КТ почек,</t>
  </si>
  <si>
    <t xml:space="preserve"> надпочечн.</t>
  </si>
  <si>
    <t xml:space="preserve"> КТ забрюшинного</t>
  </si>
  <si>
    <t xml:space="preserve"> пространства</t>
  </si>
  <si>
    <t xml:space="preserve"> уротропиелография</t>
  </si>
  <si>
    <t xml:space="preserve"> уретроскопия</t>
  </si>
  <si>
    <t xml:space="preserve"> 75.140</t>
  </si>
  <si>
    <t>Мочекислый диатез.</t>
  </si>
  <si>
    <t>Оксалурия</t>
  </si>
  <si>
    <t xml:space="preserve"> E74.8</t>
  </si>
  <si>
    <t xml:space="preserve"> Другие уточненные нарушения</t>
  </si>
  <si>
    <t xml:space="preserve"> обмена углеводов</t>
  </si>
  <si>
    <t xml:space="preserve"> Общий белок и</t>
  </si>
  <si>
    <t xml:space="preserve"> Мочегонные средства</t>
  </si>
  <si>
    <t xml:space="preserve"> Нормализация лаб.</t>
  </si>
  <si>
    <t xml:space="preserve"> E79.0</t>
  </si>
  <si>
    <t>Гиперурикемия без признаков</t>
  </si>
  <si>
    <t xml:space="preserve"> его фракции</t>
  </si>
  <si>
    <t xml:space="preserve"> Урикозурические</t>
  </si>
  <si>
    <t>воспалительного артрита и</t>
  </si>
  <si>
    <t xml:space="preserve"> Мочевая кислота</t>
  </si>
  <si>
    <t>подагрических узлов</t>
  </si>
  <si>
    <t xml:space="preserve"> крови</t>
  </si>
  <si>
    <t xml:space="preserve"> Урикодепрессивные</t>
  </si>
  <si>
    <t xml:space="preserve"> M10.9</t>
  </si>
  <si>
    <t xml:space="preserve"> Подагра неуточненная</t>
  </si>
  <si>
    <t xml:space="preserve"> Билирубин крови</t>
  </si>
  <si>
    <t xml:space="preserve"> Мочевая кислота в</t>
  </si>
  <si>
    <t xml:space="preserve"> моче</t>
  </si>
  <si>
    <t xml:space="preserve"> Проба по</t>
  </si>
  <si>
    <t xml:space="preserve"> Холестерин крови</t>
  </si>
  <si>
    <t xml:space="preserve"> Суточная</t>
  </si>
  <si>
    <t xml:space="preserve"> протеинурия</t>
  </si>
  <si>
    <t xml:space="preserve"> Оксалаты и фосфаты</t>
  </si>
  <si>
    <t xml:space="preserve"> мочи</t>
  </si>
  <si>
    <t xml:space="preserve"> Клиренс мочевой</t>
  </si>
  <si>
    <t xml:space="preserve"> кислоты</t>
  </si>
  <si>
    <t xml:space="preserve"> Обзорная Rg-графия</t>
  </si>
  <si>
    <t xml:space="preserve"> почек</t>
  </si>
  <si>
    <t xml:space="preserve"> УЗИ мочевых путей</t>
  </si>
  <si>
    <t xml:space="preserve"> Ревматолога</t>
  </si>
  <si>
    <t xml:space="preserve"> 75.150</t>
  </si>
  <si>
    <t xml:space="preserve"> Почечная колика</t>
  </si>
  <si>
    <t xml:space="preserve"> N23</t>
  </si>
  <si>
    <t xml:space="preserve"> Почечная колика неуточненная</t>
  </si>
  <si>
    <t>Другие и неуточненные боли</t>
  </si>
  <si>
    <t xml:space="preserve"> в области живота</t>
  </si>
  <si>
    <t>Болезненное мочеиспускание</t>
  </si>
  <si>
    <t>неуточненное</t>
  </si>
  <si>
    <t xml:space="preserve"> Катетеризация</t>
  </si>
  <si>
    <t xml:space="preserve"> Микроб исслед. мочи</t>
  </si>
  <si>
    <t xml:space="preserve"> лоханки</t>
  </si>
  <si>
    <t xml:space="preserve"> с идентиф. возбуд.</t>
  </si>
  <si>
    <t xml:space="preserve"> (по показаниям)</t>
  </si>
  <si>
    <t xml:space="preserve"> и опред. чувств. к</t>
  </si>
  <si>
    <t xml:space="preserve"> Пункционная</t>
  </si>
  <si>
    <t xml:space="preserve"> чрезкожная</t>
  </si>
  <si>
    <t xml:space="preserve"> нефростомия</t>
  </si>
  <si>
    <t>Обезболивание</t>
  </si>
  <si>
    <t>Операционная бригада</t>
  </si>
  <si>
    <t>Планируемая операция</t>
  </si>
  <si>
    <t>Цель
 операции</t>
  </si>
  <si>
    <t>Показания  к операции</t>
  </si>
  <si>
    <t>Данные
объективного
обследования</t>
  </si>
  <si>
    <t>Анамнез</t>
  </si>
  <si>
    <t>Поступил</t>
  </si>
  <si>
    <t>Больной</t>
  </si>
  <si>
    <t>Данные
дополнит.
исследований</t>
  </si>
  <si>
    <r>
      <t>Объективно</t>
    </r>
    <r>
      <rPr>
        <sz val="12"/>
        <color indexed="8"/>
        <rFont val="Times New Roman"/>
        <family val="1"/>
        <charset val="204"/>
      </rPr>
      <t xml:space="preserve">: </t>
    </r>
  </si>
  <si>
    <t>Дата:</t>
  </si>
  <si>
    <t>(дата)</t>
  </si>
  <si>
    <t>положительная</t>
  </si>
  <si>
    <t>_______________________________________________________________
_______________________________________________________________
_______________________________________________________________</t>
  </si>
  <si>
    <t>_______________________________________________________________
_______________________________________________________________
_______________________________________________________________
_______________________________________________________________
_______________________________________________________________
_______________________________________________________________
_______________________________________________________________</t>
  </si>
  <si>
    <t>_______________________________________________________________
_______________________________________________________________
_______________________________________________________________
_______________________________________________________________</t>
  </si>
  <si>
    <r>
      <t xml:space="preserve">Я </t>
    </r>
    <r>
      <rPr>
        <b/>
        <u/>
        <sz val="12"/>
        <color indexed="8"/>
        <rFont val="Times New Roman"/>
        <family val="1"/>
        <charset val="204"/>
      </rPr>
      <t>согласен</t>
    </r>
    <r>
      <rPr>
        <sz val="12"/>
        <color indexed="8"/>
        <rFont val="Times New Roman"/>
        <family val="1"/>
        <charset val="204"/>
      </rPr>
      <t xml:space="preserve"> с предложенным планом лечения </t>
    </r>
  </si>
  <si>
    <r>
      <t xml:space="preserve"> В виду того, что пациент (ка)</t>
    </r>
    <r>
      <rPr>
        <sz val="12"/>
        <color indexed="8"/>
        <rFont val="Times New Roman"/>
        <family val="1"/>
        <charset val="204"/>
      </rPr>
      <t xml:space="preserve"> ______________________________ </t>
    </r>
    <r>
      <rPr>
        <sz val="10"/>
        <color indexed="8"/>
        <rFont val="Times New Roman"/>
        <family val="1"/>
        <charset val="204"/>
      </rPr>
      <t>не может собственноручно расписаться</t>
    </r>
  </si>
  <si>
    <r>
      <t>по причине</t>
    </r>
    <r>
      <rPr>
        <sz val="12"/>
        <color indexed="8"/>
        <rFont val="Times New Roman"/>
        <family val="1"/>
        <charset val="204"/>
      </rPr>
      <t xml:space="preserve"> _________________________________________________, </t>
    </r>
    <r>
      <rPr>
        <sz val="10"/>
        <color indexed="8"/>
        <rFont val="Times New Roman"/>
        <family val="1"/>
        <charset val="204"/>
      </rPr>
      <t>данный документ подписал (а)</t>
    </r>
  </si>
  <si>
    <r>
      <t>его (ее) __________________</t>
    </r>
    <r>
      <rPr>
        <sz val="12"/>
        <color indexed="8"/>
        <rFont val="Times New Roman"/>
        <family val="1"/>
        <charset val="204"/>
      </rPr>
      <t xml:space="preserve">  (______________________________________________________).</t>
    </r>
  </si>
  <si>
    <r>
      <t xml:space="preserve"> </t>
    </r>
    <r>
      <rPr>
        <sz val="8"/>
        <color indexed="8"/>
        <rFont val="Times New Roman"/>
        <family val="1"/>
        <charset val="204"/>
      </rPr>
      <t>(Степень родства)</t>
    </r>
  </si>
  <si>
    <r>
      <t>(</t>
    </r>
    <r>
      <rPr>
        <sz val="8"/>
        <color indexed="8"/>
        <rFont val="Times New Roman"/>
        <family val="1"/>
        <charset val="204"/>
      </rPr>
      <t>Фамилия, имя, отчество)</t>
    </r>
  </si>
  <si>
    <r>
      <t>Объективно</t>
    </r>
    <r>
      <rPr>
        <sz val="12"/>
        <color indexed="8"/>
        <rFont val="Times New Roman"/>
        <family val="1"/>
        <charset val="204"/>
      </rPr>
      <t xml:space="preserve">: </t>
    </r>
  </si>
  <si>
    <r>
      <t>Ле.вр.</t>
    </r>
    <r>
      <rPr>
        <sz val="14"/>
        <color indexed="8"/>
        <rFont val="Times New Roman"/>
        <family val="1"/>
        <charset val="204"/>
      </rPr>
      <t>__</t>
    </r>
  </si>
  <si>
    <t>Продление сроков ВН</t>
  </si>
  <si>
    <t>ЭВН по заболеванию взрослого</t>
  </si>
  <si>
    <r>
      <t xml:space="preserve">по месту жительства поликлиники (ДЦ) №___; поликлинического отделения </t>
    </r>
    <r>
      <rPr>
        <u/>
        <sz val="12"/>
        <color indexed="8"/>
        <rFont val="Times New Roman"/>
        <family val="1"/>
        <charset val="204"/>
      </rPr>
      <t>ГКБ № _1 ЛДО урологии КДЦ;</t>
    </r>
  </si>
  <si>
    <r>
      <t xml:space="preserve">жительства поликлиники (ДЦ) № ____; </t>
    </r>
    <r>
      <rPr>
        <b/>
        <u/>
        <sz val="12"/>
        <color indexed="8"/>
        <rFont val="Times New Roman"/>
        <family val="1"/>
        <charset val="204"/>
      </rPr>
      <t>ГКБ № _1 ЛДО урологии КДЦ;</t>
    </r>
    <r>
      <rPr>
        <sz val="12"/>
        <color indexed="8"/>
        <rFont val="Times New Roman"/>
        <family val="1"/>
        <charset val="204"/>
      </rPr>
      <t xml:space="preserve"> патронаж на дому; </t>
    </r>
  </si>
  <si>
    <r>
      <t xml:space="preserve">3.2.Курсы (противорецидивной)________________________________________терапии_______раза </t>
    </r>
    <r>
      <rPr>
        <i/>
        <sz val="12"/>
        <color indexed="8"/>
        <rFont val="Times New Roman"/>
        <family val="1"/>
        <charset val="204"/>
      </rPr>
      <t>(месяц, год)</t>
    </r>
  </si>
  <si>
    <r>
      <t xml:space="preserve">поликлиническое отделения </t>
    </r>
    <r>
      <rPr>
        <u/>
        <sz val="12"/>
        <color indexed="8"/>
        <rFont val="Times New Roman"/>
        <family val="1"/>
        <charset val="204"/>
      </rPr>
      <t>ГКБ № 1 им. Н.И.Пирогова ЛДО урологии КДЦ</t>
    </r>
    <r>
      <rPr>
        <sz val="12"/>
        <color indexed="8"/>
        <rFont val="Times New Roman"/>
        <family val="1"/>
        <charset val="204"/>
      </rPr>
      <t xml:space="preserve"> вызов врача на дом </t>
    </r>
  </si>
  <si>
    <r>
      <t xml:space="preserve">АО г. Москвы, Ф.И.О. принявшего телефонограмму </t>
    </r>
    <r>
      <rPr>
        <u/>
        <sz val="12"/>
        <color indexed="8"/>
        <rFont val="Times New Roman"/>
        <family val="1"/>
        <charset val="204"/>
      </rPr>
      <t>Шмельков И.Ю.</t>
    </r>
  </si>
  <si>
    <t xml:space="preserve">Лечение:  </t>
  </si>
  <si>
    <t>временно утрачена</t>
  </si>
  <si>
    <t>Контроль АД 2р/сутки</t>
  </si>
  <si>
    <t>Посев мочи</t>
  </si>
  <si>
    <t>не отягощен</t>
  </si>
  <si>
    <t>Анализ мочи на атипические клетки</t>
  </si>
  <si>
    <r>
      <t>Ф.И.О.:</t>
    </r>
    <r>
      <rPr>
        <sz val="20"/>
        <color indexed="8"/>
        <rFont val="Times New Roman"/>
        <family val="1"/>
        <charset val="204"/>
      </rPr>
      <t xml:space="preserve"> </t>
    </r>
  </si>
  <si>
    <r>
      <t>Место работы:</t>
    </r>
    <r>
      <rPr>
        <sz val="20"/>
        <color indexed="8"/>
        <rFont val="Times New Roman"/>
        <family val="1"/>
        <charset val="204"/>
      </rPr>
      <t xml:space="preserve"> </t>
    </r>
  </si>
  <si>
    <r>
      <t>Диагноз при поступлении:</t>
    </r>
    <r>
      <rPr>
        <sz val="20"/>
        <color indexed="8"/>
        <rFont val="Times New Roman"/>
        <family val="1"/>
        <charset val="204"/>
      </rPr>
      <t xml:space="preserve"> </t>
    </r>
  </si>
  <si>
    <r>
      <t xml:space="preserve">Состояние при выписке </t>
    </r>
    <r>
      <rPr>
        <sz val="20"/>
        <color indexed="8"/>
        <rFont val="Times New Roman"/>
        <family val="1"/>
        <charset val="204"/>
      </rPr>
      <t xml:space="preserve">удовлетворительное. Температура тела 36,7С. Гемодинамика стабильная. При пальпации область почек безболезненная. Болезненности по ходу мочеточников нет. Симптом «поколачивания» отрицательный с обеих сторон. При пальпации живот мягкий, безболезненный во всех отделах. Дизурии нет. Диурез достаточный. Моча без видимых патологических примесей. </t>
    </r>
  </si>
  <si>
    <r>
      <t xml:space="preserve">Общий анализ крови </t>
    </r>
    <r>
      <rPr>
        <sz val="20"/>
        <color indexed="8"/>
        <rFont val="Times New Roman"/>
        <family val="1"/>
        <charset val="204"/>
      </rPr>
      <t>от</t>
    </r>
  </si>
  <si>
    <r>
      <t xml:space="preserve">Общий анализ мочи </t>
    </r>
    <r>
      <rPr>
        <sz val="20"/>
        <color indexed="8"/>
        <rFont val="Times New Roman"/>
        <family val="1"/>
        <charset val="204"/>
      </rPr>
      <t>от</t>
    </r>
  </si>
  <si>
    <r>
      <t xml:space="preserve">Биохимический анализ крови </t>
    </r>
    <r>
      <rPr>
        <sz val="20"/>
        <color indexed="8"/>
        <rFont val="Times New Roman"/>
        <family val="1"/>
        <charset val="204"/>
      </rPr>
      <t>от</t>
    </r>
  </si>
  <si>
    <t>Зам. гл. вр. Дмитриева Ю.А.</t>
  </si>
  <si>
    <t>С62.1</t>
  </si>
  <si>
    <t>С61</t>
  </si>
  <si>
    <t>С62.0</t>
  </si>
  <si>
    <t>С63.0</t>
  </si>
  <si>
    <t>С67.4</t>
  </si>
  <si>
    <t>С67.8</t>
  </si>
  <si>
    <t>С67.1</t>
  </si>
  <si>
    <t>С67.2</t>
  </si>
  <si>
    <t>С67.0</t>
  </si>
  <si>
    <t>С67.6</t>
  </si>
  <si>
    <t>С67.3</t>
  </si>
  <si>
    <t>С67.5</t>
  </si>
  <si>
    <t>С67.7</t>
  </si>
  <si>
    <t>С67.9</t>
  </si>
  <si>
    <t>С65</t>
  </si>
  <si>
    <t>С66</t>
  </si>
  <si>
    <t>С74.9</t>
  </si>
  <si>
    <t>С74.1</t>
  </si>
  <si>
    <t>С74.0</t>
  </si>
  <si>
    <t>С64</t>
  </si>
  <si>
    <t>_____________</t>
  </si>
  <si>
    <t>________________</t>
  </si>
  <si>
    <t>_____________________________</t>
  </si>
  <si>
    <t>____________________________________________________</t>
  </si>
  <si>
    <t>______________________</t>
  </si>
  <si>
    <t>проживающий(ая) по адресу :</t>
  </si>
  <si>
    <r>
      <t xml:space="preserve">Я осознанно даю согласие </t>
    </r>
    <r>
      <rPr>
        <sz val="12"/>
        <color indexed="8"/>
        <rFont val="Times New Roman"/>
        <family val="1"/>
        <charset val="204"/>
      </rPr>
      <t>на проведение всех необходимых лечебных пособий, которые врачи сочтут необходимыми при возникновении осложнений, в том числе на переливание крови и ее компонентов. При необходимости и наличии медицинских показаний я и мои родственники готовы сдать кровь для переливания.</t>
    </r>
  </si>
  <si>
    <r>
      <t>Я информирован (а)</t>
    </r>
    <r>
      <rPr>
        <sz val="12"/>
        <color indexed="8"/>
        <rFont val="Times New Roman"/>
        <family val="1"/>
        <charset val="204"/>
      </rPr>
      <t>, что в ряде случаев возникает необходимость выполнения повторных операций, в том числе в связи с развившимися осложнениями, и даю свое согласие на это.</t>
    </r>
  </si>
  <si>
    <r>
      <t xml:space="preserve">Я знаю, что в целях эффективности проводимого мне лечения, </t>
    </r>
    <r>
      <rPr>
        <b/>
        <sz val="12"/>
        <color indexed="8"/>
        <rFont val="Times New Roman"/>
        <family val="1"/>
        <charset val="204"/>
      </rPr>
      <t xml:space="preserve">обязан (а) сообщать </t>
    </r>
    <r>
      <rPr>
        <sz val="12"/>
        <color indexed="8"/>
        <rFont val="Times New Roman"/>
        <family val="1"/>
        <charset val="204"/>
      </rPr>
      <t>врачам правдивые сведения об аллергических проявлениях и индивидуальной непереносимости лекарственных препаратов, обо всех перенесенных заболеваниях и принимаемых лекарствах, о моей наследственности, злоупотреблении алкоголем, наркотическими и токсическими средствами.</t>
    </r>
  </si>
  <si>
    <r>
      <t>Я ознакомлен (а) и согласен (согласна)</t>
    </r>
    <r>
      <rPr>
        <sz val="12"/>
        <color indexed="8"/>
        <rFont val="Times New Roman"/>
        <family val="1"/>
        <charset val="204"/>
      </rPr>
      <t xml:space="preserve"> со всеми пунктами настоящего документа, в связи с чем, добровольно и без принуждения с чьей-либо стороны </t>
    </r>
    <r>
      <rPr>
        <b/>
        <sz val="12"/>
        <color indexed="8"/>
        <rFont val="Times New Roman"/>
        <family val="1"/>
        <charset val="204"/>
      </rPr>
      <t>даю свое согласие на выполнение предложенной операции и необходимых методов лечения.</t>
    </r>
  </si>
  <si>
    <t xml:space="preserve">даю свое согласие на выполнение предложенного врачами медицинского пособия и прошу персонал больницы провести мне операцию: </t>
  </si>
  <si>
    <t>Я имел(а) все возможности задать любые интересующие меня вопросы касательно состояния моего здоровья, заболевания и лечения и получил на них исчерпывающие ответы. Я получил(а) информацию об альтернативных методах лечения, а также об их примерной стоимости.</t>
  </si>
  <si>
    <t>25.11.2002 г. № 363) ___________________________________________________________________</t>
  </si>
  <si>
    <t>_____________________________________________________________________________________</t>
  </si>
  <si>
    <t>рН мочи</t>
  </si>
  <si>
    <t>Глюкоза, 
мкмоль/л</t>
  </si>
  <si>
    <t>Лейкоциты 
в поле зрения</t>
  </si>
  <si>
    <t>Эритроциты 
в поле зрения</t>
  </si>
  <si>
    <t>Креатинин, 
мкмоль/л</t>
  </si>
  <si>
    <t>Мочевина, 
ммоль/л</t>
  </si>
  <si>
    <t>СОЭ 
мм/час</t>
  </si>
  <si>
    <t>Лф 
%</t>
  </si>
  <si>
    <t>Баз 
%</t>
  </si>
  <si>
    <t>Эоз 
%</t>
  </si>
  <si>
    <t>С/я 
%</t>
  </si>
  <si>
    <t>П/я 
%</t>
  </si>
  <si>
    <t>Лейкоциты 
х10(9)/л</t>
  </si>
  <si>
    <t>Тромбоциты
х10(9)/л</t>
  </si>
  <si>
    <t>Эритроциты 
х10(12)/л</t>
  </si>
  <si>
    <t>Гем.,  г/л</t>
  </si>
  <si>
    <t>Белок, 
г/л</t>
  </si>
  <si>
    <r>
      <rPr>
        <b/>
        <sz val="16"/>
        <color indexed="8"/>
        <rFont val="Times New Roman"/>
        <family val="1"/>
        <charset val="204"/>
      </rPr>
      <t>Уретроцистоскопия, ТУР стенки мочевого пузыря</t>
    </r>
    <r>
      <rPr>
        <sz val="16"/>
        <color indexed="8"/>
        <rFont val="Times New Roman"/>
        <family val="1"/>
        <charset val="204"/>
      </rPr>
      <t xml:space="preserve">
Тубус резектоскопа свободно проведен по уретре в мочевой пузырь.  Слизистая мочевого пузыря бледно-розовой окраски. Правое устье мочеточника определяется в типичном месте, левое скрыто в экзофитном ворсинчатом образовании на левой стенке на широком основании, размерами до 6см. Выполнена электрорезекция опухоли, с подлежащим основанием, отмечается плотная структура опухоли, в зону резекции попал левый мочеточник, визуализирующийся при последующей цистоскопии. Коагуляция кровоточащих сосудов. Гемостаз сухо. 
В мочевой пузырь установлен 3-х ходовой катетер Фолея 18Ch. Баллон 15мл.
</t>
    </r>
  </si>
  <si>
    <r>
      <rPr>
        <b/>
        <sz val="16"/>
        <color indexed="8"/>
        <rFont val="Times New Roman"/>
        <family val="1"/>
        <charset val="204"/>
      </rPr>
      <t>Уретроцистоскопия, ТУР простаты</t>
    </r>
    <r>
      <rPr>
        <sz val="16"/>
        <color indexed="8"/>
        <rFont val="Times New Roman"/>
        <family val="1"/>
        <charset val="204"/>
      </rPr>
      <t xml:space="preserve">
Тубус резектоскопа проведен по уретре в мочевой пузырь. Определяются увеличенные доли предстательной железы представленные тремя долями.  Слизистая мочевого пузыря бледно-розовой окраски, устья мочеточников щелевидной формы, расположено типично, регистрируется ритмичный выброс мочи. Конкрементов, объемных образований не выявлено. Определяются дивертикулы по задней стенке. Выполнена электрорезекция  аденоматозной ткани предстательной железы.  Гемостаз. В мочевой пузырь введен 3-х ходовой уретральный катетер Folеy № 20 Ch, баллон 15 мл.  
Кровопотеря 0 мл.
</t>
    </r>
  </si>
  <si>
    <r>
      <rPr>
        <b/>
        <sz val="16"/>
        <color indexed="8"/>
        <rFont val="Times New Roman"/>
        <family val="1"/>
        <charset val="204"/>
      </rPr>
      <t>Уретроцистоскопия, Лазерная энуклеация долей простаты 
(Diоderm Surgical™ Laser)</t>
    </r>
    <r>
      <rPr>
        <sz val="16"/>
        <color indexed="8"/>
        <rFont val="Times New Roman"/>
        <family val="1"/>
        <charset val="204"/>
      </rPr>
      <t xml:space="preserve">
Под ЭДА тубус цистоскопа по уретре проведен в мочевой пузырь.  Произведена цистоскопия.  Емкость мочевого пузыря около 300 мл. Слизистая мочевого пузыря бледно-розового цвета. Устья расположены на 5 и 7 часах условного циферблата, щелевидной формы. В просвете мочевого пузыря опеределяется конркемент размерами до 6см в наибольшем измерении. 
 Определяются увеличенные доли ПЖ. Выполнена поэтапная лазерная энуклеация средней, левой и правых долей до капсулы. Дистальной границей является семенной бугорок, проксимальной-шейка мочевого пузыря.  Выполнена дополнительная энуклеация аденоматозной ткани на 12 часов условного циферблата. Семенной бугорок, устья мочеточников интактны. Гемостаз с помощью коагуляционного режима работы лазерного волокна. Для выполнения цистолитотомии больной переведен в большую операционную.
</t>
    </r>
  </si>
  <si>
    <r>
      <rPr>
        <b/>
        <sz val="16"/>
        <color indexed="8"/>
        <rFont val="Times New Roman"/>
        <family val="1"/>
        <charset val="204"/>
      </rPr>
      <t>Цистолитотомия</t>
    </r>
    <r>
      <rPr>
        <sz val="16"/>
        <color indexed="8"/>
        <rFont val="Times New Roman"/>
        <family val="1"/>
        <charset val="204"/>
      </rPr>
      <t xml:space="preserve">
После дополнительной обработки операционного поля установлен уретральный катетер Foley 20 Ch – свободно проведен по уретре в мочевой пузырь. Под ЭДА разрезом 5 см по средней линии над лоном обнажено предпузырное пространство. Стенка мочевого пузыря взята на швы-держалки, рассечена между ними, эвакуировано около 300 мл мочи с примесью измеренной крови. При ревизии мочевого пузыря в полости – конкремент размером 6х5 см коричневого цвета, последний извлечен, также удалены аденоматозные узлы, расположенные в полости пузыря. Устья щелевидной формы. Шейка мочевого пузыря визуально и пальпаторно не склерозирована, свободно проходима. Стенка мочевого пузыря ушита двухрядным кетгутовым швом наглухо. Проверка на герметичность – сухо. Страховой дренаж в предпузырное пространство. Рана послойно ушита. Спирт. Йод. Ас. повязка. 
Рапорт опер. сестры принят. 
Кровопотеря 0мл.
</t>
    </r>
  </si>
  <si>
    <r>
      <rPr>
        <b/>
        <sz val="16"/>
        <color indexed="8"/>
        <rFont val="Times New Roman"/>
        <family val="1"/>
        <charset val="204"/>
      </rPr>
      <t>Лапароскопическая резекция левой почки</t>
    </r>
    <r>
      <rPr>
        <sz val="16"/>
        <color indexed="8"/>
        <rFont val="Times New Roman"/>
        <family val="1"/>
        <charset val="204"/>
      </rPr>
      <t xml:space="preserve">
Под ЭТН параумбиликально слева, выполнена разрез, послойно вскрыта брюшная полость введен видеопорт Сh 10. Под видеоконтролем установлен троакар 5 Сh в левой подреберье и левой подвздошной области 12 Сh по среднеключичной линии, а также в левой боковой области по передней подмышечной линии -  троакар 5 Ch (рабочие порты). Мобилизован селезеночный и нисходящий отделы ободочной кишки. Отделен паранефрий от параколон. Вскрыта фасция Герота, из забрюшинного пространства выделена левая почка. Выделен мочеточник в верхней трети, визуализирована левая гонадная вена, последняя клипирована. Мобилизованы почечные сосуды, добавочных сосудов нет. В среднем сегменте по ребру почки определяется округлое образование до 2 см, выбухающее за контур почки. На почечную артерию наложен зажим «бульдог». Выполнена резекция нижнего сегмента левой почки отступя 1 см от краев опухоли. Паренхима в области дна резекции не изменена, при контроле в пределах здоровых тканей, нарушения целостности чашечно-лоханочной системы не выявлено. Паренхима с дном резекции ушито 2-х рядным швом V-Loc 3-0.   Зажим «бульдог» снят с почечной артерии, время пережатия почечной артерии 11 мин. При наблюдении кровотечения нет. К зоне резекции установлен дренаж через отверстие порта в левой боковой области. Дренаж фиксирован швом. Контроль гемостаза сухо. Спирт. Йод. Ас. Повязка.
Рапорт операционной сестры принят.
Кровопотеря -0 мл
</t>
    </r>
  </si>
  <si>
    <r>
      <rPr>
        <b/>
        <sz val="16"/>
        <color indexed="8"/>
        <rFont val="Times New Roman"/>
        <family val="1"/>
        <charset val="204"/>
      </rPr>
      <t>Радикальная простатэктомия, расширенная тазовая лимфаденэктомия</t>
    </r>
    <r>
      <rPr>
        <sz val="16"/>
        <color indexed="8"/>
        <rFont val="Times New Roman"/>
        <family val="1"/>
        <charset val="204"/>
      </rPr>
      <t xml:space="preserve">
Под ЭТН + ЭДА нижнесрединным внебрюшинным разрезом выделено обнаженная полость малого таза. Тупым и острым путем путем  выполнена лимфодисекция слева и справа в границах наружной подвздошной артерии, подвздошной вены, обтурационного нерва, до бифуркации общих подвздошных сосудов, запирательной мембраны. Интраоперационно определяются плотные лимфоузлы в обутрационной ямке, слева лимфоузел интимно подпаян к наружной подвздошной вене. При удалении последнего выявлен дефект вены до 5 мм, последний ушит проленом 4-0, непрерывным швом. Выделен правый и левый семявыносящий протоки, перевязаны, пересечены. Эндопельвикальная фасция вскрыта слева и справа от простаты. Дорзальный венозный комплекс перевязан, пересечен. Уретра отсечена от апикального отдела простаты. Вскрыта фасция Денонвелье. Выделены семенные пузырьки. Простата отсечена от мочевого пузыря и удалена одним блоком с семенными пузырьками, определяется инфильтрация последних. Наложен уретропузырный анастомоз при помощи 6 монокриловых швов. Мочевой пузырь дренирован уретральным катетером Фолея 20Сh, баллон на 15 мл.  Гемостаз. В полость малого таза через контрапертуры установлены 2 страховых дренажа. Рана послойно ушита. Йод. Спирт. Ас. Наклейка.
            Кровопотеря 200 мл.
Рапорт операционной сестры принят. 
</t>
    </r>
  </si>
  <si>
    <r>
      <rPr>
        <b/>
        <sz val="16"/>
        <color indexed="8"/>
        <rFont val="Times New Roman"/>
        <family val="1"/>
        <charset val="204"/>
      </rPr>
      <t>Двусторонняя орхэктомия</t>
    </r>
    <r>
      <rPr>
        <sz val="16"/>
        <color indexed="8"/>
        <rFont val="Times New Roman"/>
        <family val="1"/>
        <charset val="204"/>
      </rPr>
      <t xml:space="preserve">
Под СМА произведен горизонтальный разрез кожи в нижней половины мошонки.  Выделено левое яичко, семенной канатик, взят на держалку. На семенной канатик наложены 2 зажима Федорова, последний прошит, рассечен между ними, и дважды перевязан. Яичко с придатком удалены единым блоком. Повторный тщательный гемостаз. 
Аналогичная операция справа .
Рана послойно ушита. 
Иод. Дав . ас. повязка.
</t>
    </r>
  </si>
  <si>
    <r>
      <rPr>
        <b/>
        <sz val="16"/>
        <color indexed="8"/>
        <rFont val="Times New Roman"/>
        <family val="1"/>
        <charset val="204"/>
      </rPr>
      <t>Лапарсокпическая резекция стенок кисты правой почки</t>
    </r>
    <r>
      <rPr>
        <sz val="16"/>
        <color indexed="8"/>
        <rFont val="Times New Roman"/>
        <family val="1"/>
        <charset val="204"/>
      </rPr>
      <t xml:space="preserve">
Под ЭТН супраумбиликальным разрезом на уровне пупка после разреза кожи, введен троакар №10. Инсуфляция СО2 в автоматическом режиме 15 мм ртутного столба. В брюшную полость под контролем оптики в подвздошной области по средне-ключичной линии, ниже реберной дуги параректально   и в правой подвздошной области  введены троакары № 10 №5 соответственно. В латеральном канале рассечена париетальная брюшина, в области печеночного изгиба восходящей ободочной кишки, последняя отведена медиальней, из забрюшинного пространства выделена правая почка. В нижнем полюсе почки определяется киста. Поверхность кисты освобождена от параренальной клетчатки. Под четким визуальным контролем киста вскрыта, аспирирована прозрачная жидкость (250 мл). При ревизии полости кисты,  целостность чашечно-лоханочной не нарушена, объемных образований, конкрементов нет. Стенка кисты иссечена. Ревизия брюшной полости на инородные тела, гемостаз, повреждения органов брюшной полости нет, геморрагии нет. Через нижний троакар в область удаленной кисты установлен страховой дренаж 14 Ch. Удалены троакары. Аспирирован газ. Шов  на апоневроз. Швы на кожу.
Кровопотеря 0 мл.
Рапорт операционной сестры принят
</t>
    </r>
  </si>
  <si>
    <r>
      <rPr>
        <b/>
        <sz val="16"/>
        <color indexed="8"/>
        <rFont val="Times New Roman"/>
        <family val="1"/>
        <charset val="204"/>
      </rPr>
      <t>Цистоскопия</t>
    </r>
    <r>
      <rPr>
        <sz val="16"/>
        <color indexed="8"/>
        <rFont val="Times New Roman"/>
        <family val="1"/>
        <charset val="204"/>
      </rPr>
      <t xml:space="preserve">
При цистоскопии: Тубус цистоскопа проведён по уретре в мочевой пузырь.  Определяются доли простаты. Емкость пузыря 300 мл. В просвете мочевого пузыря объемных образований нет. Патологических образований не выявлено.Слизистая мочевого пузыря бледно-розовой окраски. Устья мочеточников на типичном месте, на 7 и 9 часах условленного циферблата. 
В полости пузыря определяется конкремент 5мм.
</t>
    </r>
  </si>
  <si>
    <r>
      <rPr>
        <b/>
        <sz val="16"/>
        <color indexed="8"/>
        <rFont val="Times New Roman"/>
        <family val="1"/>
        <charset val="204"/>
      </rPr>
      <t>Троакарная цистостомия под УЗ-контролем</t>
    </r>
    <r>
      <rPr>
        <sz val="16"/>
        <color indexed="8"/>
        <rFont val="Times New Roman"/>
        <family val="1"/>
        <charset val="204"/>
      </rPr>
      <t xml:space="preserve">
Мочевой пузырь наполнен около  350мл мочи. Под МА выше лонного сочленения рассечена кожа  1,0 см. Под УЗ-контролем мочевой пузырь  пунктирован троакаром cook №14 типа Folley ( баллон 10 мл). УЗ-контроль положения завитка. Дробно выпущено 350 мл мочи с умеренной примесью измененной крови. Цистостомический дренаж фиксирован к коже 2 швами. Йод. Ас. повязка. </t>
    </r>
  </si>
  <si>
    <r>
      <rPr>
        <b/>
        <sz val="16"/>
        <color indexed="8"/>
        <rFont val="Times New Roman"/>
        <family val="1"/>
        <charset val="204"/>
      </rPr>
      <t>Позадилонная аденомэктомия</t>
    </r>
    <r>
      <rPr>
        <sz val="16"/>
        <color indexed="8"/>
        <rFont val="Times New Roman"/>
        <family val="1"/>
        <charset val="204"/>
      </rPr>
      <t xml:space="preserve">
Под ЭДА нижнесрединным внебрюшинным разрезом иссечен свищ после эпицистостомии, выполнен доступ к позадилонному пространству. Тупым и острым путем с удалением жировой клетчатки обнажена передняя поверхность простаты, шейки мочевого пузыря. При пальпации простаты, шейки мочевого пузыря определяется увеличенная аденоматозная ткань, в полости мочевого пузыря баллончик уретрального катетера.  На капсулу простаты, ниже шейки мочевого пузыря на 1,5 см наложено 2 узловых шва-держалки. Капсула вскрыта между ними электроножом до аденоматозной ткани. В слой между капсулой и аденомой простаты введен диссектор, капсула вскрыта.  Проведено вылущивание аденоматозных узлов простаты. Аденоматозные узлы удалены, представлены двумя боковыми долями и средней долью. Выполнена тригонизация шейки мочевого пузыря узловыми викриловыми швами 3-0. Гемостаз сухо. Капсула простаты ушита раздельными непрерывными швами 2-0. Контроль герметичности, гемостаза – сухо. Страховой дренаж к передней поверхности простаты, выведенный через контрапертуру в правой подвздошной области. Послойное ушивание раны. Мочевой пузырь дренирован трехходовым уретральным катетером Фолея 20 Сh, баллон на 30 мл. Спирт. Йод. Ас. Наклейка.
             Рапорт операционной сестры принят.
             Кровопотеря 0 мл
</t>
    </r>
  </si>
  <si>
    <r>
      <rPr>
        <b/>
        <sz val="16"/>
        <color indexed="8"/>
        <rFont val="Times New Roman"/>
        <family val="1"/>
        <charset val="204"/>
      </rPr>
      <t>Чреспузырная аденомэктомия</t>
    </r>
    <r>
      <rPr>
        <sz val="16"/>
        <color indexed="8"/>
        <rFont val="Times New Roman"/>
        <family val="1"/>
        <charset val="204"/>
      </rPr>
      <t xml:space="preserve">
Нижнесрединным разрезом с техническими сложностямипослойно обнажена передняя поверхность мочевого пузыря. Ввиду невозможности обнажения ретциева пространства и доступа к передней поверхности простаты для выполнения позадилонной аденомэктомии, угол около 90* за счет спондилоартроза (б-нь Бехтерева), принято решение выполнить чреспузырную аденомэктомию, об изменении операционного плана доложено профессору Кривобородову Г.Г. Мочевой пузырь наполнен 200 мл жидкости. Брюшина тупо отодвинута кверху. Мочевой пузырь взят на две кетгутовые держалки, между ними пересечен поперечно. Конкременты не определяются. Устья мочеточников расположены типично, объемных образований нет. С техническими трудностями визуализируется аденоматозные узлы, слизистая мочевого пузыря бледно-розового цвета, объемных образований нет. Аденоматозные узлы вылущены бимануально. Целостность шейки (капсулы простаты) не нарушена. Баллончик уретрального катетера раздут до 55 мл, катетер фиксирован в натяжении. В мочевой пузырь установлен цистостомический дренаж, выведен через контрапертуру. Мочевой пузырь ушит двухрядным викриловым швом до цистостомического дренажа. Проверка на герметичность – герметично. Страховой дренаж в паравезикальное пространство, выведен через контрапертуру в левую подвздошную область. Гемостаз по ходу операции – сухо. Умеренная примесь крови по уретральному катетеру и цистостоме при подключении системы постоянной ирригации мочевого пузыря. Послойное ушивание раны.  Спирт. Йод. Асептическая повязка.     
Рапорт операционной медсестры принят.
Кровопотеря 500,0 мл.
</t>
    </r>
  </si>
  <si>
    <r>
      <rPr>
        <b/>
        <sz val="16"/>
        <color indexed="8"/>
        <rFont val="Times New Roman"/>
        <family val="1"/>
        <charset val="204"/>
      </rPr>
      <t>Подпаховая микрохирургическая варикоцелэктомия слева (о.Мармара)</t>
    </r>
    <r>
      <rPr>
        <sz val="16"/>
        <color indexed="8"/>
        <rFont val="Times New Roman"/>
        <family val="1"/>
        <charset val="204"/>
      </rPr>
      <t xml:space="preserve">
Под спинальной анестезией поперечным разрезом 3 см в левой паховой области, под паховым кольцом, выделены элементы семенного канатика, учитывая ранее перенесенную пластику паховых грыж с обеих сторон. Последние мобилизованы. Рассечена наружная семенная фасция. Под увеличительной лупой с 3,5 кратным увеличением, визуализируются 5 расширенных вен гроздевидного сплетения. Венозные сосуды с использованием микрохирургического инструментария мобилизованы, взяты на держалки, перевязаны, пересечены. При дальнейшей ревизии визуализируется артерия яичка. Гемостаз – сухо. При ревизии семенного канатика визуализирована 1 расширенная кремастерная вена, последняя перевязана, пересечена. Наружная семенная фасция ушита узловыми викриловыми швами. Послойное ушивание операционной раны до кожи. Кожа ушита внутрикожным швом. Йод. Асептическая наклейка.</t>
    </r>
  </si>
  <si>
    <r>
      <rPr>
        <b/>
        <sz val="16"/>
        <color indexed="8"/>
        <rFont val="Times New Roman"/>
        <family val="1"/>
        <charset val="204"/>
      </rPr>
      <t>Трансректальная биопсия простаты</t>
    </r>
    <r>
      <rPr>
        <sz val="16"/>
        <color indexed="8"/>
        <rFont val="Times New Roman"/>
        <family val="1"/>
        <charset val="204"/>
      </rPr>
      <t xml:space="preserve">
Под ТРУЗИ контролем выполнена трансректальная биопсия предстательной железы, взято по 6 кусочков из периферической зоны, обеих долей (правая, затем левая): всего  12  кусочков. Кровотечения нет.
           К назначениям: холод на рану на 30 мин.
</t>
    </r>
  </si>
  <si>
    <r>
      <rPr>
        <b/>
        <sz val="16"/>
        <color indexed="8"/>
        <rFont val="Times New Roman"/>
        <family val="1"/>
        <charset val="204"/>
      </rPr>
      <t>Уретроцистоскопия, удаление мочеточникового стента справа</t>
    </r>
    <r>
      <rPr>
        <sz val="16"/>
        <color indexed="8"/>
        <rFont val="Times New Roman"/>
        <family val="1"/>
        <charset val="204"/>
      </rPr>
      <t xml:space="preserve">
При цистоскопии: Тубус цистоскопа свободно проведён по уретре в мочевой пузырь. Емкость пузыря 350 мл. В просвете мочевого пузыря конкрементов, объемных образований нет. Слизистая мочевого пузыря бледно-розовой окраски. Устья мочеточников на типичном месте, на 7 и 9 часах условленного циферблата. Справа визуализирован дистальный завиток стента, захвачен форцептом и удален. Патологических образований не выявлено.</t>
    </r>
  </si>
  <si>
    <r>
      <rPr>
        <b/>
        <sz val="16"/>
        <color indexed="8"/>
        <rFont val="Times New Roman"/>
        <family val="1"/>
        <charset val="204"/>
      </rPr>
      <t>Уретроцистоскопия, удаление мочеточникового стента слева</t>
    </r>
    <r>
      <rPr>
        <sz val="16"/>
        <color indexed="8"/>
        <rFont val="Times New Roman"/>
        <family val="1"/>
        <charset val="204"/>
      </rPr>
      <t xml:space="preserve">
При цистоскопии: Тубус цистоскопа свободно проведён по уретре в мочевой пузырь. Емкость пузыря 250 мл. В просвете мочевого пузыря конкрементов, объемных образований нет. Слизистая мочевого пузыря бледно-розовой окраски. Устья мочеточников на типичном месте, на 7 и 9 часах условленного циферблата. Слева визуализирован дистальный завиток стента, захвачен форцептом и удален. Патологических образований не выявлено.</t>
    </r>
  </si>
  <si>
    <r>
      <rPr>
        <b/>
        <sz val="16"/>
        <color indexed="8"/>
        <rFont val="Times New Roman"/>
        <family val="1"/>
        <charset val="204"/>
      </rPr>
      <t>Уретроцистоскопия, внутренняя оптическая уретротомия</t>
    </r>
    <r>
      <rPr>
        <sz val="16"/>
        <color indexed="8"/>
        <rFont val="Times New Roman"/>
        <family val="1"/>
        <charset val="204"/>
      </rPr>
      <t xml:space="preserve">
Тубус уретроскопа свободно проведен до бульбозного отдела уретры, где визуализируется стриктура. Холодным ножом на 12 часах стриктура рассечена до зоны максимального расширения, протяженность стриктуры около 1см. Выполнена цистоскопия, слизистая мочевого пузыря розового цвета, устья мочеточников в типичных местах, конкрементов и образований не визуализируется. В мочевой пузырь проведен  уретральный катетер  Foley  №20, баллон 15 мл. </t>
    </r>
  </si>
  <si>
    <r>
      <rPr>
        <b/>
        <sz val="16"/>
        <color indexed="8"/>
        <rFont val="Times New Roman"/>
        <family val="1"/>
        <charset val="204"/>
      </rPr>
      <t>Циркумцизио</t>
    </r>
    <r>
      <rPr>
        <sz val="16"/>
        <color indexed="8"/>
        <rFont val="Times New Roman"/>
        <family val="1"/>
        <charset val="204"/>
      </rPr>
      <t xml:space="preserve">
Под местной анестезией 0.1%-20 мл р-ра Лидокаина, с использованием увеличительных луп 2,5 и микрохирургического инструментария, с использованием двух параллельных разрезов после предварительной разметки, Произведено циркулярное иссечение крайней плоти. Гемостаз. Циркулярные узловые швы (рассасывающейся нитью викрил 3-0) на внутренний листок крайней плоти и кожу полового члена. Контроль гемостаза-сухо. Наложена а/с повязка.
</t>
    </r>
  </si>
  <si>
    <r>
      <rPr>
        <b/>
        <sz val="16"/>
        <color indexed="8"/>
        <rFont val="Times New Roman"/>
        <family val="1"/>
        <charset val="204"/>
      </rPr>
      <t>Пластика оболочек яичек (о.Лорда) с двух сторон</t>
    </r>
    <r>
      <rPr>
        <sz val="16"/>
        <color indexed="8"/>
        <rFont val="Times New Roman"/>
        <family val="1"/>
        <charset val="204"/>
      </rPr>
      <t xml:space="preserve">
С использованием микрохирургичексих инструментов и увеличительных луп 3,5 под  м/а Sol. Lidocaini 0,1 % - 40 мл произведен  разрез 3 см по переднебоковой поверхности правой половины мошонки послойно выделены стенки водяночного мешка, стенки тонкие. Водяночный пузырь вскрыт, эвакуировано  около 100 мл светлой опалесцирующей жидкости без запаха. Произведено гофрирование оболочек по Лорду саморассасывающимся адрорбируемым материалом. Гемостаз - сухо. Рана ушита саморассасывающимся адрорбируемым материалом. Резиновый выпускник в рану. Спирт. Йод. Асептическая повязка на операционную рану. 
           Аналогичная операция слева.
</t>
    </r>
  </si>
  <si>
    <r>
      <rPr>
        <b/>
        <sz val="16"/>
        <color indexed="8"/>
        <rFont val="Times New Roman"/>
        <family val="1"/>
        <charset val="204"/>
      </rPr>
      <t>Пластика оболочек яичек (о.Винкельмана) с двух сторон</t>
    </r>
    <r>
      <rPr>
        <sz val="16"/>
        <color indexed="8"/>
        <rFont val="Times New Roman"/>
        <family val="1"/>
        <charset val="204"/>
      </rPr>
      <t xml:space="preserve">
Под местной анестезией 60мл 0,5% раствора новокаина разрезом 5 см по переднебоковой поверхности павой половины мошонки послойно выделена передняя стенка водяночного  мешка. Водяночный мешок пунктирован. Выделено около 200 мл светло-желтой жидкости без запаха. Оболочки вскрыты. Яичко вывихнуто в рану. Пластика по Винкельману. Яичко введено в мошонку. Гемостаз - сухо. Резиновый выпускник в рану. Рана послойно ушита кетгутовыми швами. 
Аналогичная операция справа.
Спирт. Йод. Ас. повязка. Суспензорий.</t>
    </r>
  </si>
  <si>
    <r>
      <rPr>
        <b/>
        <sz val="16"/>
        <color indexed="8"/>
        <rFont val="Times New Roman"/>
        <family val="1"/>
        <charset val="204"/>
      </rPr>
      <t>Лапароскопическая радикальная нефрэктомия слева</t>
    </r>
    <r>
      <rPr>
        <sz val="16"/>
        <color indexed="8"/>
        <rFont val="Times New Roman"/>
        <family val="1"/>
        <charset val="204"/>
      </rPr>
      <t xml:space="preserve">
Под ЭТН параумбиликально слева, выполнена разрез, послойно вскрыта брюшная полость введен видеопорт Сh 10. Под видеоконтролем установлен троакар 5 Сh в левой подреберье и левой подвздошной области 10 Сh по среднеключичной линии, а также в левой боковой области по передней подмышечной линии -  троакар 5 Ch (рабочие порты). Мобилизован селезеночный и нисходящий отделы ободочной кишки. Отделен паранефрий от параколон. Определяется увеличенная в размерах левая почка за счет объемного образования. Визуализирован мочеточник, яичковая вена. Визуализированы почечные сосуды, последние выделены. На почечные артерии наложены клипсы Нemilock 2 на проксимальный отдел и 1 на дистальный (уходящий) отдел, артерии пересечена.  На почечную вену наложены клипсы hemilock 2 на проксимальный отдел и 1 на дистальный (уходящий) отдел, вена пересечена. Мочеточник в верхней трети клипирован, пересечен после коагуляции LigaSure. Почка удалена с окружающей клетчаткой через разрез в левой подвздошной области. Установлен страховой дренаж в ложе  удаленной почки через рабочий порт 5 в левом подреберье. Послойное ушивание раны и троакарных отверстий. Асептическая наклейка. 
Рапорт операционной сестры принят.
Кровопотеря 0 мл
</t>
    </r>
  </si>
  <si>
    <r>
      <rPr>
        <b/>
        <sz val="16"/>
        <color indexed="8"/>
        <rFont val="Times New Roman"/>
        <family val="1"/>
        <charset val="204"/>
      </rPr>
      <t>Ретроперитонеоскопическая резекция стенок кисты левой почки</t>
    </r>
    <r>
      <rPr>
        <sz val="16"/>
        <color indexed="8"/>
        <rFont val="Times New Roman"/>
        <family val="1"/>
        <charset val="204"/>
      </rPr>
      <t xml:space="preserve">
Под ЭТН по средней подмышечной линии ниже 12 ребра слева выполнен разрез 15 мм, послойно вскрыто забрюшинное пространство. Введен тубус № 10 с фиксированным лактексным шариком, по которому раздут баллон до 200 мл с целью создания рабочей полости в забрюшинном пространстве слева. Порт с латексным шариком извлечены, установлен оптический порт (тубус троакара № 10). Инсуфляция СО2 в автоматическом режиме 14 мм ртутного столба. При ревизии целостность брюшной и плевральной полостей не нарушена. Под визуальным контролем по задней и передней подмышечной линии установлены троакары № 10 и 5 соответственно. Обнажена задняя поверхность левой почки. Выделен зверхний сегмент, визуализирована киста, с тонкой стенкой. Полость кисты пунктирована, эвакуировано около 2500 мл светлой опалесцирующей жидкости. Дно кисты (паренхима почки) интактна, целостность ЧЛС не нарушена, объемных образований нет. Контроль гемостаза кровотечения нет. Через порт № 5 установлен страховой дренаж к зоне резекции. Аспирирован газ. Порты удалены. Послойное ушивание раны. Дренаж фиксирован кожным швом.  Швы на кожу.
Кровопотеря 0 мл.
Рапорт операционной сестры принят
</t>
    </r>
  </si>
  <si>
    <r>
      <rPr>
        <b/>
        <sz val="16"/>
        <color indexed="8"/>
        <rFont val="Times New Roman"/>
        <family val="1"/>
        <charset val="204"/>
      </rPr>
      <t>Биопсия опухоли левой почки под УЗ-контролем</t>
    </r>
    <r>
      <rPr>
        <sz val="16"/>
        <color indexed="8"/>
        <rFont val="Times New Roman"/>
        <family val="1"/>
        <charset val="204"/>
      </rPr>
      <t xml:space="preserve">
Под местной инфильтрационной анестезией по задней подмышечной линии под УЗ-контролем после четкой визуализации образования в верхнем сегменте левой почки размерами 15 мм выполнена пункция опухоли. Получено 3 столбика-биоптата до 12 мм. Асептическая наклейка. 
Холод на рану 10 мин.
</t>
    </r>
  </si>
  <si>
    <r>
      <rPr>
        <b/>
        <sz val="16"/>
        <color indexed="8"/>
        <rFont val="Times New Roman"/>
        <family val="1"/>
        <charset val="204"/>
      </rPr>
      <t>Резекция нижней трети левого мочеточника, 
Уретеронеоцистанастомоз слева по Политано-Ледбеттеру</t>
    </r>
    <r>
      <rPr>
        <sz val="16"/>
        <color indexed="8"/>
        <rFont val="Times New Roman"/>
        <family val="1"/>
        <charset val="204"/>
      </rPr>
      <t xml:space="preserve">
Под ЭДА+ЭТН клюшкообразным разрезом в левой подвздошной области обнажено забрюшинное пространство. Брюшина отведена медиально. Выделен левый мочеточник, последний расширен до юкставезикального отдела до 1 см, где определяется сужение. Мочеточник выделен до места перекреста с подвздошнми сосудами. Мочевой пузырь взят на держалки вскрыт, при ревизии конкрементов, объемных образований нет, устья мочеточников расположены типично. Устье мочеточника циркулярно иссечено, мочеточник извлечен в рану, отсечен выше места сужения (стенотический сегмент юкставезикального отдела). Дефект стенки мочевого пузыря ушит викриловым швом 2-0. Мочеточник рассечен продольно-спатуляция мочеточника. Интравезикально сформирован подслизистый туннель в который проведен проведен мочеточник по Политано Лидбеттеру. Выполнен уретеронеоцистанастомоз, фиксированный узловыми монокриноловыми швами 4-0. Мочевой пузырь дренирован уретральным катетером Фолея СН 18, цистостомическим дренажом (катетер Фолея 16 СН), ушит однорядным викриловым швом. Проверка на герметичность - герметично. Страховой дренаж  к области анастомоза. Послойное ушивание раны. Дренажная трубка фиксирована кожным швом. 
Рапорт опер. сетры принят.
Кровопотеря 0мл.</t>
    </r>
  </si>
  <si>
    <r>
      <rPr>
        <b/>
        <sz val="16"/>
        <color indexed="8"/>
        <rFont val="Times New Roman"/>
        <family val="1"/>
        <charset val="204"/>
      </rPr>
      <t>Уретроцистоскопия. Введение ботулинического токсина типа А в зону мочепузырного треугольника 100Ед.</t>
    </r>
    <r>
      <rPr>
        <sz val="16"/>
        <color indexed="8"/>
        <rFont val="Times New Roman"/>
        <family val="1"/>
        <charset val="204"/>
      </rPr>
      <t xml:space="preserve">
Тубус цистоскопа 22Ch свободно проведен в мочевой пузырь. Объем мочевого пузыря 150мл. Проведена гидродистензия мочевого пузыря 80мм водн. ст.  в течение 1 минуты. При повторной цистоскопии отмечаются грануляции и явлениями геморрагии по типу Гуннеровских язв, визуально картина интерстициального цистита. С целью снижения болевого синдрома введено 100Ед ботулинического токсина типа А в 10 точек (по 1 мл 10мл) в зону мочепузырного треугольника.
      Цистоскоп, игла удалены. Установлен уретральный катетер Фоли СН16 в мочевой пузырь.
</t>
    </r>
  </si>
  <si>
    <r>
      <rPr>
        <b/>
        <sz val="16"/>
        <color indexed="8"/>
        <rFont val="Times New Roman"/>
        <family val="1"/>
        <charset val="204"/>
      </rPr>
      <t>Уретроцистоскопия. Введение ботулинического токсина типа А в детрузор, шейку мочевого пузыря, наружный сфинктер 200Ед.</t>
    </r>
    <r>
      <rPr>
        <sz val="16"/>
        <color indexed="8"/>
        <rFont val="Times New Roman"/>
        <family val="1"/>
        <charset val="204"/>
      </rPr>
      <t xml:space="preserve">
Тубус цистоскопа свободно проведен до устья мочевого пузыря. При осмотре шейка мочевого пузыря зияет, спастического состояния наружного сфинктера уретры не выявлено. При помощи эндоинжектора с дистальной иглой введено 180ЕД ботулинического токсина типа А в детрузор, шейку мочевого пузыря, 20ЕД в наружный сфинктер. 
Данных за инфравезикальную обструкцию (спастический наружный сфинктер, стриктура уретры) не выявлено. Слизистая мочевого пузыря, инъецирована сосудами, устья щелевидной формы, расположены типично. 
      Цистоскоп, игла удалены. Установлен мочеточниковый катетер в мочевой пузырь Фоли СН16.
</t>
    </r>
  </si>
  <si>
    <r>
      <rPr>
        <b/>
        <sz val="16"/>
        <color indexed="8"/>
        <rFont val="Times New Roman"/>
        <family val="1"/>
        <charset val="204"/>
      </rPr>
      <t xml:space="preserve">Парциальная ампутация полового члена. Гланулопластика с использованием слизистой щеки. </t>
    </r>
    <r>
      <rPr>
        <sz val="16"/>
        <color indexed="8"/>
        <rFont val="Times New Roman"/>
        <family val="1"/>
        <charset val="204"/>
      </rPr>
      <t xml:space="preserve">
Под КЭТН отступя на 1,5 см от краев опухоли полового члена (инвазивная опухоль головки пениса), с соблюдением абластичности опухоли выполнен кожный разрез. Послойно пересечены кавернозные тела до спонгиозного тела, уретры. Уретра отсечена  на 8 мм дистальнее разреза кавернозных тел. Дистальная треть полового члена удалена. Наложены 3 узловых сопоставляющих шва викрил 3-0 на пересеченные кавернозные тела.. Контроль гемостаза сухо.  
Уретра спатулирована по дорсальной поверхности. Кожа полового члена подшита 3 узловыми швами к нижнему краю уретры.   
Из ротовой полости взят лоскут слизистой левой щеки 2х4 см. Контроль гемостаза сухо. В ротовую полость установлен тампон с перекисью водорода. 
Выполнена гланулопластика полового члена лоскутом слизистой щеки. Лоскут фиксирован швами PDS 5-0 к белочной оболочке кавернозных тел – сформирована головка полового члена. Верхний край уретры фиксирован к лоскуту слизистой щеки. По краю от сформированной головки полового члена наложены узловые швы. Контроль гемостаза сухо. Давящая повязка на половой член с вазелином. 
</t>
    </r>
  </si>
  <si>
    <r>
      <rPr>
        <b/>
        <sz val="16"/>
        <color indexed="8"/>
        <rFont val="Times New Roman"/>
        <family val="1"/>
        <charset val="204"/>
      </rPr>
      <t>Люмботомия, нефрэктомия справа</t>
    </r>
    <r>
      <rPr>
        <sz val="16"/>
        <color indexed="8"/>
        <rFont val="Times New Roman"/>
        <family val="1"/>
        <charset val="204"/>
      </rPr>
      <t xml:space="preserve">
Обезоливание ЭТН.  
Люмботомическим разрезом справа с иссечением послеоперационного рубца послойно вскрыто забрюшинное пространство. В забрюшинной клетчатке отмечается спаечный процесс. Правая почка замурована в спайках. Мочеточник в рубцах подпаян к брюшине. Тупым и острым выделен мочеточник в верхней трети, перевязан, пересечен. Мобилизован нижний сегмент после рассечения спаек. Тупым и острым путем брюшина отсепарована от передней поверхности почки. Вскрыта капсула почки, последняя уплотнена. По задней поверхности почки, с техническими трудностями выделена сосудистая ножка. На ножку наложен зажим Федорова. Тупым и острым путем выделен верхний сегмент. При выделении почки в связи с выраженным спаечным процессом раздельно в рану вывихнуты средне-нижний и верхний сегмент. Сосудистая ножка пересечена, почка удалена. Сосудистая ножка перевязана двумя кетгутовыми и одной викриловой лигатурами.  Кровоточащие сосуды лигированы. Гемостаз. Страховой дренаж в рану. Послойное ушивание раны. Фиксация дренажа кожным швом. Спирт. Йод. Ас. Повязка. 
</t>
    </r>
  </si>
  <si>
    <r>
      <rPr>
        <b/>
        <sz val="16"/>
        <color indexed="8"/>
        <rFont val="Times New Roman"/>
        <family val="1"/>
        <charset val="204"/>
      </rPr>
      <t>Грыжесечение справа, пластика бедренной грыжи по Бассини</t>
    </r>
    <r>
      <rPr>
        <sz val="16"/>
        <color indexed="8"/>
        <rFont val="Times New Roman"/>
        <family val="1"/>
        <charset val="204"/>
      </rPr>
      <t xml:space="preserve">
Под местной анестезией с внутривенным потенцированием, разрезом 4 см, в пахово-мошоночной области выделен правый семенной канатик до уровня наружного пахового кольца. Яичко с придатком вывихнуо в рану. При ревизии семенного канатика, яичка с придатком данных за кисту не выявлено. Ниже паховой связки определяется мягко-эластическое жировое образование 4х4 см, исходящее из бедренного канала. Образование на шейке исходящее из брюшной полости. Интраоперационно диагноз правосторонняя бедренная грыжа. В операционную вызван хирург. Грыжевой мешок выделен до шейки, вскрыт, прошит кисетным викриловым швом, отсечен. Произведена пластика по Бассини. Контроль гемостаза сухо. Послойное ушивание раны. Швы на кожу. Спирт. Йод. Ас. Повязка. </t>
    </r>
  </si>
  <si>
    <r>
      <rPr>
        <b/>
        <sz val="16"/>
        <color indexed="8"/>
        <rFont val="Times New Roman"/>
        <family val="1"/>
        <charset val="204"/>
      </rPr>
      <t>Ревизия послеоперационной раны, дренирование лимфоцеле</t>
    </r>
    <r>
      <rPr>
        <sz val="16"/>
        <color indexed="8"/>
        <rFont val="Times New Roman"/>
        <family val="1"/>
        <charset val="204"/>
      </rPr>
      <t xml:space="preserve">
Под местной анестезией  с внутривенным потенцированием, сняты швы с послеоперационной раны. При ревизии в редней трети апоневроза имеется дефект из которого имеется поступлении серозного отделяемого. После снятия швов с апоневроза, отведения пряди сальника и сигмовидной кишки вскрыто лимфоцеле (опалесцирующая светлая хилезная жидкость без признаков нагноения, кишечного содержимого и запаха мочи). При ревизии прилежащие петли кишечника интактные, перистальтируют. Полость малого таза промыта осушена, подтекания мочи нет. В область лимфоцеле установлен страховой дренаж выведенный контрапертуру слева. Послойное ушивание раны. Кожный шов по Донати.</t>
    </r>
  </si>
  <si>
    <r>
      <rPr>
        <b/>
        <sz val="16"/>
        <color indexed="8"/>
        <rFont val="Times New Roman"/>
        <family val="1"/>
        <charset val="204"/>
      </rPr>
      <t>Ревизия придатка левого яичка, тестикулярная экстракция сперматозоидов слева</t>
    </r>
    <r>
      <rPr>
        <sz val="16"/>
        <color indexed="8"/>
        <rFont val="Times New Roman"/>
        <family val="1"/>
        <charset val="204"/>
      </rPr>
      <t xml:space="preserve">
Под спинальной анестезией произведено рассечение оболочек левого яичка до белочной оболочки. Выделен семявыносящий проток, мобилизован, пересечен. В дистальный конец протока введено по игле 10-15мл физиологического раствора – проходим. Выделен придаток яичка в области хвоста, пересечен – протоки склерозированы, содержимого нет. Аналогичные манипуляции на уровне тела и головки придатка, содержимого не получено. 
В области верхне-латеральной поверхности яичка в бессосудистой зоне рассечена белочная оболочка яичка на протяжении около 1см, выполнено иссечение «выбухающей» ткани яичка (семенных канальцев). Гемостаз. Белочная оболочка ушита непрерывным викриловым швом. Установлен резиновый выпускник между листками влагалищной оболочки. Восстановление целостности оболочек яичка до кожи. Викриловые узловые швы на кожу. Асептическая повязка. Суспензорий. </t>
    </r>
  </si>
  <si>
    <r>
      <rPr>
        <b/>
        <sz val="16"/>
        <color indexed="8"/>
        <rFont val="Times New Roman"/>
        <family val="1"/>
        <charset val="204"/>
      </rPr>
      <t>Билатеральная вазорезекция</t>
    </r>
    <r>
      <rPr>
        <sz val="16"/>
        <color indexed="8"/>
        <rFont val="Times New Roman"/>
        <family val="1"/>
        <charset val="204"/>
      </rPr>
      <t xml:space="preserve">
Под местной анестезией раствором Новокаина 0,5%-10,0, разрезом в левой половине мошонки выделен семявыносящий проток, взят на зажимы, перевязан, пересечен. Аналогичная операция справа.
     Спирт. Йод. Асептическая повязка.     
</t>
    </r>
  </si>
  <si>
    <r>
      <rPr>
        <b/>
        <sz val="16"/>
        <color indexed="8"/>
        <rFont val="Times New Roman"/>
        <family val="1"/>
        <charset val="204"/>
      </rPr>
      <t>Наложение вторичных швов на послеоперационную рану мошонки</t>
    </r>
    <r>
      <rPr>
        <sz val="16"/>
        <color indexed="8"/>
        <rFont val="Times New Roman"/>
        <family val="1"/>
        <charset val="204"/>
      </rPr>
      <t xml:space="preserve">
В левой половине мошонки определяется рана после ревизии левой половины мошонки, иссечения некротических тканей 5х6см. Края и дно раны чистые, покрыты грануляциями. Под местной анестезией 0,5% раствором новокаина – 60мл, произведена санация раны 3% раствором перекиси водорода, края раны иссечены, гемостаз. 
На края раны наложено 6 швов по Донати. Спирт. Йод. Ас. повязка. Суспензорий.    
</t>
    </r>
  </si>
  <si>
    <r>
      <rPr>
        <b/>
        <sz val="16"/>
        <color indexed="8"/>
        <rFont val="Times New Roman"/>
        <family val="1"/>
        <charset val="204"/>
      </rPr>
      <t>Ревизия брюшной полости, наложение вторичных швов на послеоперационную рану</t>
    </r>
    <r>
      <rPr>
        <sz val="16"/>
        <color indexed="8"/>
        <rFont val="Times New Roman"/>
        <family val="1"/>
        <charset val="204"/>
      </rPr>
      <t xml:space="preserve">
В средней трети послеоперационной раны визуализируются петли тонкой кишки. Под эпидуральной анестезией сняты швы с нижней и верхней третей лапаротомной раны, края раны разведены. В полости раны признаков нагноения, очагов некроза нет.
Ревизия петель тонкой кишки, последние розового цвета, перистальтируют. В брюшной полости свободной жидкости, признаков воспаления брюшины, следов кишечного содержимого, бляшек стеатонекроза не обнаружено. 
Края лапаротомной раны сведены через все слои брюшной стенки отдельными узловыми швами. 
 </t>
    </r>
  </si>
  <si>
    <r>
      <rPr>
        <b/>
        <sz val="16"/>
        <color indexed="8"/>
        <rFont val="Times New Roman"/>
        <family val="1"/>
        <charset val="204"/>
      </rPr>
      <t>Лапаротомия, забрюшинная лимфаденэктомия слева</t>
    </r>
    <r>
      <rPr>
        <sz val="16"/>
        <color indexed="8"/>
        <rFont val="Times New Roman"/>
        <family val="1"/>
        <charset val="204"/>
      </rPr>
      <t xml:space="preserve">
Под ЭТН, выполнена срединная лапаротомия. Париетальный листок брюшины вскрыт в левом латеральном канале.  Мобилизована левая половина  ободочной кишки, сигмовидной кишки. Выделена левая почка с паранефральной клетчаткой в фасции Герота без нарушения целостности последней.. Визуализирован левый мочеточник.  Левая половина ободочной кишки отведена направо. Визуализирована левая поченая вена, к которой прилежит увеличенный, бугристый лимфоузел. Визуализирована аорта, устье нижней брыжеечной артерии, левая почечная артерия. После отведения корня брыжейки тонкой кишки, ободочной кишки, обнажена нижняя полая вена. Выполнена забрюшинная лимфаденэктомия параааортальной области до почечных сосудов, аортокавального промежутка, бифуркации аорты и по ходу подвздошных сосудов слева до внутреннего пахового кольца, по ходу гонадной вены с удаПри контроле симпатический ствол интактный. Гемостаз - кровотечения нет. Страховой дренаж установлен внебрюшинно, по ходу удаленной лимфатической ткани.  Восстановлена целостность париетального листка брюшины. 
     Послойное ушивание раны. Швы на кожу. Йод. Асептическая наклейка.
</t>
    </r>
  </si>
  <si>
    <r>
      <rPr>
        <b/>
        <sz val="16"/>
        <color indexed="8"/>
        <rFont val="Times New Roman"/>
        <family val="1"/>
        <charset val="204"/>
      </rPr>
      <t>Клиновидная резекция уретры с использованием микрохирургического инсрументария</t>
    </r>
    <r>
      <rPr>
        <sz val="16"/>
        <color indexed="8"/>
        <rFont val="Times New Roman"/>
        <family val="1"/>
        <charset val="204"/>
      </rPr>
      <t xml:space="preserve">
Под местной анестезией раствором лидокаина 0,5 % - 20мл с использованием микрохирургического инструментария и операционных луп, полип взят на держалку, клиновидно иссечен. Наложены 3 викриловых узловых шва 3/0 с захватом слизистой уретры и наружного отверстия.  Во влагалище установлен тампон с вазелином. 
Рапорт операционной сестры принят.
Кровопотери нет. </t>
    </r>
  </si>
  <si>
    <r>
      <rPr>
        <b/>
        <sz val="16"/>
        <color indexed="8"/>
        <rFont val="Times New Roman"/>
        <family val="1"/>
        <charset val="204"/>
      </rPr>
      <t>Лапаротомия, аугментационная кишечная пластика мочевого пузыря, дренирование брюшной полости</t>
    </r>
    <r>
      <rPr>
        <sz val="16"/>
        <color indexed="8"/>
        <rFont val="Times New Roman"/>
        <family val="1"/>
        <charset val="204"/>
      </rPr>
      <t xml:space="preserve">
Под ЭТН выполнена срединная лапаротомия с иссечение послеоперационного рубца. При ревизии брюшной полости определяется спаечный процесс в нижнем этаже брюшной полости, кишечные межпетельные спайки рассечены. подпаянные петли тонкой кишки отсепарованы от передней брюшной стенки. Внебрюшинно обнажена передняя стенка мочевого пузыря. Мобилизован участок тонкой кишки около 40 см, в 30 см от илеоцекального угла, резецирован для выполнение аугментационной цистопластики. Наложен межкишечный анастомоз тонкой кишки конец - в -  конец непрерывным однорядным швом монокрил 4/0 на переднюю и заднюю губу анастомоза. Мобилизованная петля кишки уложена по типу буквы «W», детубуляризирована по противобрыжеечному краю. Кишечный резервуар ушит непрерывным викриловым швом 2/0, сформирован «купол». Мочевой пузырь рассечен по передней стенке. Стенки мочевого пузыря утолщены, объемных образований, конкрементов нет. Стенки мочевого пузыря иссечены по задне-боковым поверхностям. Подвздошный резервуар подведен к мочевому пузырю, натяжения брыжейки нет. Выполнена илеоцистопластика (анастомоз раздельными непрерывными швами по полуокружности монокрил 4/0) куполообразным кишечным лоскутом по Гудвину. Контроль герметичности резервуара – затеков нет. Кишечный сегмент дренирован цистостомичским дренажом, выведенным через контрапертуру.   Контроль гемостаза. Страховые дренажи выведены через контрапертуры на кожу: левый в пузырно-прямокишечное пространство к задней поверхности кишечно-мочевого сегмента., правый к передней поверхности кишечно-мочевого сегмента. Наложен раздельный непрерывный шов петлей PDS 1 на брюшину с апоневрозом верхней и нижней  половины послеоперационной раны. Послойное ушивание раны. Контроль гемостаза. Страховый дренажи, цистофикс фиксированы кожным швом. Йод. Асс. Наклейка.</t>
    </r>
  </si>
  <si>
    <r>
      <rPr>
        <b/>
        <sz val="16"/>
        <color indexed="8"/>
        <rFont val="Times New Roman"/>
        <family val="1"/>
        <charset val="204"/>
      </rPr>
      <t>Лапароскопическая антевазальная уретеропиелопластика справа</t>
    </r>
    <r>
      <rPr>
        <sz val="16"/>
        <color indexed="8"/>
        <rFont val="Times New Roman"/>
        <family val="1"/>
        <charset val="204"/>
      </rPr>
      <t xml:space="preserve">
Под КЭТН супраумбиликальным разрезом на уровне пупка введена игла Вереша. Инсуфляция СО2 в автоматическом режиме 13 мм ртутного столба. Супраумбиликально введен троакар №10. Инсуфляция СО2 в автоматическом режиме 12 мм ртутного столба. В брюшную полость под контролем оптики по средне-ключичной линии ниже реберной дуги и в правой подвздошной области параректально введены троакары №5 и №10. Мобилизован печеночный  угол восходящей кишки. Из забрюшинного пространства выделена правая почка. Выделен до средней трети правый мочеточник. Выполнен уретеролиз. Выделена верхняя треть мочеточника до зоны лоханочно-мочеточникового сегмента. К нижнем сегменту правой почки отходит дополнительная артерия. Лоханка выделена по передней и задней поверхности. Определяется расширение лоханки, в зоне лоханочно-мочеточникового сегмента . На лоханку наложена викриловая держалка подтянутая к брюшной стенке. Лоханочно-мочеточниковый сегмент в зоне конфликта пересечен. Мочеточник спатулирован в верхней трети. Наложены фиксирующие швы на нижний и верхний углы уретеропиелоанастомоза над добавочной артерией. Непрерывным швом V-Loc 3/0 ушита задняя губа анастомоза. Через верхний порт введен внутренний стент на струне. Почка антеградно по струне дренирована внутренним мочеточниковым стентом 6/26. Непрерывным швом V-Loc 3/0 ушита передняя губа анастомоза. Выполнена антевазальная уретеропиелопластика по Хайнс–Андерсону. Анастомоз герметичен. Восстановлена целостность париетальной брюшины в левом латеральном канале. В брюшную полость через нижний порт введен страховой дренаж фиксированный кожным швом. Удалены троакары. Аспирирован газ. Шов апоневроза от укола первого троакара. Швы на кожу.
Кровопотеря 0 мл
Рапорт операционной сестры принят
</t>
    </r>
  </si>
  <si>
    <r>
      <rPr>
        <b/>
        <sz val="16"/>
        <color indexed="8"/>
        <rFont val="Times New Roman"/>
        <family val="1"/>
        <charset val="204"/>
      </rPr>
      <t xml:space="preserve">Лапароскопияескаая резекция стенок кисты левой почки
</t>
    </r>
    <r>
      <rPr>
        <sz val="16"/>
        <color indexed="8"/>
        <rFont val="Times New Roman"/>
        <family val="1"/>
        <charset val="204"/>
      </rPr>
      <t>Под ЭТН супраумбиликальным разрезом на уровне пупка после разреза кожи, введен троакар №10. Инсуфляция СО2 в автоматическом режиме 15 мм ртутного столба. В брюшную полость под контролем оптики в подвздошной области по средне-ключичной линии, ниже реберной дуги параректально   и в правой подвздошной области  введены троакары № 10 №5 соответственно. В латеральном канале рассечена париетальная брюшина, в области селезеночного изгиба поперечной ободочной кишки, последняя отведена медиальней, из забрюшинного пространства выделена левая почка. В верхнем полюсе почки, больше по задней поверхности определяется киста. Поверхность кисты освобождена от параренальной клетчатки. Под четким визуальным контролем киста вскрыта, аспирирована прозрачная жидкость (300 мл). При ревизии полости кисты,  целостность чашечно-лоханочной не нарушена, объемных образований, конкрементов нет. Стенка кисты иссечена. Ревизия брюшной полости на инородные тела, гемостаз, повреждения органов брюшной полости нет, геморрагии нет. Через нижний троакар в область удаленной кисты установлен страховой дренаж 14 Ch. Удалены троакары. Аспирирован газ. Шов  на апоневроз. Швы на кожу.
Кровопотеря 0 мл.
Рапорт операционной сестры принят</t>
    </r>
    <r>
      <rPr>
        <b/>
        <sz val="16"/>
        <color indexed="8"/>
        <rFont val="Times New Roman"/>
        <family val="1"/>
        <charset val="204"/>
      </rPr>
      <t xml:space="preserve">
</t>
    </r>
  </si>
  <si>
    <t>Главному  врачу ГКБ № 1</t>
  </si>
  <si>
    <t>им. Н.И. Пирогова</t>
  </si>
  <si>
    <t>А.В.Свету</t>
  </si>
  <si>
    <t>36 урологией</t>
  </si>
  <si>
    <t>Р А П О Р Т</t>
  </si>
  <si>
    <t>О закупке лекарственных препаратов</t>
  </si>
  <si>
    <t>Для больного</t>
  </si>
  <si>
    <t xml:space="preserve">Ф.И.О. </t>
  </si>
  <si>
    <t>№ истории болезни</t>
  </si>
  <si>
    <t>Дата поступления</t>
  </si>
  <si>
    <t>Динамика состояния</t>
  </si>
  <si>
    <t>Динамика ранее проводимого лечения (указать препараты, дозы, длительность приема)</t>
  </si>
  <si>
    <t>Консультация специалиста по выбору тактики лечения</t>
  </si>
  <si>
    <t>2.</t>
  </si>
  <si>
    <t>3.</t>
  </si>
  <si>
    <t>4.</t>
  </si>
  <si>
    <t>Доза:</t>
  </si>
  <si>
    <t>Длительность курса</t>
  </si>
  <si>
    <t>Способ введения</t>
  </si>
  <si>
    <t>Подписи:</t>
  </si>
  <si>
    <t>Консультант</t>
  </si>
  <si>
    <t>Дата подачи заявления:</t>
  </si>
  <si>
    <t>Дата поступления заявки в аптеку</t>
  </si>
  <si>
    <t>__________________________</t>
  </si>
  <si>
    <t>________________________</t>
  </si>
  <si>
    <t>Требуемый препарат                   1.</t>
  </si>
  <si>
    <t>____________________________________________</t>
  </si>
  <si>
    <t>__________________________________________</t>
  </si>
  <si>
    <t>_________________________________</t>
  </si>
  <si>
    <t>__________________проф.Даренков С.П.</t>
  </si>
  <si>
    <t>Зам.гл.вр.</t>
  </si>
  <si>
    <t>__________________проф.Царев М.И.</t>
  </si>
  <si>
    <t>стабильная</t>
  </si>
  <si>
    <t>не проводилось</t>
  </si>
  <si>
    <t>показана терапия</t>
  </si>
  <si>
    <t xml:space="preserve">Городская клиническая больница №1 им. Н.И. Пирогова </t>
  </si>
  <si>
    <t>119049, г. Москва, Ленинский проспект, д.8, корп. 10</t>
  </si>
  <si>
    <t>ПРОТОКОЛ ТРАНСРЕКТАЛЬНОЙ МУЛЬТИФОКАЛЬНОЙ БИОПСИИ ПРЕДСТАТЕЛЬНОЙ ЖЕЛЕЗЫ</t>
  </si>
  <si>
    <r>
      <t xml:space="preserve">№ протокола биопсии: </t>
    </r>
    <r>
      <rPr>
        <b/>
        <sz val="12"/>
        <color indexed="63"/>
        <rFont val="Arial Narrow"/>
        <family val="2"/>
        <charset val="204"/>
      </rPr>
      <t xml:space="preserve"> </t>
    </r>
  </si>
  <si>
    <t xml:space="preserve">Ф.И.О. пациента:  </t>
  </si>
  <si>
    <t xml:space="preserve">Данные ПРИ:  </t>
  </si>
  <si>
    <t xml:space="preserve">ПСА общ.:   </t>
  </si>
  <si>
    <t xml:space="preserve">    их локализация:</t>
  </si>
  <si>
    <t xml:space="preserve">Врач, выполнивший биопсию: </t>
  </si>
  <si>
    <t xml:space="preserve">Дата биопсии:  </t>
  </si>
  <si>
    <t>119049, г. Москва, Ленинский проспект, д.8, корп. 17.</t>
  </si>
  <si>
    <t>ОТДЕЛЕНИЕ ПАТОЛОГИЧЕСКОЙ АНАТОМИИ</t>
  </si>
  <si>
    <t>ПРОТОКОЛ ПАТОМОРФОЛОГИЧЕСКОГО ИССЛЕДОВАНИЯ</t>
  </si>
  <si>
    <t>№_________________________________________</t>
  </si>
  <si>
    <t>Номера столбиков</t>
  </si>
  <si>
    <t>Длина, мм</t>
  </si>
  <si>
    <t>Номера столбиков с расшифровкой результатов:</t>
  </si>
  <si>
    <t>№1</t>
  </si>
  <si>
    <t>№2</t>
  </si>
  <si>
    <t>№3</t>
  </si>
  <si>
    <t>№4</t>
  </si>
  <si>
    <t>№5</t>
  </si>
  <si>
    <t>№6</t>
  </si>
  <si>
    <t>№7</t>
  </si>
  <si>
    <t>№8</t>
  </si>
  <si>
    <t>№9</t>
  </si>
  <si>
    <t>№10</t>
  </si>
  <si>
    <t>№11</t>
  </si>
  <si>
    <t>№12</t>
  </si>
  <si>
    <t>№13</t>
  </si>
  <si>
    <t>№14</t>
  </si>
  <si>
    <t>№15</t>
  </si>
  <si>
    <t>№16</t>
  </si>
  <si>
    <t>№17</t>
  </si>
  <si>
    <t>№18</t>
  </si>
  <si>
    <t>№19</t>
  </si>
  <si>
    <t>№20</t>
  </si>
  <si>
    <t>№21</t>
  </si>
  <si>
    <t>№22</t>
  </si>
  <si>
    <t>№23</t>
  </si>
  <si>
    <t>№24</t>
  </si>
  <si>
    <t>Заключение:_____________________________________________________________________________________________________________________________________________________________________________</t>
  </si>
  <si>
    <t>Дата исследования:</t>
  </si>
  <si>
    <t>Врач, проводивший исследование:</t>
  </si>
  <si>
    <t xml:space="preserve">Возраст:  </t>
  </si>
  <si>
    <t xml:space="preserve">№ медицинской карты:   </t>
  </si>
  <si>
    <t xml:space="preserve">ТРУЗИ:      </t>
  </si>
  <si>
    <t xml:space="preserve">1. V простаты:   </t>
  </si>
  <si>
    <t xml:space="preserve">2. Наличие гипоэхогенных очагов:     </t>
  </si>
  <si>
    <t>да/нет,</t>
  </si>
  <si>
    <t xml:space="preserve">Биопсия: первичная, повторная (сколько раз): </t>
  </si>
  <si>
    <t>повторная</t>
  </si>
  <si>
    <t xml:space="preserve">КАРТА </t>
  </si>
  <si>
    <t xml:space="preserve">ВНУТРЕННЕГО КОНТРОЛЯ КАЧЕСТВА И БЕЗОПАСНОСТИ МЕДИЦИНСКОЙ </t>
  </si>
  <si>
    <t>ДЕЯТЕЛЬНОСТИ</t>
  </si>
  <si>
    <t>1.</t>
  </si>
  <si>
    <t>Отделение</t>
  </si>
  <si>
    <t>36 урологическое</t>
  </si>
  <si>
    <t>Ф.И.О. больного</t>
  </si>
  <si>
    <t>Дата рождения</t>
  </si>
  <si>
    <t>№ полиса, СМО</t>
  </si>
  <si>
    <t>_____________________________________________</t>
  </si>
  <si>
    <t>Срок лечения   с</t>
  </si>
  <si>
    <t>№ медицинской карты стационарного больного</t>
  </si>
  <si>
    <t>Шифр МКБ</t>
  </si>
  <si>
    <t xml:space="preserve">Сопутствующий (клинически значимый) диагноз: </t>
  </si>
  <si>
    <t>Патологоанатомический диагноз</t>
  </si>
  <si>
    <t>Составляющие случая оказания медицинской помощи</t>
  </si>
  <si>
    <t>Оценка
(баллы)</t>
  </si>
  <si>
    <t>Примечания</t>
  </si>
  <si>
    <t>Коэффициент качества мед. помощи</t>
  </si>
  <si>
    <t>1.1. в полном объеме</t>
  </si>
  <si>
    <t>1.2. не в полном объеме</t>
  </si>
  <si>
    <t>1.3.отсутствуют</t>
  </si>
  <si>
    <t xml:space="preserve">
</t>
  </si>
  <si>
    <t>1. Описание жалоб и анамнеза:</t>
  </si>
  <si>
    <t>2. Объективный осмотр:</t>
  </si>
  <si>
    <t>3.1. проведены своевременно, в полном объеме, соответствуют стандарту медицинской помощи</t>
  </si>
  <si>
    <t>3.2. проведены своевременно, но не соответствуют стандарту медицинской помощи, что не повлияло на исход заболевания</t>
  </si>
  <si>
    <t>3.3. проведены не своевременно, не соответствуют стандарту медицинской помощи, что повлияло на исход заболевания</t>
  </si>
  <si>
    <t>4.1. выставлен своевременно, обоснованно, в соответствии с клинико-функциональной характеристикой</t>
  </si>
  <si>
    <t>4.2. выставлен  не своевременно, обоснованно, в соответствии с клинико-функциональной характеристикой, что не повлияло на исход заболевания</t>
  </si>
  <si>
    <t>4.3. выставлен  не своевременно, не обоснованно, что негативно повлияло на исход заболевания</t>
  </si>
  <si>
    <t>5. Лечебно-профилактические мероприятия, медицинская реабилитация:</t>
  </si>
  <si>
    <t>5.1. проведены своевременно, оптимально, соответствуют стандарту медицинской помощи</t>
  </si>
  <si>
    <t>5.2. не соответствуют стандарту медицинской помощи, что не повлияло на исход заболевания</t>
  </si>
  <si>
    <t>5.2. не соответствуют стандарту медицинской помощи, что негативно повлияло на исход заболевания</t>
  </si>
  <si>
    <t>6. Оперативное лечение:</t>
  </si>
  <si>
    <t>6.1. выполнено своевременно, оптимально, соответствуют стандарту медицинской помощи</t>
  </si>
  <si>
    <t>6.2. выполнено своевременно, оптимально, но имеются дефекты, не повлиявшие на исход заболевания</t>
  </si>
  <si>
    <t>6.3. выполнено несвоевременно, с дефектами, повлиявшими на исход заболевания (орагнизационные, тактические, инфекционные осложнения и др.)</t>
  </si>
  <si>
    <t>7. Анестезиологическое пособие:</t>
  </si>
  <si>
    <t>7.1. выполнено оптимально, риск минимизирован</t>
  </si>
  <si>
    <t>7.2. выполнено оптимально, риск не минимизирован, что не повлияло на исход заболевания</t>
  </si>
  <si>
    <t>8. Реанимационные мероприятия:</t>
  </si>
  <si>
    <t>8.1. отсутствие дефектов</t>
  </si>
  <si>
    <t>8.2. дефекты не повлияли на исход заболевания</t>
  </si>
  <si>
    <t>8.3. дефекты, повлиявшие на исход заболевания</t>
  </si>
  <si>
    <t>9. Медицинская экспертиза, медицинское освидетельствование:</t>
  </si>
  <si>
    <t>9.1. своевременно, в полном объеме</t>
  </si>
  <si>
    <t>9.2. своевременно, но не в полном объеме (отсутствуют рекомендации по трудоустройству, рекомендации при выписке, экспертный анамнез, др.)</t>
  </si>
  <si>
    <t>9.3. несвоевременно, не в полном объеме, целевой результат не достигнут</t>
  </si>
  <si>
    <t>10. Сроки оказания медицинской помощи:</t>
  </si>
  <si>
    <t>10.1. соответствуют стандарту медицинской помощи (обосновано завышены или занижены)</t>
  </si>
  <si>
    <t>10.2. необосновано завышены или занижены), что не повлияло на исход заболевания</t>
  </si>
  <si>
    <t>10.3. не соответствуют стандарту меди-цинской помощи, что повлияло на исход заболевания</t>
  </si>
  <si>
    <t>11.1. обосновано, соответствует профилю медицинской деятельности</t>
  </si>
  <si>
    <t>11.2. обосновано, но не соответствует профилю медицинской деятельности</t>
  </si>
  <si>
    <t>11.3. не обосновано, не соответствует профилю медицинской деятельности</t>
  </si>
  <si>
    <t>12. Преемственность, этапность:</t>
  </si>
  <si>
    <t>12.1. соблюдены в полном объеме</t>
  </si>
  <si>
    <t>12.2. соблюдены в не полном объеме, что не повлияло на исход заболевания</t>
  </si>
  <si>
    <t>12.3. соблюдены в не полном объеме, что повлияло на исход заболевания</t>
  </si>
  <si>
    <t xml:space="preserve">13. Результат лечения: </t>
  </si>
  <si>
    <t>13.2. результат достигнут частично – без изменений</t>
  </si>
  <si>
    <t xml:space="preserve">14. Оформление медицинской доку-ментации: </t>
  </si>
  <si>
    <t>14.1. удовлетворительное, в полном объеме</t>
  </si>
  <si>
    <t>14.2. не в полном объеме, имеются отдельные дефекты</t>
  </si>
  <si>
    <t>13.3. результат не достигнут – ухудшение, летальный исход – при ненадлежащем оказании медицинской помощи</t>
  </si>
  <si>
    <t>13.1. результат достигнут – выздоровление</t>
  </si>
  <si>
    <t>14.3. не удовлетворительное, отсутствует</t>
  </si>
  <si>
    <t>15. Удовлетворенность пациента оказанием медицинской помощи:</t>
  </si>
  <si>
    <t>15.1. удовлетворен</t>
  </si>
  <si>
    <t>15.2. удовлетворен частично</t>
  </si>
  <si>
    <t>15.3. не удовлетворен</t>
  </si>
  <si>
    <t>ИТОГО</t>
  </si>
  <si>
    <t>Коэффициент качества</t>
  </si>
  <si>
    <t>Средний балл</t>
  </si>
  <si>
    <t>ХОРОШО (качественно оказанная медицинская помощь)</t>
  </si>
  <si>
    <t>1 -0,8</t>
  </si>
  <si>
    <t>УДОВЛЕТВОРИТЕЛЬНО (качественно оказанная медицинская помощь, сопровождавшаяся единичными дефектами оказания медицинской помощи, которые не привели к ухудшению состояния здоровья пациента)</t>
  </si>
  <si>
    <t>0.7 – 0.6</t>
  </si>
  <si>
    <t>НЕ УДОВЛЕТВОРИТЕЛЬНО (не качественно оказанная медицинская помощь)</t>
  </si>
  <si>
    <t>0.5 -0</t>
  </si>
  <si>
    <t>Оценка работы заведующего отделением – проводится заместителем главного врача по профилю</t>
  </si>
  <si>
    <t>УДОВЛЕТВОРИТЕЛЬНО</t>
  </si>
  <si>
    <t>1 – 0,6</t>
  </si>
  <si>
    <t>НЕ УДОВЛЕТВОРИТЕЛЬНО</t>
  </si>
  <si>
    <t>0,5 - 0</t>
  </si>
  <si>
    <t>Характеристика дефектов и их влияние на результат оказания медицинской помощи</t>
  </si>
  <si>
    <t xml:space="preserve">Внутренний контроль качества и безопасности медицинской деятельности проводил: </t>
  </si>
  <si>
    <t>должность</t>
  </si>
  <si>
    <t>подпись</t>
  </si>
  <si>
    <t>дата</t>
  </si>
  <si>
    <t>Средний 
балл</t>
  </si>
  <si>
    <t xml:space="preserve">Средний 
балл
</t>
  </si>
  <si>
    <r>
      <t xml:space="preserve">3. Диагностические мероприятия </t>
    </r>
    <r>
      <rPr>
        <sz val="8"/>
        <color indexed="8"/>
        <rFont val="Calibri"/>
        <family val="2"/>
        <charset val="204"/>
      </rPr>
      <t>по основному и сопутствующему (клинически значимому) заболеваниям:</t>
    </r>
  </si>
  <si>
    <r>
      <t xml:space="preserve">4. Оформление диагноза </t>
    </r>
    <r>
      <rPr>
        <sz val="8"/>
        <color indexed="8"/>
        <rFont val="Calibri"/>
        <family val="2"/>
        <charset val="204"/>
      </rPr>
      <t>и сопутствующего (клинически значимого) заболеваний:</t>
    </r>
  </si>
  <si>
    <r>
      <t xml:space="preserve">11. Госпитализация: </t>
    </r>
    <r>
      <rPr>
        <sz val="8"/>
        <color indexed="8"/>
        <rFont val="Calibri"/>
        <family val="2"/>
        <charset val="204"/>
      </rPr>
      <t>(в дневной стационар поликлиники, стационар на дому)</t>
    </r>
  </si>
  <si>
    <t>7.3. технологии не соблюдены, риск не минимизирован, что повлияло на исход заболевания</t>
  </si>
  <si>
    <t>В каждом случае контроля качества рассчитывается коэффициент качества (средний балл анализируемых показателей).</t>
  </si>
  <si>
    <t>_________________________________________________________________________________________________________</t>
  </si>
  <si>
    <t>С результатами внутреннего контроля качества  и безопасности медицинской деятельности ознакомлен:</t>
  </si>
  <si>
    <t>__________________________________________________________________________________</t>
  </si>
  <si>
    <t>Химиотерапия Митомицином 
Да-1; Нет-2.</t>
  </si>
  <si>
    <t>Опер.хир.</t>
  </si>
  <si>
    <t>Анестезия</t>
  </si>
  <si>
    <t>Д</t>
  </si>
  <si>
    <t>Код 
МКБ-10</t>
  </si>
  <si>
    <t>СМА</t>
  </si>
  <si>
    <t>Чепуров А.К.</t>
  </si>
  <si>
    <t>И.о. зав.кафедрой, проф.</t>
  </si>
  <si>
    <t xml:space="preserve">зам.главного врача проф.  Царева М.И., и.о. зав.кафедрой урологии РНИМУ </t>
  </si>
  <si>
    <t xml:space="preserve">им.Н.И.Пирогова профессора Чепурова А.К., профессора Кривобородова Г.Г., </t>
  </si>
  <si>
    <t>N 13.0</t>
  </si>
  <si>
    <t>N 13.2</t>
  </si>
  <si>
    <t>Q 63.0</t>
  </si>
  <si>
    <t>N 13.5</t>
  </si>
  <si>
    <t>N 28.8</t>
  </si>
  <si>
    <t>Q 63.8</t>
  </si>
  <si>
    <t>N 26</t>
  </si>
  <si>
    <t>N 27.9</t>
  </si>
  <si>
    <t>N 13.8</t>
  </si>
  <si>
    <t>Q 63.3</t>
  </si>
  <si>
    <t>N 13.4</t>
  </si>
  <si>
    <t>Q 63.2</t>
  </si>
  <si>
    <t>N 13.7</t>
  </si>
  <si>
    <t>N 13.3</t>
  </si>
  <si>
    <t>N 13.1</t>
  </si>
  <si>
    <t>Q 63.1</t>
  </si>
  <si>
    <t>N 13.6</t>
  </si>
  <si>
    <t>N 28.1</t>
  </si>
  <si>
    <t>N 21.0</t>
  </si>
  <si>
    <t>N 20.1</t>
  </si>
  <si>
    <t>N 21.1</t>
  </si>
  <si>
    <t>N 21.8</t>
  </si>
  <si>
    <t>N 20.0</t>
  </si>
  <si>
    <t>N 21.9</t>
  </si>
  <si>
    <t>N 15.1</t>
  </si>
  <si>
    <t>N 12</t>
  </si>
  <si>
    <t>N 10</t>
  </si>
  <si>
    <t>S 35.8</t>
  </si>
  <si>
    <t>S 37.81</t>
  </si>
  <si>
    <t>N 35.0</t>
  </si>
  <si>
    <t>R 30.0</t>
  </si>
  <si>
    <t>N 40</t>
  </si>
  <si>
    <t>R 33</t>
  </si>
  <si>
    <t>R 39.1</t>
  </si>
  <si>
    <t>N 32.0</t>
  </si>
  <si>
    <t>S 37.80</t>
  </si>
  <si>
    <t>N 35.1</t>
  </si>
  <si>
    <t>N 35.9</t>
  </si>
  <si>
    <t>D 29.2</t>
  </si>
  <si>
    <t>S 31.2</t>
  </si>
  <si>
    <t>R 36</t>
  </si>
  <si>
    <t>N 41.2</t>
  </si>
  <si>
    <t>N 45.0</t>
  </si>
  <si>
    <t>N 41.0</t>
  </si>
  <si>
    <t>N 45.9</t>
  </si>
  <si>
    <t>N 41.1</t>
  </si>
  <si>
    <t>S 38.0</t>
  </si>
  <si>
    <t>S 38.2</t>
  </si>
  <si>
    <t>N 30.3</t>
  </si>
  <si>
    <t>F 98.0</t>
  </si>
  <si>
    <t>N 30.9</t>
  </si>
  <si>
    <t>R 32</t>
  </si>
  <si>
    <t>N 30.0</t>
  </si>
  <si>
    <t>N 30.1</t>
  </si>
  <si>
    <t>N 30.8</t>
  </si>
  <si>
    <t>N 30.2</t>
  </si>
  <si>
    <t>N 32.3</t>
  </si>
  <si>
    <t>N 32.4</t>
  </si>
  <si>
    <t>S 37.30</t>
  </si>
  <si>
    <t>S 37.31</t>
  </si>
  <si>
    <t>S 37.20</t>
  </si>
  <si>
    <t>Q 64.1</t>
  </si>
  <si>
    <t>D 41.4</t>
  </si>
  <si>
    <t>S 37.21</t>
  </si>
  <si>
    <t>D 30.3</t>
  </si>
  <si>
    <t>Q 62.6</t>
  </si>
  <si>
    <t>Q 62.2</t>
  </si>
  <si>
    <t>Q 54.4</t>
  </si>
  <si>
    <t>Q 62.1</t>
  </si>
  <si>
    <t>Q 62.5</t>
  </si>
  <si>
    <t>Q 62.7</t>
  </si>
  <si>
    <t>Q 64.0</t>
  </si>
  <si>
    <t>Z 02.3</t>
  </si>
  <si>
    <t>Q 62.3</t>
  </si>
  <si>
    <t>Q 62.4</t>
  </si>
  <si>
    <t>Q 62.8</t>
  </si>
  <si>
    <t>Q 54.0</t>
  </si>
  <si>
    <t>Q 64.9</t>
  </si>
  <si>
    <t>I 86.1</t>
  </si>
  <si>
    <t>S 31.3</t>
  </si>
  <si>
    <t>N 43.0</t>
  </si>
  <si>
    <t>N 50.8</t>
  </si>
  <si>
    <t>Q 64.4</t>
  </si>
  <si>
    <t>D 29.4</t>
  </si>
  <si>
    <t>N 36.2</t>
  </si>
  <si>
    <t>D 29.7</t>
  </si>
  <si>
    <t>N 47</t>
  </si>
  <si>
    <t>D 23.9</t>
  </si>
  <si>
    <t>D 29.0</t>
  </si>
  <si>
    <t>C 62.1</t>
  </si>
  <si>
    <t>С 62.1</t>
  </si>
  <si>
    <t>C 61</t>
  </si>
  <si>
    <t>С 61</t>
  </si>
  <si>
    <t>C 62.0</t>
  </si>
  <si>
    <t>С 62.0</t>
  </si>
  <si>
    <t>C 63.0</t>
  </si>
  <si>
    <t>С 63.0</t>
  </si>
  <si>
    <t>C 67.4</t>
  </si>
  <si>
    <t>С 67.4</t>
  </si>
  <si>
    <t>C 67.8</t>
  </si>
  <si>
    <t>С 67.8</t>
  </si>
  <si>
    <t>C 67.1</t>
  </si>
  <si>
    <t>С 67.1</t>
  </si>
  <si>
    <t>C 67.2</t>
  </si>
  <si>
    <t>С 67.2</t>
  </si>
  <si>
    <t>C 67.0</t>
  </si>
  <si>
    <t>С 67.0</t>
  </si>
  <si>
    <t>C 67.6</t>
  </si>
  <si>
    <t>С 67.6</t>
  </si>
  <si>
    <t>C 67.3</t>
  </si>
  <si>
    <t>С 67.3</t>
  </si>
  <si>
    <t>C 67.5</t>
  </si>
  <si>
    <t>С 67.5</t>
  </si>
  <si>
    <t>C 67.7</t>
  </si>
  <si>
    <t>С 67.7</t>
  </si>
  <si>
    <t>C 67.9</t>
  </si>
  <si>
    <t>С 67.9</t>
  </si>
  <si>
    <t>C 65</t>
  </si>
  <si>
    <t>С 65</t>
  </si>
  <si>
    <t>C 66</t>
  </si>
  <si>
    <t>С 66</t>
  </si>
  <si>
    <t>C 74.9</t>
  </si>
  <si>
    <t>С 74.9</t>
  </si>
  <si>
    <t>C 74.1</t>
  </si>
  <si>
    <t>С 74.1</t>
  </si>
  <si>
    <t>C 74.0</t>
  </si>
  <si>
    <t>С 74.0</t>
  </si>
  <si>
    <t>D 30.0</t>
  </si>
  <si>
    <t>D 30.1</t>
  </si>
  <si>
    <t>D 30.2</t>
  </si>
  <si>
    <t>C 64</t>
  </si>
  <si>
    <t>С 64</t>
  </si>
  <si>
    <t>E 79.0</t>
  </si>
  <si>
    <t>E 74.8</t>
  </si>
  <si>
    <t>M 10.9</t>
  </si>
  <si>
    <t>R 10.4</t>
  </si>
  <si>
    <t>R 30.9</t>
  </si>
  <si>
    <t>N 23</t>
  </si>
  <si>
    <t>ПСА общий крови</t>
  </si>
  <si>
    <t>Консультация хирурга, нефролога невролога</t>
  </si>
  <si>
    <t>! Варикоцеле, гидроцеле: 075.090
Динамическое наблюдение, контроль жалоб, термометрия
ОАК, ОАМ, б/х крови, коагулограмма, группа крови
Стол ОВД, режим палатный
Консультация терапевта
ЭКГ, УЗИ органов мошонки</t>
  </si>
  <si>
    <t>! Стриктуры уретры: 075.050
Динамическое наблюдение, контроль жалоб, термометрия
ОАК, ОАМ, б/х крови, коагулограмма, группа крови
Стол ОВД, режим палатный
Консультация терапевта
ЭКГ, УЗИ, ТРУЗИ, УФМ + определение остаточной мочи
Заполнение опросника IPSS
Ретроградная, микционная уретроцистография</t>
  </si>
  <si>
    <t>! Полип уретры, фимоз: 075.100
Динамическое наблюдение, контроль жалоб, термометрия
ОАК, ОАМ, б/х крови, коагулограмма, группа крови
Стол ОВД, режим палатный
Консультация терапевта
ЭКГ, УЗИ почек, мочевого пузыря</t>
  </si>
  <si>
    <t>Наблюдение терапевтом по м/ж.</t>
  </si>
  <si>
    <t>№ п/п</t>
  </si>
  <si>
    <t>Лечащий врач.</t>
  </si>
  <si>
    <t>Возраст (лет)</t>
  </si>
  <si>
    <t>Генез стриктуры</t>
  </si>
  <si>
    <t>Срок от травмы/ КУЛТ/ операци</t>
  </si>
  <si>
    <t>Сторона поражения (лев/прав)</t>
  </si>
  <si>
    <t xml:space="preserve">Функция почки до </t>
  </si>
  <si>
    <t>Операция</t>
  </si>
  <si>
    <t>Время операции (мин)</t>
  </si>
  <si>
    <t>Кровопотеря</t>
  </si>
  <si>
    <t>Хирург</t>
  </si>
  <si>
    <t>Срок удаления стента (неделя)</t>
  </si>
  <si>
    <t>Расширение ЧЛС после удаления стента</t>
  </si>
  <si>
    <t>Срок наблюдения</t>
  </si>
  <si>
    <t>Последствия операции</t>
  </si>
  <si>
    <t>Лечение рецидива</t>
  </si>
  <si>
    <t>Qmax</t>
  </si>
  <si>
    <t>Qaver</t>
  </si>
  <si>
    <t>IPSS</t>
  </si>
  <si>
    <t>Qaver- п/о</t>
  </si>
  <si>
    <t>Qmax-1 мес.</t>
  </si>
  <si>
    <t>Qaver-1мес</t>
  </si>
  <si>
    <t>IPSS-1мес</t>
  </si>
  <si>
    <t>Qol-1мес.</t>
  </si>
  <si>
    <t>V простаты 1 мес</t>
  </si>
  <si>
    <t>V res urine 1 мес.</t>
  </si>
  <si>
    <t>Qmax-3 мес.</t>
  </si>
  <si>
    <t>Qaver-3мес</t>
  </si>
  <si>
    <t>IPSS-3мес</t>
  </si>
  <si>
    <t>Qol-3мес.</t>
  </si>
  <si>
    <t>V простаты 3 мес</t>
  </si>
  <si>
    <t>V res urine 3 мес.</t>
  </si>
  <si>
    <t>Qmax-6 мес.</t>
  </si>
  <si>
    <t>Qaver-6мес</t>
  </si>
  <si>
    <t>IPSS-6мес</t>
  </si>
  <si>
    <t>Qol-6мес.</t>
  </si>
  <si>
    <t>V простаты 6 мес</t>
  </si>
  <si>
    <t>V res urine 6 мес.</t>
  </si>
  <si>
    <t>Qmax-12 мес.</t>
  </si>
  <si>
    <t>Qaver-12 мес</t>
  </si>
  <si>
    <t>IPSS- 12 мес</t>
  </si>
  <si>
    <t>Qol- 12 мес.</t>
  </si>
  <si>
    <t>V простаты 12 мес</t>
  </si>
  <si>
    <t>V res urine 12 мес.</t>
  </si>
  <si>
    <t>Qmax- п/о</t>
  </si>
  <si>
    <t>№ И/б</t>
  </si>
  <si>
    <t>Мето жительства</t>
  </si>
  <si>
    <t>Локализация стриктуры (в/с/н/ю)</t>
  </si>
  <si>
    <t>Койко-день до операции</t>
  </si>
  <si>
    <t>Койко-день после операции</t>
  </si>
  <si>
    <t>Температура после операции</t>
  </si>
  <si>
    <t>Причины стриктуры</t>
  </si>
  <si>
    <t>ПСА max</t>
  </si>
  <si>
    <t>ПСА до операции</t>
  </si>
  <si>
    <t>Результат биопсии</t>
  </si>
  <si>
    <t>Номер операции</t>
  </si>
  <si>
    <t>Время операции с-до</t>
  </si>
  <si>
    <t>Объем простаты</t>
  </si>
  <si>
    <t>QoL</t>
  </si>
  <si>
    <t>МИЭФ-5</t>
  </si>
  <si>
    <t>Объем остаточной мочи (V res urine)</t>
  </si>
  <si>
    <t>МИЭФ-15</t>
  </si>
  <si>
    <t>Hb до операции</t>
  </si>
  <si>
    <t>Hb после операции (вечер)</t>
  </si>
  <si>
    <t>Сутки удаления катетера</t>
  </si>
  <si>
    <t>Систолическая скорость кровотока</t>
  </si>
  <si>
    <t>Диастолическая скорость кровотока</t>
  </si>
  <si>
    <t>Размеры лоскута/дефекта</t>
  </si>
  <si>
    <t>сTNM</t>
  </si>
  <si>
    <t>Правая доля</t>
  </si>
  <si>
    <t>Левая доля</t>
  </si>
  <si>
    <t>Неоадьювантная ГТ</t>
  </si>
  <si>
    <t>pT</t>
  </si>
  <si>
    <t>pT правая доля</t>
  </si>
  <si>
    <t>pT левая доля</t>
  </si>
  <si>
    <t>pN</t>
  </si>
  <si>
    <t>pN лимфоткань слева</t>
  </si>
  <si>
    <t>pN лимфоткань справа</t>
  </si>
  <si>
    <t>M</t>
  </si>
  <si>
    <t>ПСА п/о</t>
  </si>
  <si>
    <t>Недержание мочи 1 мес</t>
  </si>
  <si>
    <t>ПСА 1 мес</t>
  </si>
  <si>
    <t>Эрекция 1мес</t>
  </si>
  <si>
    <t>Недержание мочи 6 мес</t>
  </si>
  <si>
    <t>ПСА 6 мес</t>
  </si>
  <si>
    <t>Эрекция 6 мес</t>
  </si>
  <si>
    <t>Недержание мочи 12 мес</t>
  </si>
  <si>
    <t>Эрекция 12 мес</t>
  </si>
  <si>
    <t>ПСА 12 мес</t>
  </si>
  <si>
    <t>Недержание мочи 24 мес</t>
  </si>
  <si>
    <t>ПСА 24 мес</t>
  </si>
  <si>
    <t>Эрекция 24 мес</t>
  </si>
  <si>
    <t>Угол искривления члена</t>
  </si>
  <si>
    <t>Уретральная площадка
 (сохранена -1, нет -2)</t>
  </si>
  <si>
    <t>Код операции</t>
  </si>
  <si>
    <t>Предыдущее лечение (операции в анамнезе)</t>
  </si>
  <si>
    <t>Гистология заключение после операции</t>
  </si>
  <si>
    <t>Гистология до операции</t>
  </si>
  <si>
    <t>Нервосохранение (да-1; нет-2)</t>
  </si>
  <si>
    <t>Лимфоррея (сутки)</t>
  </si>
  <si>
    <t>Эрекция п/о (да-1; нет -2)</t>
  </si>
  <si>
    <t>Недержание мочи п/о (да-1; нет -2)</t>
  </si>
  <si>
    <t>Протяженность стриктуры мочеточника</t>
  </si>
  <si>
    <t>Трансфузия (да-1; нет-2)</t>
  </si>
  <si>
    <t>Максимальный размер кисты/опухоли почки (мм)</t>
  </si>
  <si>
    <t>Локализация кисты/опухоли (в/с/н)</t>
  </si>
  <si>
    <t>Качество жизни после операции (QoL)</t>
  </si>
  <si>
    <t>Осложнения (да-1; нет-2)</t>
  </si>
  <si>
    <t>Цистостома до операции (да-1; нет-2)</t>
  </si>
  <si>
    <t>Цистостома после операции (да-1; нет-2)</t>
  </si>
  <si>
    <t xml:space="preserve">ДНСГ </t>
  </si>
  <si>
    <t>УЗИ (норма -1; расширение -2)</t>
  </si>
  <si>
    <t>Экскреторная урография (норма -1; расширение -2)</t>
  </si>
  <si>
    <t>Срок от травмы/ КУЛТ/ операции</t>
  </si>
  <si>
    <t>Размеры лоскута/дефекта (см)</t>
  </si>
  <si>
    <t>Химиотерапия миотомицином (да-1; нет-2)</t>
  </si>
  <si>
    <t>Протяженность стриктуры мочеточника (см)</t>
  </si>
  <si>
    <t>Локализация стриктуры мочеточника (в/с/н/ю)</t>
  </si>
  <si>
    <t>Правая доля (количество положительных вколов)</t>
  </si>
  <si>
    <t>Левая доля (количество положительных вколов)</t>
  </si>
  <si>
    <t>Трансфузия 
(да-1; нет-2)</t>
  </si>
  <si>
    <t>Осложнения 
(да-1; нет-2)</t>
  </si>
  <si>
    <t>Эрекция п/о 
(да-1; нет -2)</t>
  </si>
  <si>
    <t>Цистостома п/о 
(да-1; нет-2)</t>
  </si>
  <si>
    <t>Уретральная площадка
(сохранена -1, нет -2)</t>
  </si>
  <si>
    <t>Объем простаты (см3)</t>
  </si>
  <si>
    <t>ПСА max нг/мл</t>
  </si>
  <si>
    <t>ПСА до операции нг/мл</t>
  </si>
  <si>
    <t>Qmax мл/с</t>
  </si>
  <si>
    <t>Qaver мл/с</t>
  </si>
  <si>
    <t>Объем остаточной мочи (V res urine) мл</t>
  </si>
  <si>
    <t>QoL п/о</t>
  </si>
  <si>
    <t>Результаты специальных исследований (рентгенологических, лабораторных и др.)</t>
  </si>
  <si>
    <t xml:space="preserve">Больному проведены три пробы со снотворным (таб. Фенозепам – 1мг х 1 табл на ночь) – в течение трех суток проба положительная, постель мокрая. Диагноз Энурез  подтвержден. </t>
  </si>
  <si>
    <t>без перемен</t>
  </si>
  <si>
    <t>восстановлена полностью</t>
  </si>
  <si>
    <t>Зам.гл.врача</t>
  </si>
  <si>
    <r>
      <t>Ф.И.О.:</t>
    </r>
    <r>
      <rPr>
        <sz val="18"/>
        <color indexed="8"/>
        <rFont val="Times New Roman"/>
        <family val="1"/>
        <charset val="204"/>
      </rPr>
      <t xml:space="preserve"> </t>
    </r>
  </si>
  <si>
    <r>
      <t>Место работы:</t>
    </r>
    <r>
      <rPr>
        <sz val="18"/>
        <color indexed="8"/>
        <rFont val="Times New Roman"/>
        <family val="1"/>
        <charset val="204"/>
      </rPr>
      <t xml:space="preserve"> </t>
    </r>
  </si>
  <si>
    <r>
      <t xml:space="preserve">Находился в 36 урологическом отделении: </t>
    </r>
    <r>
      <rPr>
        <sz val="18"/>
        <color indexed="8"/>
        <rFont val="Times New Roman"/>
        <family val="1"/>
        <charset val="204"/>
      </rPr>
      <t>с</t>
    </r>
  </si>
  <si>
    <r>
      <t>Диагноз при поступлении:</t>
    </r>
    <r>
      <rPr>
        <sz val="18"/>
        <color indexed="8"/>
        <rFont val="Times New Roman"/>
        <family val="1"/>
        <charset val="204"/>
      </rPr>
      <t xml:space="preserve"> </t>
    </r>
  </si>
  <si>
    <r>
      <t xml:space="preserve">Состояние при выписке </t>
    </r>
    <r>
      <rPr>
        <sz val="18"/>
        <color indexed="8"/>
        <rFont val="Times New Roman"/>
        <family val="1"/>
        <charset val="204"/>
      </rPr>
      <t>удовлетворительное. Т 36,6 С. Область почек визуально не изменена, при пальпации безболезненна. С-м поколачивания отрицательный с обеих сторон. Мочеиспускание самостоятельное.</t>
    </r>
  </si>
  <si>
    <t>угловой штамп медицинского</t>
  </si>
  <si>
    <t>учреждения здравоохранения,</t>
  </si>
  <si>
    <t xml:space="preserve">военно-медицинского учреждения </t>
  </si>
  <si>
    <t>К статьям 114,125 224 Инструкции,</t>
  </si>
  <si>
    <t>введенной в действие приказом</t>
  </si>
  <si>
    <t>Министра обороны Российской</t>
  </si>
  <si>
    <t>Федерации 1995 года № 315</t>
  </si>
  <si>
    <t>АКТ №</t>
  </si>
  <si>
    <t xml:space="preserve">История болезни: </t>
  </si>
  <si>
    <t>Исходящий №</t>
  </si>
  <si>
    <t>,</t>
  </si>
  <si>
    <t>(воинское звание, фамилия, имя, отчество, военкомат, в/часть)</t>
  </si>
  <si>
    <t>__________________________________________________________</t>
  </si>
  <si>
    <t xml:space="preserve">Находился по направлению военного комиссара </t>
  </si>
  <si>
    <t>(наименование военного комиссариата)</t>
  </si>
  <si>
    <t xml:space="preserve">От </t>
  </si>
  <si>
    <t>№</t>
  </si>
  <si>
    <t>на стационарном, амбулаторном (ненужное зачеркнуть) обследовании в   ГКБ №1 им. Н.И. Пирогова</t>
  </si>
  <si>
    <t>(название лечебного учреждения)</t>
  </si>
  <si>
    <t>Жалобы при поступлении:</t>
  </si>
  <si>
    <t>Врач, проводивший исследования</t>
  </si>
  <si>
    <t>Почтовый адрес лечебного учреждения</t>
  </si>
  <si>
    <t>______________________________________________________________________________________________</t>
  </si>
  <si>
    <r>
      <t>Диагноз (по-русски):</t>
    </r>
    <r>
      <rPr>
        <b/>
        <sz val="18"/>
        <color indexed="8"/>
        <rFont val="Times New Roman"/>
        <family val="1"/>
        <charset val="204"/>
      </rPr>
      <t xml:space="preserve"> </t>
    </r>
  </si>
  <si>
    <t>Энурез</t>
  </si>
  <si>
    <t xml:space="preserve">  Приложение №7</t>
  </si>
  <si>
    <t>Приложение 3.4</t>
  </si>
  <si>
    <t>к приказу ГКБ № 1 им. Н.И. Пирогова</t>
  </si>
  <si>
    <t>от  09 января 2013  г. №1</t>
  </si>
  <si>
    <t xml:space="preserve">ПРОТОКОЛ НАЗНАЧЕНИЯ                </t>
  </si>
  <si>
    <t xml:space="preserve">НАРКОТИЧЕСКОГО СРЕДСТВА (НС)       </t>
  </si>
  <si>
    <t>И ПСИХОТРОПНОГО ВЕЩЕСТВА (ПВ)</t>
  </si>
  <si>
    <t>Отделение:</t>
  </si>
  <si>
    <t>Ф.И.О. пациента:</t>
  </si>
  <si>
    <t xml:space="preserve">№ истории болезни: </t>
  </si>
  <si>
    <t>ДНЕВНИК</t>
  </si>
  <si>
    <t xml:space="preserve">Жалобы на: </t>
  </si>
  <si>
    <t>Анамнез (употребление НС и ПВ):</t>
  </si>
  <si>
    <t>, АД</t>
  </si>
  <si>
    <t xml:space="preserve">,ЧСС </t>
  </si>
  <si>
    <t xml:space="preserve">, Пульс </t>
  </si>
  <si>
    <t>Данные осмотра: ЧД</t>
  </si>
  <si>
    <t>мм.рт.ст.</t>
  </si>
  <si>
    <t>120/80</t>
  </si>
  <si>
    <t xml:space="preserve">По органам: </t>
  </si>
  <si>
    <t>ОБОСНОВАНИЕ НАЗНАЧЕНИЯ НС И ПВ:</t>
  </si>
  <si>
    <t>НАЗНАЧЕНО:</t>
  </si>
  <si>
    <t>Способ введения:</t>
  </si>
  <si>
    <t>Подпись</t>
  </si>
  <si>
    <t xml:space="preserve">Лечащий врач (дежурный) Ф.И.О.: </t>
  </si>
  <si>
    <t>Заведующий отделением (ответственный дежурный врач или другое уполномоченное лицо)</t>
  </si>
  <si>
    <t>Дата</t>
  </si>
  <si>
    <t>г.</t>
  </si>
  <si>
    <t>час.</t>
  </si>
  <si>
    <t>мин.</t>
  </si>
  <si>
    <t xml:space="preserve">В присутствии врача ампула вскрыта, лекарственное средство набрано и введено: </t>
  </si>
  <si>
    <t>Медицинская сестра (Ф.И.О.)</t>
  </si>
  <si>
    <t xml:space="preserve">В моем присутствии вскрыта и набрана ампула и выполнена инъекция лекарственного средства: </t>
  </si>
  <si>
    <t>Врач (Ф.И.О.)</t>
  </si>
  <si>
    <t>ЭФФЕКТ ВВЕДЕНИЯ:</t>
  </si>
  <si>
    <t>_____</t>
  </si>
  <si>
    <t>______________________________________________________________________________</t>
  </si>
  <si>
    <t>_______________________________________________</t>
  </si>
  <si>
    <t>Tab. Asparkami 2т х 3р/с per os</t>
  </si>
  <si>
    <t>Диагноз:</t>
  </si>
  <si>
    <t>Количество биоптатов:</t>
  </si>
  <si>
    <t>Слева-</t>
  </si>
  <si>
    <t>Справа-</t>
  </si>
  <si>
    <t>________</t>
  </si>
  <si>
    <r>
      <t xml:space="preserve">            R</t>
    </r>
    <r>
      <rPr>
        <b/>
        <sz val="11"/>
        <color indexed="63"/>
        <rFont val="Arial Narrow"/>
        <family val="2"/>
        <charset val="204"/>
      </rPr>
      <t xml:space="preserve">                           </t>
    </r>
    <r>
      <rPr>
        <b/>
        <sz val="14"/>
        <color indexed="63"/>
        <rFont val="Arial Narrow"/>
        <family val="2"/>
        <charset val="204"/>
      </rPr>
      <t>L</t>
    </r>
    <r>
      <rPr>
        <b/>
        <sz val="11"/>
        <color indexed="63"/>
        <rFont val="Arial Narrow"/>
        <family val="2"/>
        <charset val="204"/>
      </rPr>
      <t xml:space="preserve">                     </t>
    </r>
  </si>
  <si>
    <t xml:space="preserve">Данные предшеств. биопсии: </t>
  </si>
  <si>
    <t xml:space="preserve">1
</t>
  </si>
  <si>
    <t xml:space="preserve">2
</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</si>
  <si>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</si>
  <si>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</si>
  <si>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</si>
  <si>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</si>
  <si>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</si>
  <si>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</si>
  <si>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</si>
  <si>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</si>
  <si>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</si>
  <si>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</si>
  <si>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0
0</t>
  </si>
  <si>
    <r>
      <rPr>
        <u/>
        <sz val="20"/>
        <color indexed="8"/>
        <rFont val="Times New Roman"/>
        <family val="1"/>
        <charset val="204"/>
      </rPr>
      <t>дн. ВН</t>
    </r>
    <r>
      <rPr>
        <sz val="20"/>
        <color indexed="8"/>
        <rFont val="Times New Roman"/>
        <family val="1"/>
        <charset val="204"/>
      </rPr>
      <t>___</t>
    </r>
  </si>
  <si>
    <r>
      <rPr>
        <u/>
        <sz val="20"/>
        <color indexed="8"/>
        <rFont val="Times New Roman"/>
        <family val="1"/>
        <charset val="204"/>
      </rPr>
      <t>к/д</t>
    </r>
    <r>
      <rPr>
        <sz val="20"/>
        <color indexed="8"/>
        <rFont val="Times New Roman"/>
        <family val="1"/>
        <charset val="204"/>
      </rPr>
      <t>___________</t>
    </r>
  </si>
  <si>
    <r>
      <rPr>
        <u/>
        <sz val="20"/>
        <color indexed="8"/>
        <rFont val="Times New Roman"/>
        <family val="1"/>
        <charset val="204"/>
      </rPr>
      <t>г.р.</t>
    </r>
    <r>
      <rPr>
        <sz val="20"/>
        <color indexed="8"/>
        <rFont val="Times New Roman"/>
        <family val="1"/>
        <charset val="204"/>
      </rPr>
      <t>___________</t>
    </r>
  </si>
  <si>
    <t>________________________________________________</t>
  </si>
  <si>
    <t>_________________________________________________</t>
  </si>
  <si>
    <t>Инфузионная терапия</t>
  </si>
  <si>
    <t>Sol. Trisoli - 400,0
Vit C - 5,0
Riboxini - 5,0</t>
  </si>
  <si>
    <t>Sol. Glucoseae 5% - 400,0
Insulini Aktropidi 6 Ед
Vit B1 - 2,0
Sol. KCl 4% - 40,0 в/в капельно</t>
  </si>
  <si>
    <t>Caps. Tamsulozini 0,4мг 1р/с</t>
  </si>
  <si>
    <t>Tab. Nifedipini 10мг х 1р/с под контролем АД</t>
  </si>
  <si>
    <t>Tab. Asparkami 2т х 3р/с</t>
  </si>
  <si>
    <t>Шифр</t>
  </si>
  <si>
    <t>Код ВМТ</t>
  </si>
  <si>
    <t>Код ВМТ 
(ЛСК, ЧПНЛТ)</t>
  </si>
  <si>
    <t>Б/х крови:</t>
  </si>
  <si>
    <t>ОАМ:</t>
  </si>
  <si>
    <t>ОАК:</t>
  </si>
  <si>
    <r>
      <t>Пол:</t>
    </r>
    <r>
      <rPr>
        <b/>
        <sz val="16"/>
        <color indexed="8"/>
        <rFont val="Times New Roman"/>
        <family val="1"/>
        <charset val="204"/>
      </rPr>
      <t xml:space="preserve"> </t>
    </r>
    <r>
      <rPr>
        <b/>
        <u/>
        <sz val="12"/>
        <color indexed="8"/>
        <rFont val="Times New Roman"/>
        <family val="1"/>
        <charset val="204"/>
      </rPr>
      <t/>
    </r>
  </si>
  <si>
    <r>
      <t>Дата рождения</t>
    </r>
    <r>
      <rPr>
        <b/>
        <sz val="16"/>
        <color indexed="8"/>
        <rFont val="Times New Roman"/>
        <family val="1"/>
        <charset val="204"/>
      </rPr>
      <t>:</t>
    </r>
    <r>
      <rPr>
        <sz val="16"/>
        <color indexed="8"/>
        <rFont val="Times New Roman"/>
        <family val="1"/>
        <charset val="204"/>
      </rPr>
      <t xml:space="preserve"> </t>
    </r>
  </si>
  <si>
    <r>
      <t xml:space="preserve">Дата </t>
    </r>
    <r>
      <rPr>
        <b/>
        <u/>
        <sz val="16"/>
        <color indexed="8"/>
        <rFont val="Times New Roman"/>
        <family val="1"/>
        <charset val="204"/>
      </rPr>
      <t>выписки</t>
    </r>
    <r>
      <rPr>
        <sz val="16"/>
        <color indexed="8"/>
        <rFont val="Times New Roman"/>
        <family val="1"/>
        <charset val="204"/>
      </rPr>
      <t xml:space="preserve"> (или смерти):</t>
    </r>
  </si>
  <si>
    <t>И.O. зав.отд. (да-1; нет-2)</t>
  </si>
  <si>
    <r>
      <t xml:space="preserve">внутривенно, </t>
    </r>
    <r>
      <rPr>
        <u/>
        <sz val="12"/>
        <color indexed="8"/>
        <rFont val="Times New Roman"/>
        <family val="1"/>
        <charset val="204"/>
      </rPr>
      <t>внутримышечно</t>
    </r>
    <r>
      <rPr>
        <sz val="12"/>
        <color indexed="8"/>
        <rFont val="Times New Roman"/>
        <family val="1"/>
        <charset val="204"/>
      </rPr>
      <t>, подкожно (подчеркнуть)</t>
    </r>
  </si>
  <si>
    <t>_______________</t>
  </si>
  <si>
    <r>
      <t xml:space="preserve">Осложнения </t>
    </r>
    <r>
      <rPr>
        <u/>
        <sz val="12"/>
        <color indexed="8"/>
        <rFont val="Times New Roman"/>
        <family val="1"/>
        <charset val="204"/>
      </rPr>
      <t>(нет - подчеркнуть)</t>
    </r>
    <r>
      <rPr>
        <sz val="12"/>
        <color indexed="8"/>
        <rFont val="Times New Roman"/>
        <family val="1"/>
        <charset val="204"/>
      </rPr>
      <t>, (да - перечислить)</t>
    </r>
  </si>
  <si>
    <t>Котов С.В.</t>
  </si>
  <si>
    <t>Sol. NaCl 0,9% - 400,0
Pentoxyfillini 0,01% - 10,0
Vit B6 - 2,0
Sol. KCl 4% - 40,0 в/в капельно</t>
  </si>
  <si>
    <t>Наркотики</t>
  </si>
  <si>
    <t>Sol. Mоrphini 1%-1ml (10mg) в/в, п/к, в/м</t>
  </si>
  <si>
    <t>Sol. Mоrphini 1%-2ml (20mg) в/в, п/к, в/м</t>
  </si>
  <si>
    <t>Sol. Omniponi 2%-1ml п/к</t>
  </si>
  <si>
    <t>Sol. Promedoli 2%-1ml (20mg) в/м, п/к, в/в</t>
  </si>
  <si>
    <t>Sol. Promedoli 2%-4ml (80mg) в/м, п/к, в/в</t>
  </si>
  <si>
    <t>Sol. Fulsedi 5mg-1ml</t>
  </si>
  <si>
    <t>Sol. Dormicumi 5mg-1ml</t>
  </si>
  <si>
    <t>Sol. Dormicumi 15mg-3ml</t>
  </si>
  <si>
    <t>Sol. Relanii  10mg-2ml</t>
  </si>
  <si>
    <t>Пол 
(Муж-1;
Жен-2)</t>
  </si>
  <si>
    <t>Возраст (полных лет)</t>
  </si>
  <si>
    <t>Канал поступления (план.-1;
экстр.-2)</t>
  </si>
  <si>
    <t>Лечение эрозий</t>
  </si>
  <si>
    <t xml:space="preserve">Нексиум (за 30мин. до еды) 20мг утром и вечером, Гевискон (Фосфалюгель) 1п. через 1 час после еды и 1 час не есть, 7 дней. </t>
  </si>
  <si>
    <t>Для клинического разбора</t>
  </si>
  <si>
    <t>Таб. Преднизолон 5мг х 1р/с 10 дней.</t>
  </si>
  <si>
    <t>Tab. Prednisoloni 5мг х 1р/с per os</t>
  </si>
  <si>
    <t>Sol. Diclofenaci 75mg в/м при болях</t>
  </si>
  <si>
    <t xml:space="preserve">Sol. Klexani 0,8мл х 1р/с п/к </t>
  </si>
  <si>
    <t>Tab. Trentali 2т х 3р/с per os</t>
  </si>
  <si>
    <t>Sol. Tramadoli 2,0 в/м при болях</t>
  </si>
  <si>
    <t>Sol. Ketoroli 2,0 в/м при болях</t>
  </si>
  <si>
    <t>Vienna Nomogram</t>
  </si>
  <si>
    <t>Size (cc)</t>
  </si>
  <si>
    <t>Age (years)</t>
  </si>
  <si>
    <t>&lt;50</t>
  </si>
  <si>
    <t>50–60</t>
  </si>
  <si>
    <t>60–70</t>
  </si>
  <si>
    <t>&gt;70</t>
  </si>
  <si>
    <t>20–29</t>
  </si>
  <si>
    <t xml:space="preserve">30–39 </t>
  </si>
  <si>
    <t xml:space="preserve">40–49 </t>
  </si>
  <si>
    <t xml:space="preserve">50–59 </t>
  </si>
  <si>
    <t>60–69</t>
  </si>
  <si>
    <t>Индекс Массы Тела</t>
  </si>
  <si>
    <t>Индекс массы тела</t>
  </si>
  <si>
    <t xml:space="preserve">Возраст </t>
  </si>
  <si>
    <t xml:space="preserve">Показатель ПСА, нг/мл </t>
  </si>
  <si>
    <t xml:space="preserve">40-49 </t>
  </si>
  <si>
    <t>0-2,5</t>
  </si>
  <si>
    <t>50-59</t>
  </si>
  <si>
    <t>0-3,5</t>
  </si>
  <si>
    <t>60-69</t>
  </si>
  <si>
    <t>0-4,5</t>
  </si>
  <si>
    <t>70-79</t>
  </si>
  <si>
    <t>0-6,5</t>
  </si>
  <si>
    <t>! Гидронефроз 075.010
Динамическое наблюдение, контроль жалоб, термометрия
ОАК, ОАМ, б/х крови, коагулограмма, группа крови
Стол ОВД, режим палатный
Консультация терапевта
ЭКГ, УЗИ почек, мочевого пузыря</t>
  </si>
  <si>
    <t>Neutrophil-to-lymphocyte (NTL) ratio</t>
  </si>
  <si>
    <t>1. Myocardial Infarction</t>
  </si>
  <si>
    <t>3. Peripheral VascularDisease</t>
  </si>
  <si>
    <t>5. Dementia</t>
  </si>
  <si>
    <t>6. COPD</t>
  </si>
  <si>
    <t>11.Hemiplegia (2 points)</t>
  </si>
  <si>
    <t>12. Leukemia (2 points)</t>
  </si>
  <si>
    <t>13. Malignant Lymphoma (2 points)</t>
  </si>
  <si>
    <t>16. AIDS (6 points)</t>
  </si>
  <si>
    <t>7. Connective Tissue Disease</t>
  </si>
  <si>
    <t>8. Peptic Ulcer Disease</t>
  </si>
  <si>
    <t>10. Moderate to Severe Chronic Kidney Disease (2 points)</t>
  </si>
  <si>
    <t>14. Solid Tumor(2 points, 6 points if metastatic)</t>
  </si>
  <si>
    <t>15. Liver Disease (1 point mild, 3 points if moderate to severe)</t>
  </si>
  <si>
    <t>Scoring: Age</t>
  </si>
  <si>
    <t>1. Age &lt;40 years: 0 points</t>
  </si>
  <si>
    <t>2. Age 41‐50 years: 1 points</t>
  </si>
  <si>
    <t>3. Age 51‐60 years: 2 points</t>
  </si>
  <si>
    <t>4. Age 61‐70 years: 3 points</t>
  </si>
  <si>
    <t>5. Age 71‐80 years: 4 points</t>
  </si>
  <si>
    <t>9. Diabetes Mellitus (1 point uncomplicated, 2 points if end‐organ damage)</t>
  </si>
  <si>
    <t>Scoring: Comorbidity Component 
(Apply 1 point to each unless otherwise noted):</t>
  </si>
  <si>
    <t>Basal Metabolic Rate (BMR)</t>
  </si>
  <si>
    <t>Площадь поверхности тела</t>
  </si>
  <si>
    <t>Тощая масса тела (кг)</t>
  </si>
  <si>
    <t>Идеальная масса тела (кг)</t>
  </si>
  <si>
    <t>2. Congestive Heart Failure</t>
  </si>
  <si>
    <t>4. Cerebrovascular Disease</t>
  </si>
  <si>
    <t>Charlson Comorbidity Index (10-летняя выживаемость)</t>
  </si>
  <si>
    <t>Амикацин (мг/кг/сутки)</t>
  </si>
  <si>
    <t>Амикацин при ХПН интервал</t>
  </si>
  <si>
    <t>СКФ (MDRD) мл/мин/1,73м2</t>
  </si>
  <si>
    <t>СКФ (Кокрофт-Голт) мл/мин</t>
  </si>
  <si>
    <t>ПСА</t>
  </si>
  <si>
    <t>Points</t>
  </si>
  <si>
    <t>Глисон</t>
  </si>
  <si>
    <t>Инвазия</t>
  </si>
  <si>
    <t>Край</t>
  </si>
  <si>
    <t>Пузырьки</t>
  </si>
  <si>
    <t>Послеоперационная номограмма рецидива РПЖ (номограмма М.Каттана)</t>
  </si>
  <si>
    <t>Лимфоузлы</t>
  </si>
  <si>
    <r>
      <rPr>
        <u/>
        <sz val="11"/>
        <rFont val="Calibri"/>
        <family val="2"/>
        <charset val="204"/>
      </rPr>
      <t>PSA общ</t>
    </r>
    <r>
      <rPr>
        <sz val="11"/>
        <rFont val="Calibri"/>
        <family val="2"/>
        <charset val="204"/>
      </rPr>
      <t xml:space="preserve"> (нг/мл): (0,1-0,9 или 1-100)</t>
    </r>
  </si>
  <si>
    <r>
      <rPr>
        <u/>
        <sz val="11"/>
        <rFont val="Calibri"/>
        <family val="2"/>
        <charset val="204"/>
      </rPr>
      <t>Gleason сумма</t>
    </r>
    <r>
      <rPr>
        <sz val="11"/>
        <rFont val="Calibri"/>
        <family val="2"/>
        <charset val="204"/>
      </rPr>
      <t>:</t>
    </r>
  </si>
  <si>
    <r>
      <rPr>
        <u/>
        <sz val="11"/>
        <rFont val="Calibri"/>
        <family val="2"/>
        <charset val="204"/>
      </rPr>
      <t>Инвазия простатической капсулы</t>
    </r>
    <r>
      <rPr>
        <sz val="11"/>
        <rFont val="Calibri"/>
        <family val="2"/>
        <charset val="204"/>
      </rPr>
      <t>:  
нет - 0, инвазия - 1
микроскопическое прорастание - 2
макроскопическое прорастание - 3</t>
    </r>
  </si>
  <si>
    <r>
      <rPr>
        <u/>
        <sz val="11"/>
        <rFont val="Calibri"/>
        <family val="2"/>
        <charset val="204"/>
      </rPr>
      <t>Хирургический край</t>
    </r>
    <r>
      <rPr>
        <sz val="11"/>
        <rFont val="Calibri"/>
        <family val="2"/>
        <charset val="204"/>
      </rPr>
      <t>:
отрицательный - 0, положительный - 1</t>
    </r>
  </si>
  <si>
    <r>
      <rPr>
        <u/>
        <sz val="11"/>
        <rFont val="Calibri"/>
        <family val="2"/>
        <charset val="204"/>
      </rPr>
      <t>Инвазия в семенные пузырьки</t>
    </r>
    <r>
      <rPr>
        <sz val="11"/>
        <rFont val="Calibri"/>
        <family val="2"/>
        <charset val="204"/>
      </rPr>
      <t>:
нет - 0, да - 1</t>
    </r>
  </si>
  <si>
    <r>
      <rPr>
        <u/>
        <sz val="11"/>
        <rFont val="Calibri"/>
        <family val="2"/>
        <charset val="204"/>
      </rPr>
      <t>Метастазы в лимфоузлах</t>
    </r>
    <r>
      <rPr>
        <sz val="11"/>
        <rFont val="Calibri"/>
        <family val="2"/>
        <charset val="204"/>
      </rPr>
      <t>:
нет - 0, да - 1</t>
    </r>
  </si>
  <si>
    <t>Recurrence</t>
  </si>
  <si>
    <t>Вероятность отсутствия рецидива 84 месяца</t>
  </si>
  <si>
    <t>п/о шкала РПЖ!</t>
  </si>
  <si>
    <t>Предоперационная номограмма рецидива РПЖ (номограмма М.Каттана)</t>
  </si>
  <si>
    <r>
      <rPr>
        <u/>
        <sz val="11"/>
        <rFont val="Calibri"/>
        <family val="2"/>
        <charset val="204"/>
      </rPr>
      <t>PSA общ</t>
    </r>
    <r>
      <rPr>
        <sz val="11"/>
        <rFont val="Calibri"/>
        <family val="2"/>
        <charset val="204"/>
      </rPr>
      <t xml:space="preserve"> (нг/мл): (0,1-0,9 или 1-110)</t>
    </r>
  </si>
  <si>
    <r>
      <rPr>
        <u/>
        <sz val="11"/>
        <rFont val="Calibri"/>
        <family val="2"/>
        <charset val="204"/>
      </rPr>
      <t>Клиническая стадия</t>
    </r>
    <r>
      <rPr>
        <sz val="11"/>
        <rFont val="Calibri"/>
        <family val="2"/>
        <charset val="204"/>
      </rPr>
      <t xml:space="preserve">:  
сТ1a, сТ1b - 0, cT1c - 1, 
cT2a - 2, cT2b - 3, cT2c - 4
cT3a - 5 </t>
    </r>
  </si>
  <si>
    <r>
      <rPr>
        <u/>
        <sz val="11"/>
        <rFont val="Calibri"/>
        <family val="2"/>
        <charset val="204"/>
      </rPr>
      <t xml:space="preserve">Шкала Gleason:
</t>
    </r>
    <r>
      <rPr>
        <sz val="11"/>
        <rFont val="Calibri"/>
        <family val="2"/>
        <charset val="204"/>
      </rPr>
      <t>(</t>
    </r>
    <r>
      <rPr>
        <sz val="11"/>
        <rFont val="Calibri"/>
        <family val="2"/>
        <charset val="204"/>
      </rPr>
      <t>≤2 + ≤2) - 0,   (≤2 + 3) - 1,
(3 + 3) - 2,        (3 + ≤2) - 3,
(≤3 + ≥4) - 4,   (≥4 + ≥2) - 5,</t>
    </r>
  </si>
  <si>
    <t>Стадия</t>
  </si>
  <si>
    <t xml:space="preserve">Points </t>
  </si>
  <si>
    <t>recurrence</t>
  </si>
  <si>
    <t>Вероятность отсутствия рецидива 60 месяцев</t>
  </si>
  <si>
    <t>Предперационная шкала РПЖ</t>
  </si>
  <si>
    <t>Возрастные нормы ПСА (AUA)</t>
  </si>
  <si>
    <t>Перевод в др.отд.
(да-1; нет-2)</t>
  </si>
  <si>
    <t>ПЛАНОВАЯ</t>
  </si>
  <si>
    <t>Дата выдачи заявки:</t>
  </si>
  <si>
    <t xml:space="preserve">Отд.: </t>
  </si>
  <si>
    <t>№ и/б:</t>
  </si>
  <si>
    <t>Консульт.:</t>
  </si>
  <si>
    <t>ЗАЯВКА</t>
  </si>
  <si>
    <t>на плановую консультацию</t>
  </si>
  <si>
    <t>Консультация врача (специальность):</t>
  </si>
  <si>
    <t>Цель консультации:</t>
  </si>
  <si>
    <t>Дата подачи заявки:</t>
  </si>
  <si>
    <t>Зав.отд.:</t>
  </si>
  <si>
    <t>Леч.врач:</t>
  </si>
  <si>
    <t>Дата и время выполнения:</t>
  </si>
  <si>
    <t>Подпись консультанта:</t>
  </si>
  <si>
    <t>Подпись зав.отделением:</t>
  </si>
  <si>
    <t>Подпись леч.врача:</t>
  </si>
  <si>
    <t>Подпись ст.сестры:</t>
  </si>
  <si>
    <t>Обоснована, не обоснована (подчеркнуть)</t>
  </si>
  <si>
    <t>Предполагаемый срок исполнения:</t>
  </si>
  <si>
    <t>____________</t>
  </si>
  <si>
    <t>PSA (общ) нг/мл: (0,1-0,9 или 1-70)</t>
  </si>
  <si>
    <t>Клиническая стадия: 
Т1с - 0, Т2а - 1, Т2b - 2, Т2с - 3, Т3 - 4</t>
  </si>
  <si>
    <t>Шкала Gleason: 
4 или 5 - 0, 6(3+3) - 1,
7(3+4) - 2, 7(4+3) - 3, ≥8 - 4</t>
  </si>
  <si>
    <t>поинты</t>
  </si>
  <si>
    <t>Поинты</t>
  </si>
  <si>
    <t>Шкала</t>
  </si>
  <si>
    <t>Экстракапсулярный рост</t>
  </si>
  <si>
    <t>Баллы</t>
  </si>
  <si>
    <t>Риск</t>
  </si>
  <si>
    <t>Вероятность экстракапсулярного роста</t>
  </si>
  <si>
    <t>Sol. Ciprofloxacini 400мг х 2р/с в/м</t>
  </si>
  <si>
    <t>Supp. Diclofenaci 100мг на ночь</t>
  </si>
  <si>
    <t>Tab. Ciprofloxacini 500мг х 2р/с per os</t>
  </si>
  <si>
    <t>Вероятность экстракапсулярного распространения РПЖ (номограмма Каттана)</t>
  </si>
  <si>
    <t>Gleason вторая цифра:</t>
  </si>
  <si>
    <t>Процент РПЖ в биоптатах основания:
от 0 до 92 процентов</t>
  </si>
  <si>
    <t>Gleason первая цифра:</t>
  </si>
  <si>
    <t>PSA общ (нг/мл): (0,1-10,0 и 10-100)</t>
  </si>
  <si>
    <t>1 Глисон</t>
  </si>
  <si>
    <t>2 Глисон</t>
  </si>
  <si>
    <t>Клиническая стадия:
сТ1с - 0, сТ2а - 1, сТ2b - 2, 
сТ2с - 3, сТ3 - 4,</t>
  </si>
  <si>
    <t>Процент</t>
  </si>
  <si>
    <t>Семенные пузырьки 1</t>
  </si>
  <si>
    <t xml:space="preserve">Вероятность инвазии РПЖ в семенные пузырьки (номограмма М.Каттана) - 1 </t>
  </si>
  <si>
    <t>Вероятность инвазии в семенные пузырьки</t>
  </si>
  <si>
    <r>
      <rPr>
        <b/>
        <sz val="16"/>
        <color indexed="8"/>
        <rFont val="Times New Roman"/>
        <family val="1"/>
        <charset val="204"/>
      </rPr>
      <t xml:space="preserve">Открытая адреналэктомия слева
</t>
    </r>
    <r>
      <rPr>
        <sz val="16"/>
        <color indexed="8"/>
        <rFont val="Times New Roman"/>
        <family val="1"/>
        <charset val="204"/>
      </rPr>
      <t>Под ЭТН, субкостальным доступом слева по Шеврону. Вскрыта брюшная полость. При ревизии органов брюшной полости определяется незначительный спаечный процесс в брюшной полости. Мобилизован селезеночный угол ободочной кишки. Париетальный листок брюшины вскрыт в латеральном канале. В верхней трети выделен левый мочеточник с яичниковой веной. Мобилизована левая почка нормальных размеров, увеличенное образование представлено надпочечником.  Выделена почечная вена, от которой отходит надпочечниковая вена. Последняя перевязана, пересечена. С использованием Ligasure выделен левый надпочечник, удален. При контроле селезенка, хвост поджелудочной железы, интактные.  Гемостаз - кровотечения нет. Страховой  дренаж к ножке левой почки выведен через контрапертуру в левой боковой области живота, фиксирован кожным швом. Послойное ушивание раны. Спирт. Йод.Аснаклейка.
Рапорт операционной медсестры принят.</t>
    </r>
  </si>
  <si>
    <t>Рапорт</t>
  </si>
  <si>
    <t>Меропенем 6г/сутки (2г х 3р/с) в/в в 200мл 0,9% Р-ра NaCl 5дней</t>
  </si>
  <si>
    <t>Кубицин 500мг 1р/с в/в капельно в течение 1 часа 2 дней.</t>
  </si>
  <si>
    <t>Клексан 0,8мл 1р/с п/к 5 дней</t>
  </si>
  <si>
    <t>Sol. Dicinoni 1,0 х 3 р/с в/м</t>
  </si>
  <si>
    <t>ОАК, ОАМ, б/х крови</t>
  </si>
  <si>
    <t>Перов Р.А.</t>
  </si>
  <si>
    <t>Беломытцев С.В.</t>
  </si>
  <si>
    <t>Сулейманов М.С.</t>
  </si>
  <si>
    <t>Трынов Р.В.</t>
  </si>
  <si>
    <t>Страт А.А.</t>
  </si>
  <si>
    <t>Суренков Д.Н.</t>
  </si>
  <si>
    <t>Даренков С.П.</t>
  </si>
  <si>
    <t>Ефремов Н.С.</t>
  </si>
  <si>
    <t>Тур Е.И.</t>
  </si>
  <si>
    <t>Зенков С.С.</t>
  </si>
  <si>
    <t>Берестенников К.А.</t>
  </si>
  <si>
    <t>Неменова А.А.</t>
  </si>
  <si>
    <t>0(I)первая, Rh+положительный, Kell-отрицательный</t>
  </si>
  <si>
    <t>0(I)первая, Rh+положительный, Kell+положительный</t>
  </si>
  <si>
    <t>0(I)первая, Rh-отрицательный, Kell+положительный</t>
  </si>
  <si>
    <t>0(I)первая, Rh-отрицательный, Kell-отрицательный</t>
  </si>
  <si>
    <t>А(II)вторая, Rh+положительный, Kell-отрицательный</t>
  </si>
  <si>
    <t>А(II)вторая, Rh+положительный, Kell+положительный</t>
  </si>
  <si>
    <t>А(II)вторая, Rh-отрицательный, Kell+положительный</t>
  </si>
  <si>
    <t>А(II)вторая, Rh-отрицательный, Kell-отрицательный</t>
  </si>
  <si>
    <t>B(III)третья, Rh+положительный, Kell-отрицательный</t>
  </si>
  <si>
    <t>B(III)третья, Rh+положительный, Kell+положительный</t>
  </si>
  <si>
    <t>B(III)третья, Rh-отрицательный, Kell+положительный</t>
  </si>
  <si>
    <t>B(III)третья, Rh-отрицательный, Kell-отрицательный</t>
  </si>
  <si>
    <t>AB(IV)четвертая, Rh+положительный, Kell-отрицательный</t>
  </si>
  <si>
    <t>AB(IV)четвертая, Rh+положительный, Kell+положительный</t>
  </si>
  <si>
    <t>AB(IV)четвертая, Rh-отрицательный, Kell+положительный</t>
  </si>
  <si>
    <t>AB(IV)четвертая, Rh-отрицательный, Kell-отрицательный</t>
  </si>
  <si>
    <t>ЭДА</t>
  </si>
  <si>
    <t>КЭТН</t>
  </si>
  <si>
    <t>Местная анестезия</t>
  </si>
  <si>
    <t>Код выписки</t>
  </si>
  <si>
    <t>А</t>
  </si>
  <si>
    <t>Выполнение</t>
  </si>
  <si>
    <t xml:space="preserve"> ЛАБОРАТОРНАЯ  ДИАГНОСТИКА  (ОБЯЗАТЕЛЬНАЯ)</t>
  </si>
  <si>
    <t xml:space="preserve"> МЕДИКАМЕНТОЗНОЕ  ЛЕЧЕНИЕ</t>
  </si>
  <si>
    <t xml:space="preserve"> Анализ мочи  по Нечипоренко</t>
  </si>
  <si>
    <t xml:space="preserve"> Полная или  частичная санация  очага инфекции</t>
  </si>
  <si>
    <t xml:space="preserve"> Улучшение  уродинамики</t>
  </si>
  <si>
    <t xml:space="preserve"> Нормализация или  улучшение  лабораторных  показателей</t>
  </si>
  <si>
    <t xml:space="preserve"> Атибактериальные  препараты</t>
  </si>
  <si>
    <t xml:space="preserve"> Микроб исслед.  мочи с идентиф.  возбуд. и опред.  чувств. К  антибиотикам</t>
  </si>
  <si>
    <t xml:space="preserve"> Кровь на ВИЧ и  HBsAg  Кровь на RW</t>
  </si>
  <si>
    <t xml:space="preserve"> Гистологическое  исследование  операционного материала</t>
  </si>
  <si>
    <t xml:space="preserve"> Эндоурологическая  операция</t>
  </si>
  <si>
    <t xml:space="preserve"> ОПЕРАТИВНОЕ   ПОСОБИЕ</t>
  </si>
  <si>
    <t xml:space="preserve"> Гипотензивные  препараты</t>
  </si>
  <si>
    <t xml:space="preserve"> Кратность</t>
  </si>
  <si>
    <t xml:space="preserve"> ИНСТРУМЕНТАЛЬНАЯ  ДИАГНОСТИКА  (ОБЯЗАТЕЛЬНАЯ)</t>
  </si>
  <si>
    <t xml:space="preserve"> Rg-графия грудной  клетки</t>
  </si>
  <si>
    <t xml:space="preserve"> В/венная  экскреторная  урография</t>
  </si>
  <si>
    <t xml:space="preserve"> УЗИ мочеполовой  системы</t>
  </si>
  <si>
    <t xml:space="preserve"> Антеградная и  ретроградная  пиелография</t>
  </si>
  <si>
    <t xml:space="preserve"> КОНСУЛЬТАЦИИ  СПЕЦИАЛИСТОВ  (ОБЯЗАТЕЛЬНЫЕ)</t>
  </si>
  <si>
    <t xml:space="preserve"> Медицинского  психолога</t>
  </si>
  <si>
    <t xml:space="preserve"> Психотерапия (выбор  методов воздействия  по показаниям, см.  медицинский стандарт  стационарной  помощи 91).</t>
  </si>
  <si>
    <t xml:space="preserve"> ФИЗИЧЕСКИЕ И  АКТИВНЫЕ  МЕТОДЫ ЛЕЧЕНИЯ  (ОБЯЗАТЕЛЬНЫЕ)</t>
  </si>
  <si>
    <t>Осмотр с проф. Кривобородовым Г.Г., зав.отд. Котовым С.В.</t>
  </si>
  <si>
    <t>Осмотр с проф. Даренковым С.П., зав.отд. Котовым С.В.</t>
  </si>
  <si>
    <r>
      <t xml:space="preserve">Находился в 4 хирургическом отделении: </t>
    </r>
    <r>
      <rPr>
        <sz val="18"/>
        <color indexed="9"/>
        <rFont val="Times New Roman"/>
        <family val="1"/>
        <charset val="204"/>
      </rPr>
      <t>с</t>
    </r>
  </si>
  <si>
    <t>психолог</t>
  </si>
  <si>
    <t>Осмотр с и.о. зав.отд. Юсуфовым А.Г.</t>
  </si>
  <si>
    <t>Осмотр с проф. Кривобородовым Г.Г., и.о. зав.отд. Юсуфовым А.Г.</t>
  </si>
  <si>
    <t>Осмотр с проф. Даренковым С.П., и.о. зав.отд. Юсуфовым А.Г.</t>
  </si>
  <si>
    <t>Арбузов И.А.</t>
  </si>
  <si>
    <t>ПРОТОКОЛ ГЕМОТРАНСФУЗИИ</t>
  </si>
  <si>
    <t xml:space="preserve">Ф.И.О. реципиента </t>
  </si>
  <si>
    <t>№истории болезни</t>
  </si>
  <si>
    <t xml:space="preserve">Дата гемотрансфузии </t>
  </si>
  <si>
    <t xml:space="preserve">Начало гемотрансфузии </t>
  </si>
  <si>
    <t xml:space="preserve">Окончание гемотрансфузии </t>
  </si>
  <si>
    <t xml:space="preserve">Группа крови реципиента </t>
  </si>
  <si>
    <t>__________</t>
  </si>
  <si>
    <t>_________________</t>
  </si>
  <si>
    <t xml:space="preserve">Определение резус 
</t>
  </si>
  <si>
    <t xml:space="preserve">принадлежности 
</t>
  </si>
  <si>
    <t>реципиента проводилось:</t>
  </si>
  <si>
    <t>В лаборатории</t>
  </si>
  <si>
    <t>Экспресс-методом</t>
  </si>
  <si>
    <t>Исследование антител:</t>
  </si>
  <si>
    <t>Выявлены</t>
  </si>
  <si>
    <t>Нет</t>
  </si>
  <si>
    <t>Показания к проведению гемотрансфузии:</t>
  </si>
  <si>
    <t>Трансфузионный анамнез:</t>
  </si>
  <si>
    <t>Были</t>
  </si>
  <si>
    <t>Не были</t>
  </si>
  <si>
    <t xml:space="preserve">По индивидуальному </t>
  </si>
  <si>
    <t>подбору:</t>
  </si>
  <si>
    <t xml:space="preserve">Посттрансфузионные </t>
  </si>
  <si>
    <t>В прошлом трансфузии:</t>
  </si>
  <si>
    <t>реакции и осложнения:</t>
  </si>
  <si>
    <t>Какие</t>
  </si>
  <si>
    <t>Трансфузионная среда</t>
  </si>
  <si>
    <t xml:space="preserve">Дата заготовки </t>
  </si>
  <si>
    <t>№ контейнера</t>
  </si>
  <si>
    <t>Арбузов И. А.</t>
  </si>
  <si>
    <t>Еременко А. Н.</t>
  </si>
  <si>
    <t>Еременко С. Н.</t>
  </si>
  <si>
    <t>Казакевич О. И.</t>
  </si>
  <si>
    <t>В(III)  третья, Rh(+)  положительная</t>
  </si>
  <si>
    <t>В(III)  третья, Rh(-) отрицательная</t>
  </si>
  <si>
    <t>О(I)  первая, Rh(+) положительная</t>
  </si>
  <si>
    <t>О(I)  первая, Rh(-) отрицательная</t>
  </si>
  <si>
    <t>А(II)  вторая,  Rh(+) положительная</t>
  </si>
  <si>
    <t>А(II)  вторая,  Rh(-) отрицательная</t>
  </si>
  <si>
    <t>АВ(IV) четвертая, Rh(+) положительная</t>
  </si>
  <si>
    <t>АВ(IV) четвертая, Rh(-) отрицательная</t>
  </si>
  <si>
    <t xml:space="preserve">Осмотр с зав.отд. Еременко С. Н. </t>
  </si>
  <si>
    <t>с выздоровлением</t>
  </si>
  <si>
    <t>с ухудшением</t>
  </si>
  <si>
    <t>снижена</t>
  </si>
  <si>
    <t>стойко утрачена в связи с данным заболеванием</t>
  </si>
  <si>
    <t>утрачена с другими причинами</t>
  </si>
  <si>
    <t xml:space="preserve">с                         по </t>
  </si>
  <si>
    <t>Выписывается  под наблюдение уролога по м/ж с рекомендациями.</t>
  </si>
  <si>
    <t>Выписывается  под наблюдение уролога по ОД с рекомендациями.</t>
  </si>
  <si>
    <t>Цистэктомия</t>
  </si>
  <si>
    <t>Осмотр с зав.отд. Еременко С. Н.</t>
  </si>
  <si>
    <t xml:space="preserve">Динамическое наблюдение, контроль жалоб, термометрия  </t>
  </si>
  <si>
    <t>План лечения:</t>
  </si>
  <si>
    <t>кислая</t>
  </si>
  <si>
    <t>щелочная</t>
  </si>
  <si>
    <t>ураты</t>
  </si>
  <si>
    <t>фосфаты</t>
  </si>
  <si>
    <t>оксалаты</t>
  </si>
  <si>
    <t xml:space="preserve">ГОРОДСКАЯ  БОЛЬНИЦА №9 </t>
  </si>
  <si>
    <t xml:space="preserve"> УРОЛОГИЧЕСКОЕ ОТДЕЛЕНИЕ</t>
  </si>
  <si>
    <t>Местная</t>
  </si>
  <si>
    <t>В/в анестезия</t>
  </si>
  <si>
    <t xml:space="preserve"> отделение урологии</t>
  </si>
  <si>
    <t>врач</t>
  </si>
  <si>
    <t>ГБ №9</t>
  </si>
  <si>
    <t xml:space="preserve">ГБ № 9 </t>
  </si>
  <si>
    <t xml:space="preserve"> урологическое отделение</t>
  </si>
  <si>
    <t>Показание для обзорной и экскреторной урографии:</t>
  </si>
  <si>
    <t>ГОРОДСКАЯ БОЛЬНИЦА № 9</t>
  </si>
  <si>
    <t xml:space="preserve">Caps. Tamsulosini 0,4мг 1р/с </t>
  </si>
  <si>
    <t>ВЛС, нефропексия полипропиленовой сеткой, дренирование забр. п-ва
Обезболивание – интубационный наркоз.
Обработка поля - йодопироном 2-ды. Доступ: 1. По срединной линии над пупком. 2. В правой подвздошной области по среднеключичной линии. 3. В правом подреберье При осмотре: брюшина – гладкая, блестящая. Печень обычных размеров, темно-красного цвета, гладкая. Желчный пузырь не напряжен, серовато-голубого цвета. Большой сальник желтого цвета. Передняя стенка желудка без особенностей. Селезенка не визуализируется. Доступные осмотру петли тонкой кишки  не иньецированы,  умеренно раздуты, перистальтируют, сероза - блестящая. Сигмовидная кишка не раздута, серо-розового цвета, сероза -  блестящая. Левая почка расположена в типичном месте, подвижность в пределах нормы. Правая почка патологически подвижна. При передвижении легко смещается в область таза.
 Произведено вскрытие париетальной брюшины справа  по линии - Тольди.  Тупым и острым путем мобилизован нижний полюс почки.  Произведена нефропексия  полипропиленовой сеткой с фиксацией к m. psoas через н/полюс и к передней поверхности почки. Контроль гемостаза, сухо. К нижнему полюсу почки  подведен  полихлорвиниловый дренаж. Швы на мышцы, кожу. Ас.спиртовая повязка.</t>
  </si>
  <si>
    <t xml:space="preserve">Комбинированная  ТУР аденомы простаты                                                                                                                                                                                                                                                                                    Операционное поле обработано р-ром хлоргексидинового спирта 2-ды. Под общим обезболиванием (см. запись анестезиолога), в уретру проведен уретероцистоскоп.  При осмотре мочевого пузыря – слизистая трабекулярна, слабо гиперемирована, устья на 5- ти и 7- ми часах. Простатическое пр-во  сужено за счет увеличения средней и боковых  доли предстательной железы. Слизистая рыхлая, отечная.  Объем  аденомы до 75 куб.см.  Осмотр простатического п-ва до семенного бугорка. После этого выполнена резекция средней доли и поэтапная резекция боковых долей с использованием биполярного и лазерного генератора.  При резекции —ткань аденомы рыхлая, с участками воспалительной инфильтрации и множественными камнями размерами от 0,1 до 0,3см. Имеется выраженный рубцово-спаечный процесс с капсулой простаты.  Сформирован циркулярно конус, резекция тканей в апикальной области. Поэтапный гемостаз. Наружный сфинктер мочевого пузыря тоничен, положителен симптом (рыбьего зева). Контрольный осмотр зоны резекции и мочевого пузыря. Объем удаленной ткани 75 куб.см. В мочевой пузырь подведен 3- х ходовой катетер Фолея №22.  Налажена система орошения мочевого пузыря.
Препарат на ПГИ (ткань аденомы простаты).  Хлоргексидиновая повязка. Кровопотеря – 20 мл.
</t>
  </si>
  <si>
    <t xml:space="preserve">Лазерная ТУ энуклеация аденомы простаты                                                                                                                                                                                                                                                                Операционное поле обработано р-ром хлоргексидинового спирта 2-ды.Под общим обезболиванием (см. запись анестезиолога), в уретру проведен уретероцистоскоп.  При осмотре мочевого пузыря – слизистая трабекулярна, устья на 5- ти и 7- ми часах. Простатическое пр-во сужено за счет увеличения средней и боковых долей. V железы — 70 мл. Осмотр простатического пространства до семенного бугорка, после чего выполнена поэтапная энуклеация средней доли и боковых долей с использованием диодного лазера.  Ткань измельчена с использованием морцелятора. Поэтапный гемостаз. Наружный сфинктер мочевого пузыря тоничен, положителен симптом «рыбьего зева». Контрольный осмотр зоны резекции и мочевого пузыря. Объем удаленной ткани 65 мл. В мочевой пузырь подведен 3- х  ходовой катетер Фолея №22.  Налажена система орошения мочевого пузыря. Препарат на ПГИ(ткань простаты).  Хлоргексидиновая повязка. Кровопотеря – 100 мл.
</t>
  </si>
  <si>
    <t xml:space="preserve">Лазерная ТУ инцизия стриктуры уретры                                                                                                                                                                                                                                                                                         Под общим обезболиванием, после двукратной обработки операционного поля раствором хлоргексидина при уретроскопии. На всем протяжении уретры множественные стриктуры с рубцовым замещением слизистой, в задней уретре резкое сужение просвета. Произведено лазерное рассечение  рубцовых тканей диодным лазером  на 12 , 5 и 7 часах.  Сформирован просвет   уретры. Протяженность стриктуры 4 см.При осмотре мочевого пузыря – слизистая трабекулярна. В мочевой пузырь подведен 3- х  ходовой катетер Фолея №20.   Хлоргексидиновая повязка. Кровопотеря – 100 мл
                                                                                                                                                                                                                                                                                        </t>
  </si>
  <si>
    <t xml:space="preserve">Люмботомия, расширеная нефрэктомия, дренирование забр. п-ва                                                                                                                                                                                                                           Под инт. наркозом, после обработки операционного поля р-ром хлоргексидинового спирта 2 - ды,  межреберно-мезогастральным  разрезом 15 см произведен доступ в  забрюшинное пр-во. При осмотре забрюшинного пр-ва выраженный спаечный процесс в области верхнего полюса почки, где подпаяна селезенка ( при ревизии данных за мts не выявлено), варикозное расширение вен паранефрия. Разделение. Мочеточник выделен от н/3 до лоханки. Почка  12 на 9 см , опухоль в об-ти в/полюса 8х5см,  с паранефрием выделена в об-ти верхнего полюса. На сосудистую ножку почки наложен зажим .ножка перевязана 3-х кратно,1 р с прошиванием(лавсан № 5). Сосудистая ножка почки отсечена, почка с паранефрием удалена с мочеточником,последний перевязан ,пересечен на уровне н/3. Лимфодиссекция тканей по ходу  брюшного отдела аорты. Метастазов в лимфоузлы не обнаружено. Контроль на гемостаз -сухо. В об-ть сосудистой ножки введен 5 ФУ. Швы на рану до страхового дренажа в забрюшинном пр-ве. Кровопотеря – 100 мл. Хлоргексидин. Ас повязка. Препарат: Почка с характерным гипернефроидным образованием, занимающим верхний  полюс и средний сегмент, белесоватая «варенная» ткань.  На ПГИ.                                                                                                                     </t>
  </si>
  <si>
    <t xml:space="preserve">Микрохирургическая операция Бергмана                                                                                                                                                                                                                                                                                                            Под местной анестезией S. Lidocaini- 0,5 %, 150 мл, после двукратной обработки операционного поля раствором хлоргексидина, разрезом на мошонке до 6-х см, вскрыты послойно ткани, обнажена влагалищная оболочка яичка, вскрыта. Выделилось до 500 мл соломенного цвета жидкости. Белочная оболочка не изменена, яичко 3.8х3,2 см. На верхнем полюсе 2 гидатиды размерами 0,3 и 0,2см, придаток в  рубцах, гипотрофичен. Оболочки яичка частично иссечены, гемостаз. Гидатиды яичка коагулированы. Швы на рану до резиновых выпускников, подведенных в полость мошонки. Хлоргексидин, ас.повязка. Опер. Материал: Ткань оболочек яичка. 
</t>
  </si>
  <si>
    <t xml:space="preserve">Микрохирургическая операция по- Мармару                                                                                                                                                                                                                                                                                                Под общим наркозом после двухкратной обработки операционного поля раствором хлоргексидина  в области наружного пахового кольца слева разрезом до 3-х см. Вскрыты послойно ткани. После гидропрепаровки из элементов семенного канатика выделены и отведены в сторону семевыносящий проток и яичковая артерия.  Поэтапно выделены перевязаны вены по ходу m/cremaster  и яичковые вены( рассыпного типа  3  венозных ствола от 0.3 до 0.5см в диаметре). Контроль на гемостаз -сухо. Швы на рану до резинового выпусника подведенного в подкожную клетчатку. Хлоргексидин ас. повязка.
Препарат на ПГИ.
</t>
  </si>
  <si>
    <t>Мультифокальная биопсия простаты под УЗИ -контролем                                                                                                                                                                                                                                                               Под в\в анестезией, после обработки промежности р-м хлоргекседина 2- ды, трансректально взята биопсия из 12 -ти точек, в правой и левой долях предстательной железы.В прямую кишку установлен тампон с левомеколем. Препараты на ПГИ</t>
  </si>
  <si>
    <t xml:space="preserve">Пункция кисты почки под УЗИ-контролем                                                                                                                                                                                                                                                              Обезболивание см. запись анестезиолога. Доступ по задней подмышечной линии в реберно-костальном углу слева, под УЗИ контролем проведена пункция полости кисты.  В полости прозрачное содержимое до 100 мл. Эвакуировано. На цитологию. Полость спалась.    В полость кисты введено 10 мл 70 % спирта.  По проводнику в полость кисты установлен дренаж. Фиксирован  к коже узловым швом. 
</t>
  </si>
  <si>
    <t xml:space="preserve">Радикальная простатэктомия                                                                                                                                                                                                                                                                                                                 Под анестезией ( см запись анестезиолога), после обработки операционного поля р-ром хлоргексидинового спирта 2 – ды  разрезом по Кейо до 10см послойно обнажена передняя стенка и щейка мочевого пузыря.   При ревизии в области простаты умеренно выраженный  спаечный процесс.    Выделена простата по передней поверхности, пересечены лобково- простатические связки. Перевязан дорсальный венозный комплекс. Произведено поэтапное выделение в области шейки мочевого пузыря.  Уретра пересечена  под шейкой . Выделены и пересечены семенные пузырьки и семявыносящие протоки. На  уретру наложены провизорные швы. Выделена задняя поверхность предстательной железы. Острым путем выделена уретра дистальнее простаты, на буже пересечена. Края резекции м/пузыря и уретры на цитобиопсию.  На катетере Фолея наложен концевой анастамоз между шейкой мочевого пузыря и уретрой- 6-ю узловыми швами. Проверка герметичности-сухо. 2 страховых дренажа в предпузырное пространство.  Кровопотеря – 400 мл. Контроль гемостаза.-сухо. Послойные швы на раны.  Ас повязка. Препараты - на ПГИ.
</t>
  </si>
  <si>
    <t xml:space="preserve">Расширенная ТУР простаты                                                                                                                                                                                                                                                                                                        Операционное поле обработано р-ром хлоргексидинового спирта 2-ды. Под общим обезболиванием (см. запись анестезиолога), через уретру проведен цисторезектоскоп № 26. Наложена микроцистостома.  При уретроскопии выше семенного бугорка ткани с признаками инфильтративного роста. При осмотре мочевого пузыря – слизистая трабекулярна, гиперемирована, устья на 5- ти и 7- ми часах. Простатическое про-во сужено за счет роста боковых и средней доли.  Объем опухоли до 50 мл. Осмотр простатического п-ва до семенного бугорка. На 5- ти и 7- ми часах произведена резекция ткани до внутреннего сфинктера. После чего выполнена резекция средней доли и поэтапная резекция боковых долей. В проекции средней доли выполнена резекция до семенных пузырьков, последние частично удалены. Выполнено удаление тканей до жирового слоя. Сформирован циркулярно конус, резекция тканей в апикальной области. Поэтапный гемостаз. Наружный сфинктер мочевого пузыря тоничен, положителен симптом (рыбьего зева). Контрольный осмотр зоны резекции и мочевого пузыря. Объем удаленной ткани 45 мл. В мочевой пузырь подведен 3- х ходовой катетер Фолея №20.  Раздут – 30 мл. Налажена система орошения мочевого пузыря. 
Препарат на ПГИ (ткань опухоли простаты).  Хлоргексидиновая повязка. Кровопотеря – 150 мл.
</t>
  </si>
  <si>
    <t xml:space="preserve">Резекция м\пузыря                                                                                                                                                                                                                                                                                                                                Под общим обезболиванием (см. запись анестезиолога), в уретру проведен уретероцистоскоп.   При осмотре мочевого пузыря – слизистая трабекулярна, справа на 7-ми часах, выше на 2 см устья с переходом на правую стенку имеется бугристая опухоль 2 см, на основании около 0.5 см, с папиллярными разрастаниями, с умеренно кровоточащими мелкими сосудами  при инструментальной пальпации. Подобное образование на 5-ти часах в области шейки. Так же имеются две, рядом расположенные опухоли (до 0.8 мм)  на задней стенке на 8-ми часах. Проведена резекция тканей указанных  опухолей  в пределах мышечного слоя тканей. Контрольный осмотр зоны резекции и мочевого пузыря. Препарат  на ПГИ(  ткань опухолей мочевого пузыря, ткань основания).   Кровопотеря – 10 мл.
Установлен катетер Фолея 3-х ходовой в мочевой пузырь.
</t>
  </si>
  <si>
    <t xml:space="preserve">ТУ контактная цистолитотрипсия, биполярная ТУР м\пузыря                                                                                                                                                                                                                                           Под СМА после двукратной обработки операционного поля раствором хлоргексидина, при уретроскопии  слизистая мочевого пузыря трабекулярна, на правой задней стенке дивертикул до 4 см , устья мочеточников на 5-и и 7-ми часах, точечные.  Визуализирован камень 6х 5 см. Выполнено дробление. фрагменты удалены, отмыты.  Через уретру проведен цисторезектоскоп № 26.  При осмотре мочевого пузыря – слизистая трабекулярна, гиперемирована, устья на 5- ти и 7- ми часах. Простатическое пространство сужено за счет роста боковых и средней доли, особенно в области семенного бугорка.   Объем аденомы до 70 мл.Осмотр простатического п-ва до семенного бугорка. На 5- ти и 7- ми часах произведена резекция ткани аденомы до внутреннего сфинктера. После чего выполнена резекция средней доли и поэтапная резекция боковых долей. Сформирован циркулярно полуконус, резекция тканей в апикальной области.. Поэтапный гемостаз- электрод-шар. Наружный сфинктер мочевого пузыря тоничен, положителен симптом (рыбьего зева).
Контрольный осмотр зоны резекции и мочевого пузыря. Объем удаленной ткани 65мл.  В мочевой пузырь подведен 3- х ходовой катетер Фолея №22.  Налажена система орошения мочевого пузыря. Препарат  на ПГИ( ткань аденомы простаты).  Хлоргексидиновая повязка. Кровопотеря – 30 мл.
</t>
  </si>
  <si>
    <t xml:space="preserve">ТУ лазерная резекция  en-block стенки мочевого пузыря. Вапоризация основания опухоли.                                                                                                                                                                Операционное поле обработано р-ром хлоргексидинового спирта 2-ды. Под общим обезболиванием (см. запись анестезиолога), в уретру проведен уретероцистоскоп. При осмотре мочевого пузыря – слизистая трабекулярна, гиперемирована. Слева  на 2-х часах   на боковой стенке  имеются  2-е рядом расположенные бугристые  опухоли   1 и 2 см ( дно частично представлено дивертикулом) на широком  основании, с папиллярными разрастаниями, с умеренно кровоточащими  мелкими сосудами  при инструментальной пальпации. Проведена резекция ткани  указанных участков опухоли в пределах мышечного слоя единым блоком ( диодный лазер, длина волны 980 нм).  Выполнена вапоризация основания.   Контроль гемостаза. Контрольный осмотр зоны резекции и мочевого пузыря. Препарат  на ПГИ(  ткань опухоли мочевого пузыря, ткань основания).   Кровопотеря – 10 мл.
</t>
  </si>
  <si>
    <t xml:space="preserve">Уретерореноскопия. Трансуретральная контактная фиброкаликолитотрисия. Стентирование почки.                                                                                                                                                           Под  наркозом, в мочевой пузырь введен уретерореноскоп. Слизистая гиперемирована в об-ти шейки, устья на 5 и 7-ми часах, щелевидные.  Установлена струна - проводник в почку.  При уретероскопии – просвет мочеточника до 5мм, слизистая местами с петехиальными кровоизлияниями, в просвете хлопья фибрина. Мочеточник в верхней трети имеет несколько девиаций и перегибов.  В лоханке мутная моча, слизистая бледно- розовая. По интрадьюсеру в почку введен гибкий УРС.  В группе нижних чашек камень 12 мм, буллезный отек. Слизистая отёчная , инъецированная. Выполнена с техническими трудностями (высокая плотность) литотрипсия, клинически фрагменты удалены.Стент № 4.8 проведен в почку на 30 см. Уретероскоп удален. Установлен катетер в мочевой пузырь.
</t>
  </si>
  <si>
    <t xml:space="preserve">Цистоскопия, биопсия мочевого пузыря.                                                                                                                                                                                                                                                                            рационное поле обработано р-ром хлоргексидинового спирта 2-ды.Под общим обезболиванием (см. запись анестезиолога), в уретру проведен уретероцистоскоп.  
При осмотре мочевого пузыря – слизистая трабекулярна,  гиперемирована в области шейки, устья на 5- ти и 7- ми часах. Выше правого устья на 3 см, имеется участок до 1 см в диаметре рубцовой ткани. Взята биопсия слизистой стенки м\пузыря в указанной зоне.  В мочевой пузырь подведен   ходовой катетер Фолея №20.  
Препарат  на ПГИ( ткань стенки мочевого пузыря).  Хлоргексидиновая повязка.
</t>
  </si>
  <si>
    <t xml:space="preserve">Цистоскопия, рассечение  уретероцеле, стент почки.                                                                                                                                                                                                                                      Операционное поле обработано р-ром хлоргексидинового спирта 2-ды. Под общим обезболиванием (см. запись анестезиолога), в уретру проведен уретероцистоскоп.  При осмотре мочевого пузыря – слизистая трабекулярна,   гиперемирована, устья на 5- ти и 7- ми часах. Правое устье гиперемирована, отечное. В области шейки- буллезный цистит. В области левого устья выбухание слизистой мочеточника до 2 см в диаметре по типу грыжи. Выполнено рассечение   слизистой в этом месте с использованием  диодного лазера. В почку установлен стент. В мочевой пузырь подведен 2- х  ходовой катетер Фолея №20.  Препарат  на ПГИ( ткань слизистой ).  Хлоргексидиновая повязка.                                                                                                                                                                                                                                                </t>
  </si>
  <si>
    <t xml:space="preserve">Цистоскопия,  ТУ биполярная резекция стенки мочевого пузыря. 
 Операционное поле обработано р-ром хлоргексидинового спирта 2-ды. Под общим обезболиванием (см. запись анестезиолога), в уретру проведен уретероцистоскоп. При осмотре мочевого пузыря – слизистая трабекулярна, справа на 7-ми часах, выше на 2 см устья с переходом на правую стенку имеется бугристая опухоль 2 см, на основании около 0.5 см, с папиллярными разрастаниями, с умеренно кровоточащими мелкими сосудами  при инструментальной пальпации. Подобное образование на 5-ти часах в области шейки. Так же имеются две, рядом расположенные опухоли (до 0.8 мм)  на задней стенке на 8-ми часах.  Проведена резекция тканей указанных  опухолей  в пределах мышечного слоя тканей. Контроль гемостаза.Контрольный осмотр зоны резекции и мочевого пузыря. Препарат  на ПГИ(  ткань опухолей мочевого пузыря, ткань основания).   Кровопотеря – 10 мл. Установлен катетер Фолея 3-х ходовой в мочевой пузырь.
</t>
  </si>
  <si>
    <t xml:space="preserve">Чрезпузырная аденомэктомия                                                                                                                                                                                                                                                                                                        Под общим обезболиванием (см. запись анестезиолога), после обработки операционного поля р-ром хлоргексидинового спирта 2 – ды послойно вскрыты ткани разрезом по Пфаненштилю до 9см., выделена передняя стенка мочевого пузыря. Вскрыта между держалками. Слизистая трабекулярная, стенка утолщена. В области шейки мочевого пузыря обнаружена аденома предстательной железы &gt;200 мл. Рост подпузырный, в основном за счет средней и боковых  долей. Произведена типичная аденомэктомия. Опухоль удалена  2-мя фрагментами. Кровотечение из ложа опухоли остановлено наложением 5-ти обвивных кетгутовых швов.  Кровопотеря – 100 мл. В мочевой пузырь подведен 3- х  ходовой катетер Фолея( объем 40 мл). Груз на Фолей – 400 гм. Мочевой пузырь ушит 2- х рядными кетгутовыми швами до эпицистостомы. Налажена система орошения мочевого пузыря. Контроль гемостаза. Сухо. Послойные швы на раны. Ас повязка. Препарат - аденома простаты на ПГИ.
</t>
  </si>
  <si>
    <t xml:space="preserve">ВЛС, пластика ЛМС, дренирование  забрюшинного п-ва.
Обезболивание – интубационный наркоз. Обработка поля - йодопироном 2-ды. Доступ: 1. По срединной линии над пупком. 2. В правой подвздошной области по передней аксилярной линии. 3. В правом подреберье 4. В мезогастрии. При осмотре: брюшина – гладкая, блестящая. Печень обычных размеров, темно-красного цвета, гладкая. Желчный пузырь не напряжен, серовато-голубого цвета. Большой сальник желтого цвета. Передняя стенка желудка без особенностей. Селезенка не визуализируется. Доступные осмотру петли тонкой кишки не инъецированы, умеренно раздуты, перистальтируют, сероза - блестящая. Сигмовидная кишка не раздута, серо-розового цвета, сероза -  блестящая.   В правом боковом фланке по линии Тольди вскрыта париетальная брюшина над нижним полюсом почки. Почка поэтапно мобилизована. Рубцовый процесс в области верхней трети мочеточника и ворот почки.   Уретеролиз, визуализирован мочеточник в верхней трети и шаровидная лоханка. Имеется добавочный сосуд до 4 мм,  идущий к нижнему полюсу, придавливающий и деформирующий ЛМС. Сразу за сосудом мочеточник рубцово изменен, сужен.  Ниже мочеточник расширяется. Выполнена мобилизация указанных образований. Пересечен ЛМС под сосудом. Сосуд перемещен назад. Участок рубцово - измененного мочеточника иссечен.  Спатуляция мочеточника, продольное рассечение лоханки.  Установлен стент в правую почку и мочеточник. После спатуляции концов выполнена пластика 6-ю швами.  Контроль гемостаза, сухо. В боковой фланк забрюшинно таз подведен полихлорвиниловый дренаж через контрапертуру в поясничной области. ПГИ участок рубцово -измененного мочеточника. Швы на апоневроз, кожу. Спиртовая повязка.
</t>
  </si>
  <si>
    <t xml:space="preserve">
</t>
  </si>
  <si>
    <t>Анестезиолог</t>
  </si>
  <si>
    <t>Опер. м\с:</t>
  </si>
  <si>
    <t>Дальнейшая лечебная тактика будет определена после гистологической верификации диагноза</t>
  </si>
  <si>
    <t>Антибактериальная , инфузионная, симптоматическая терапия</t>
  </si>
  <si>
    <t>Рымаренко В. А.</t>
  </si>
  <si>
    <t>Голик Ю.В.</t>
  </si>
  <si>
    <t>Степанова О. В.</t>
  </si>
  <si>
    <t xml:space="preserve">Петрикеева М. В. </t>
  </si>
  <si>
    <t>В ПИТе. Седация.  Кожные покровы физиологической окраски. Пульс – 72 в мин. АД- 120\70 мм. рт. ст.Живот мягкий, на пальпацию не реагирует. Перитонеальные симптомы отрицательные. По катетеру из м/пузыря поступает светлая моча.</t>
  </si>
  <si>
    <t xml:space="preserve">ВЛС, кольпосуспензия по-Берчу.                                                                                                                                                                                                                                                                                        Обезболивание – интубационный наркоз. Обработка поля - йодопироном 2-ды.
Доступ: 1. По срединной линии над пупком. 2. В правой паховой области 3. В левой паховой области 4. Над лобком. При осмотре: брюшина – гладкая, блестящая. Печень обычных размеров, темно-красного цвета, гладкая. Желчный пузырь не напряжен, серовато-голубого цвета. Большой сальник желтого цвета. Передняя стенка желудка без особенностей. Селезенка не визуализируется. Доступные осмотру петли тонкой кишки не инъецированы, умеренно раздуты, перистальтируют, сероза - блестящая. Сигмовидная кишка не раздута, серо-розового цвета, сероза -  блестящая. Матка уменьшена в размерах, яичники и маточные трубы в стадии инволюции, б\о. Над м\пузырем вскрыта париетальная брюшина, выделена передняя стенка. Обнажено пред пузырное п-во. Произведена диссекция в области лонного сочленения. Выделены связки Купера. Произведено выделение уретры и стенки влагалища. Выполнена пластика уретровезикального сегмента путем подшивания стенок влагалища к связкам Купера 4 - мя узловыми швами.  Выполнена фиксация матки за круглые связки к апоневрозу к передней брюшной стенке.  Контроль гемостаза, сухо. В предпузырное п-во подведен полихлорвиниловый дренаж, через контрапертуру в поясничной области. Швы на апоневроз, кожу. Спиртовая повязка. </t>
  </si>
  <si>
    <t>урологи</t>
  </si>
  <si>
    <t>анестезиологи</t>
  </si>
  <si>
    <t>м\с</t>
  </si>
  <si>
    <t xml:space="preserve">Операция
 </t>
  </si>
  <si>
    <t>Цефикс, капсулы по 400 мг х 1раз в день, курс- 5дней.</t>
  </si>
  <si>
    <t>Капс.Тамсулозин 0,4 мг 1капс/сут.</t>
  </si>
  <si>
    <t>Дальнейшая тактика лечения, необходимость следующего этапа ТУКЛТ будет определена после контрольного обследования через 14 дней.</t>
  </si>
  <si>
    <t>Прием блемарена по схеме.</t>
  </si>
  <si>
    <t>Уролесан 15 капель х 3 раза в день, курс- 30 дней</t>
  </si>
  <si>
    <t>Отвар ромашки –14 дней</t>
  </si>
  <si>
    <t>Лефлобакт 500 мг х 1 раза  в день,  5 дней.</t>
  </si>
  <si>
    <t>Ношение суспензория</t>
  </si>
  <si>
    <t>КТ -перфузия простаты.</t>
  </si>
  <si>
    <t>Удалить катетер через 7-10 дней</t>
  </si>
  <si>
    <t>ПСА, нг\мл</t>
  </si>
  <si>
    <t xml:space="preserve"> Гидравлическое бужирование, антисклеротическое  ФТЛ (лидаза, глюкокортикоиды)</t>
  </si>
  <si>
    <t>Капс. Линекс 2 капс. х 3 р/д в течение 2 недель.</t>
  </si>
  <si>
    <t>Капс. Роватинекс 2 капс х 3р/с 1 мес.</t>
  </si>
  <si>
    <t>Контроль анализа мочи на атипические клетки через 1 мес.</t>
  </si>
  <si>
    <t>Наблюдение онкологом ОД</t>
  </si>
  <si>
    <t>Повторная госпитализация через 10-14 дней для дальнейшего лечения.</t>
  </si>
  <si>
    <t>Свечи Диклофенак, ректально, по 1 х 2 раза в день, 5 дней</t>
  </si>
  <si>
    <t>Снятие швов через  10-12 суток после операции.</t>
  </si>
  <si>
    <t>Прием ингибиторов ФДЭ-5  по 1 капс х 1 раз в день.</t>
  </si>
  <si>
    <t>Таб. Левофлоксацин 500 мг х 1р/с  7 дней.</t>
  </si>
  <si>
    <t>Таб. Клацид 500 мг в обед 7 дней.</t>
  </si>
  <si>
    <t xml:space="preserve"> 78 в мин, ритм синусовый</t>
  </si>
  <si>
    <t>Q max, мл\сек  -</t>
  </si>
  <si>
    <t>Q max., мл\сек</t>
  </si>
  <si>
    <t>Q aver., мл\сек</t>
  </si>
  <si>
    <t>Q aver., мл\сек-</t>
  </si>
  <si>
    <t>Объем мочеиспускания,  мл</t>
  </si>
  <si>
    <t>Объем мочеиспускания,  мл -</t>
  </si>
  <si>
    <t>Реносцинтиграфия в плановом порядке</t>
  </si>
  <si>
    <t>Обзорная и экстреторная урография</t>
  </si>
  <si>
    <t>ПСА крови  в плановом порядке.</t>
  </si>
  <si>
    <t>Посев мочи через 1 мес.</t>
  </si>
  <si>
    <t>Опухолевые маркеры  (ЛДГ, в-ХГЧ, а-ФП).</t>
  </si>
  <si>
    <t>Спермограмма через 6 мес.</t>
  </si>
  <si>
    <t>Урофлоуметрия с определением остаточной мочи через 1 мес.</t>
  </si>
  <si>
    <t>УЗИ почек через 10-14 дней.</t>
  </si>
  <si>
    <t>КТ- онкостадирование</t>
  </si>
  <si>
    <t>Проведение курса внутрипузырной БЦЖ иммунотерапии онкологом по м/ж</t>
  </si>
  <si>
    <t>Обзорная урография</t>
  </si>
  <si>
    <t>Выставлен на основании клинических, лабораторных, инструментальных данных ( УЗИ, КТ, ретген)</t>
  </si>
  <si>
    <t xml:space="preserve">Согласие с планом обследования и лечения больного:да.
 Дополнения: нет.
</t>
  </si>
  <si>
    <t>Иньекции</t>
  </si>
  <si>
    <t>Группа, резус</t>
  </si>
  <si>
    <t>ОАК</t>
  </si>
  <si>
    <t>Тромбоциты</t>
  </si>
  <si>
    <t>Гематокрит</t>
  </si>
  <si>
    <t>Лейкоциты</t>
  </si>
  <si>
    <t>ОАМ</t>
  </si>
  <si>
    <t>Глюкоза крови</t>
  </si>
  <si>
    <t>Общий белок</t>
  </si>
  <si>
    <t>Билирубин</t>
  </si>
  <si>
    <t>АЛТ, АСТ</t>
  </si>
  <si>
    <t>зав. отд. Еременко С. Н.</t>
  </si>
  <si>
    <t xml:space="preserve">Коагулограмма </t>
  </si>
  <si>
    <t>РМП</t>
  </si>
  <si>
    <t>ВИЧ</t>
  </si>
  <si>
    <t>Маркеры гепатита</t>
  </si>
  <si>
    <t>Электролиты</t>
  </si>
  <si>
    <t>УЗИ МПС</t>
  </si>
  <si>
    <t>R-графия груд. клетки</t>
  </si>
  <si>
    <t>Мочев., креатин.</t>
  </si>
  <si>
    <t>В\в урография</t>
  </si>
  <si>
    <t>Обзор. урография</t>
  </si>
  <si>
    <t>R-граф. костей таза</t>
  </si>
  <si>
    <t>Терапевт</t>
  </si>
  <si>
    <t>Гинеколог</t>
  </si>
  <si>
    <t xml:space="preserve">Дата назн.
</t>
  </si>
  <si>
    <t>Дата назн.</t>
  </si>
  <si>
    <t>Дата отм.</t>
  </si>
  <si>
    <t>Препараты</t>
  </si>
  <si>
    <t>Levofloxacini-100ml, в\в кап.х1 раз</t>
  </si>
  <si>
    <t>Metrogili-100мл, в\в кап. х2 раза</t>
  </si>
  <si>
    <t>Предварительный диагноз:</t>
  </si>
  <si>
    <t>Amikacini-1,5 гм, в/м х1 раз</t>
  </si>
  <si>
    <t>Cephtriaxoni-1гм, в\м х 2 раза</t>
  </si>
  <si>
    <t>Sulperazone-2гм, в\в,медл х2 раза</t>
  </si>
  <si>
    <t>Ketorol-100mg,в\м,х3 раза</t>
  </si>
  <si>
    <t>Metoclopramide-2мл, в\м х 2 раза</t>
  </si>
  <si>
    <t>Diclofenac-3ml,в\м,х2 раза</t>
  </si>
  <si>
    <t>Analgin-2ml+Dimedrolum-1ml,в\м х 2раза</t>
  </si>
  <si>
    <t>No-spa 2ml,в\м х3 раза</t>
  </si>
  <si>
    <t>Proserinum-1мл,в\м х 1 раз</t>
  </si>
  <si>
    <t>Pentaminum-0,5мл,в\м, контроль АД</t>
  </si>
  <si>
    <t>Furosemide-2мл,в\в, при повышении АД выше 140</t>
  </si>
  <si>
    <t>Ebrantil-25мг,в\в, под контролем АД</t>
  </si>
  <si>
    <t xml:space="preserve">Sol.NaCl 0.9%-400ml+Sol Euphilini 2.4%-10ml,в\в кап х 1 раз </t>
  </si>
  <si>
    <t xml:space="preserve">Sol.Glucosae 5%-400ml+Insulini-6 Ед, в\в кап х 1 раз </t>
  </si>
  <si>
    <t xml:space="preserve">Sol.NaCl 0.9%-400ml,в\в кап х 1 раз </t>
  </si>
  <si>
    <t>Perfalgan-100 мл, в\в,кап</t>
  </si>
  <si>
    <t>Лизипонприл 10мг х 2 раза</t>
  </si>
  <si>
    <t xml:space="preserve">Амлодипин 10 мг х 1 раз </t>
  </si>
  <si>
    <t>Флуконазол 150 мг х 1раз</t>
  </si>
  <si>
    <t>Флосин по 1 капс. на ночь</t>
  </si>
  <si>
    <t>Таблетки</t>
  </si>
  <si>
    <t>Амоксиклав 625 мг х 3 раза</t>
  </si>
  <si>
    <t>Азитромицин 500 мг х1 раз</t>
  </si>
  <si>
    <t xml:space="preserve">Каптоприл 25 мг х 2 раза </t>
  </si>
  <si>
    <t>Левофлоксацин 500 мг х1 раз</t>
  </si>
  <si>
    <t>Лист назначений №</t>
  </si>
  <si>
    <t>+</t>
  </si>
  <si>
    <t>Эндокринолог</t>
  </si>
  <si>
    <t>Бифидумбактерин 5 доз х 2 раза</t>
  </si>
  <si>
    <t>активно не предьявляет</t>
  </si>
  <si>
    <t>работающий трудоспособного возраста, в л/н  нуждается.</t>
  </si>
  <si>
    <t>неработающий трудоспособного возраста, в л/н не нуждается.</t>
  </si>
  <si>
    <t>пенсионер, в б\л не нуждается</t>
  </si>
  <si>
    <t>Послеоперационный  диагноз:</t>
  </si>
  <si>
    <t>Контроль ОАК, ОАМ, Б/х крови,  через 7 дней ( блемарен по схеме)</t>
  </si>
  <si>
    <t xml:space="preserve">Лефлобакт 500 мг по 1т х 1 раз в день курс 5 дней, затем фурамаг  по 1 кап х 3 раза в  день, курс 10 дней.
</t>
  </si>
  <si>
    <t>Таб. Цефиксим (Супракс-солютаб) 400 мг 1 раз в день после еды 5 дней.</t>
  </si>
  <si>
    <t>Стул:</t>
  </si>
  <si>
    <t>да</t>
  </si>
  <si>
    <t>Столбец1</t>
  </si>
  <si>
    <t>Диурез</t>
  </si>
  <si>
    <t>Диурез, мл:</t>
  </si>
  <si>
    <t>Мочится:</t>
  </si>
  <si>
    <t>по катетеру</t>
  </si>
  <si>
    <t>система орошения</t>
  </si>
  <si>
    <t>самостоятельно, безболезненно</t>
  </si>
  <si>
    <t>Моча:</t>
  </si>
  <si>
    <t>слабо-розовая</t>
  </si>
  <si>
    <t>с геморрагическим компонентом</t>
  </si>
  <si>
    <t>сгустки крови</t>
  </si>
  <si>
    <t>Моча</t>
  </si>
  <si>
    <t>Катетер Фолея промыт, удален.</t>
  </si>
  <si>
    <t>светлая, прозрачная</t>
  </si>
  <si>
    <t xml:space="preserve">Состояние  удовлетворительное. Температура 36,9С. Кожные покровы обычной окраски. Л/у доступные пальпации не увеличены. Дыхание в легких везикулярное. ЧД 16 в мин. Тоны сердца приглушены, ритмичные. АД 120/80, ЧСС 70 в мин. Живот не вздут, симметричный, мягкий, участвует в акте дыхания. Перистальтика выслушивается. С-м Щеткина-Блюмберга отр. Печень по краю реберной дуги.  Поясничная область не изменена. Почки не пальпируются. Пальпация их безболезненная. С-м "поколачивания" отрицательный с обеих сторон. Мочевой пузырь пальпаторно и перкуторно не определяется. Уретрита нет.  </t>
  </si>
  <si>
    <t>По мочеточниковому катетеру:</t>
  </si>
  <si>
    <t>10 мл</t>
  </si>
  <si>
    <t>30 мл</t>
  </si>
  <si>
    <t>50 мл</t>
  </si>
  <si>
    <t>100мл</t>
  </si>
  <si>
    <t>200 мл</t>
  </si>
  <si>
    <t>300 мл</t>
  </si>
  <si>
    <t>500 мл</t>
  </si>
  <si>
    <t>По дренажу(-ам) забрюшинного п-ва:</t>
  </si>
  <si>
    <t>По дренажу(-ам) брюшной полости:</t>
  </si>
  <si>
    <t>серозного отделяемого</t>
  </si>
  <si>
    <t>отделяемого с примесью мочи</t>
  </si>
  <si>
    <t>серозно-геморрагического отделяемого</t>
  </si>
  <si>
    <t>геморрагического отделяемого</t>
  </si>
  <si>
    <t>крови со сгустками</t>
  </si>
  <si>
    <t>серозного отделяемого, удален(-ны)</t>
  </si>
  <si>
    <t>1000 мл</t>
  </si>
  <si>
    <t>Катетер Фолея промыт.</t>
  </si>
  <si>
    <t>Система орошения промыта, отключена.</t>
  </si>
  <si>
    <t>Линия швов спокойная. Туалет антисетпиками. Ас. Повязка.</t>
  </si>
  <si>
    <t>На перевязке:</t>
  </si>
  <si>
    <t>Активно не предьявляет</t>
  </si>
  <si>
    <t>На рези в уретре</t>
  </si>
  <si>
    <t>Умеренные боли в области п\о ран</t>
  </si>
  <si>
    <t>Удаление катетера</t>
  </si>
  <si>
    <t>Удаление дренажа(-ей)</t>
  </si>
  <si>
    <t>Удаление мочеточникового стента</t>
  </si>
  <si>
    <t>УЗИ - контроль</t>
  </si>
  <si>
    <t>Рентген-контроль положения стента</t>
  </si>
  <si>
    <t>Консультация эндокринолога</t>
  </si>
  <si>
    <t>Отключение системы постоянного орошения мочевого пузыря</t>
  </si>
  <si>
    <t>Tab. Leflobact 500 мг х 1р/с per os</t>
  </si>
  <si>
    <t>Sol. Amikacini 1,5 гм в/м</t>
  </si>
  <si>
    <t>Система постоянного орошения мочевого пуыря-30 кап. в мин.</t>
  </si>
  <si>
    <t>Per rectum:</t>
  </si>
  <si>
    <t>Ректально:</t>
  </si>
  <si>
    <t>Данные ПГИ</t>
  </si>
  <si>
    <t>Предварительный диагноз</t>
  </si>
  <si>
    <t>боли в поясничной области</t>
  </si>
  <si>
    <t>боли над лоном</t>
  </si>
  <si>
    <t>боли в промежности</t>
  </si>
  <si>
    <t>справа</t>
  </si>
  <si>
    <t>слева</t>
  </si>
  <si>
    <t>тошноту</t>
  </si>
  <si>
    <t>рвоту</t>
  </si>
  <si>
    <t xml:space="preserve">повышение температуры </t>
  </si>
  <si>
    <t>затрудненное мочеиспускание</t>
  </si>
  <si>
    <t>учащенное мочеиспускание</t>
  </si>
  <si>
    <t>болезненное мочеиспускание</t>
  </si>
  <si>
    <t xml:space="preserve">недержание мочи </t>
  </si>
  <si>
    <t>при кашле, напряжении</t>
  </si>
  <si>
    <t>ноктурию</t>
  </si>
  <si>
    <t>иррадиирующие вниз живота</t>
  </si>
  <si>
    <t>примесь крови  в моче</t>
  </si>
  <si>
    <t>Сопутствующий диагноз:</t>
  </si>
  <si>
    <t>Урофлюометрия</t>
  </si>
  <si>
    <t>УЗИ органов МВС</t>
  </si>
  <si>
    <t>УЗИ органов мошонки</t>
  </si>
  <si>
    <t>Обзорную урографию</t>
  </si>
  <si>
    <t>В\в урографию</t>
  </si>
  <si>
    <t>Стриктура,  кровотечение, перфорация, инфекционно- воспалительные изменения, необходимость открытого оперативного вмешательства.</t>
  </si>
  <si>
    <t xml:space="preserve">Подготовка к цистоскопии. </t>
  </si>
  <si>
    <t xml:space="preserve">Динамическое наблюдение, дальнейшая тактика будет определена после дообследования. </t>
  </si>
  <si>
    <t>Дата рождения:</t>
  </si>
  <si>
    <t>отделение урологии</t>
  </si>
  <si>
    <t>ГБ   № 9</t>
  </si>
  <si>
    <t>Таб. Аугментин 625мг х 3р/с 5-7 дней.</t>
  </si>
  <si>
    <t>Оперативное лечение в объеме: ТУР аденомы простаты</t>
  </si>
  <si>
    <t>ГБУЗС</t>
  </si>
  <si>
    <t>Таб. Амоксиклав 625 мг х 3р/с 5-7 дней.</t>
  </si>
  <si>
    <t>По нефростоме:</t>
  </si>
  <si>
    <t xml:space="preserve">Справка о стоимости </t>
  </si>
  <si>
    <t>Выдана справках   о стоимости медицинской помощи, оказанной застрахованному лицу в рамках ОМС.</t>
  </si>
  <si>
    <t>От выдачи справки о стоимости медицинской помощи, оказанной застрахованному  лицу в рамках ОМС отказался(-ась).</t>
  </si>
  <si>
    <t>невозможность самостоятельного мочеиспускания</t>
  </si>
  <si>
    <t>наличие катетера Фолея</t>
  </si>
  <si>
    <t>наличие нефростомы</t>
  </si>
  <si>
    <t>АСТ|АЛТ, Е\л</t>
  </si>
  <si>
    <t>Общ. белок, г/л</t>
  </si>
  <si>
    <t xml:space="preserve">  ACT|AЛТ,                      Е/л</t>
  </si>
  <si>
    <t>Ильина Е. С.</t>
  </si>
  <si>
    <t>Показано оперативное лечение по программе ВМП (по разделу 1)</t>
  </si>
  <si>
    <t>24|33</t>
  </si>
  <si>
    <t>Amoksiclav-1,2гм,в\в х3 раза</t>
  </si>
  <si>
    <t>Клинический разбор</t>
  </si>
  <si>
    <t>Опер. Хирург</t>
  </si>
  <si>
    <t>Ассистент</t>
  </si>
  <si>
    <t>Мл. опер. м\с</t>
  </si>
  <si>
    <t>Tranexam - 500 mg х 2 раза, в\в</t>
  </si>
  <si>
    <t>Dicinone - 4  ml, в\м х 3 раза</t>
  </si>
  <si>
    <t>Симперович К.</t>
  </si>
  <si>
    <t>Квитченко А.</t>
  </si>
  <si>
    <t>Прошу</t>
  </si>
  <si>
    <t>УЗИ органов мочевыделительной системы</t>
  </si>
  <si>
    <t>Консультацию анестезиолога</t>
  </si>
  <si>
    <t xml:space="preserve">Еременко А. Н. </t>
  </si>
  <si>
    <t>светлой мочи, удален(а)</t>
  </si>
  <si>
    <t>Этапный эпикриз</t>
  </si>
  <si>
    <r>
      <t xml:space="preserve">Находится в урологическом отделении: </t>
    </r>
    <r>
      <rPr>
        <sz val="20"/>
        <color indexed="8"/>
        <rFont val="Times New Roman"/>
        <family val="1"/>
        <charset val="204"/>
      </rPr>
      <t>с</t>
    </r>
  </si>
  <si>
    <t>Данные проведенного лечения:</t>
  </si>
  <si>
    <t xml:space="preserve">Инфузионная, антибактериальная (цефтриаксон), спазмолитическая терапия. </t>
  </si>
  <si>
    <t>Нуждается в дальнейшем стационарном лечении .</t>
  </si>
  <si>
    <t>ГБУЗС ГБ №9</t>
  </si>
  <si>
    <r>
      <t xml:space="preserve">Я не </t>
    </r>
    <r>
      <rPr>
        <b/>
        <u/>
        <sz val="9"/>
        <color indexed="8"/>
        <rFont val="Times New Roman"/>
        <family val="1"/>
        <charset val="204"/>
      </rPr>
      <t>согласен</t>
    </r>
    <r>
      <rPr>
        <sz val="9"/>
        <color indexed="8"/>
        <rFont val="Times New Roman"/>
        <family val="1"/>
        <charset val="204"/>
      </rPr>
      <t xml:space="preserve"> с предложенным планом лечения </t>
    </r>
  </si>
  <si>
    <r>
      <t xml:space="preserve"> </t>
    </r>
    <r>
      <rPr>
        <b/>
        <sz val="9"/>
        <color indexed="8"/>
        <rFont val="Times New Roman"/>
        <family val="1"/>
        <charset val="204"/>
      </rPr>
      <t>Подпись сделана в моем присутствии</t>
    </r>
  </si>
  <si>
    <r>
      <rPr>
        <b/>
        <sz val="9"/>
        <color indexed="8"/>
        <rFont val="Times New Roman"/>
        <family val="1"/>
        <charset val="204"/>
      </rPr>
      <t>Врач</t>
    </r>
    <r>
      <rPr>
        <sz val="9"/>
        <color indexed="8"/>
        <rFont val="Times New Roman"/>
        <family val="1"/>
        <charset val="204"/>
      </rPr>
      <t>___________/</t>
    </r>
  </si>
  <si>
    <r>
      <t xml:space="preserve">Мне детально разъяснены  </t>
    </r>
    <r>
      <rPr>
        <sz val="12"/>
        <color indexed="8"/>
        <rFont val="Times New Roman"/>
        <family val="1"/>
        <charset val="204"/>
      </rPr>
      <t>необходимость, цель и характер операции, предполагаемые результаты и возможные последствия отказа от вмешательства. Я пронформирован о смысле операции, о том, что во время операции могут возникнуть непредвиденные обстоятельства и осложнения и в таком случае ход операции может быть измене врачами по их усмотрению.</t>
    </r>
  </si>
  <si>
    <t>получил(а) разъяснения по поводу операции переливания крови. Мне объяснены лечащим врачом цель переливания, его необходимость, характер и особенности процедуры, ее возможные последствия, в случае развития которых я согласен (а) на проведение всех нужных лечебных мероприятий. Я извещен(а) о вероятном течении заболевания при отказе от операции переливания крови, ее компонентов и кровезаменителей.</t>
  </si>
  <si>
    <r>
      <t xml:space="preserve">Находясь на лечении/обследовании в </t>
    </r>
    <r>
      <rPr>
        <u/>
        <sz val="12"/>
        <color indexed="8"/>
        <rFont val="Times New Roman"/>
        <family val="1"/>
        <charset val="204"/>
      </rPr>
      <t xml:space="preserve"> урологическом</t>
    </r>
    <r>
      <rPr>
        <sz val="12"/>
        <color indexed="8"/>
        <rFont val="Times New Roman"/>
        <family val="1"/>
        <charset val="204"/>
      </rPr>
      <t xml:space="preserve"> отделении и подписывая данный документ, я,</t>
    </r>
  </si>
  <si>
    <t>Drotaverinе-2мл,в\м х2 раза</t>
  </si>
  <si>
    <t xml:space="preserve">Цистоскопия, удаление стента                                                                                                                                                                                                                                                                          Операционное поле обработано р-ром хлоргексидинового спирта 2-ды.Под местным обезболиванием ( катеджгель), в уретру проведен уретероцистоскоп.  
ЦС, удаление стента.                                                                                                                                                                                                                                                                                                                                      При осмотре мочевого пузыря – слизистая  гиперемирована в области шейки, устья на 5- ти и 7- ми часах.  Извлечент стент. Цистоскоп удален. </t>
  </si>
  <si>
    <t>мочи с геморрагическим компонентом, промыт(а)</t>
  </si>
  <si>
    <t>мутной мочи с хлопьями фибрина, промыт(а)</t>
  </si>
  <si>
    <t>светлой мочи, промыт(а)</t>
  </si>
  <si>
    <t>5)</t>
  </si>
  <si>
    <r>
      <rPr>
        <b/>
        <sz val="11"/>
        <color indexed="8"/>
        <rFont val="Times New Roman"/>
        <family val="1"/>
        <charset val="204"/>
      </rPr>
      <t>Я обязуюсь</t>
    </r>
    <r>
      <rPr>
        <sz val="11"/>
        <color indexed="8"/>
        <rFont val="Times New Roman"/>
        <family val="1"/>
        <charset val="204"/>
      </rPr>
      <t xml:space="preserve"> строго соблюдать рекомендации лечащего врача, мед. персонала касательно диеты, режима, лекарств, перевязок, манипуляций  и процедур. Мне разъяснено, что несогласованный с врачом прием препаратов  может угрожать моей жизни и (или)  привести к различным осложнениям. </t>
    </r>
  </si>
  <si>
    <r>
      <rPr>
        <sz val="14"/>
        <color indexed="8"/>
        <rFont val="Times New Roman"/>
        <family val="1"/>
        <charset val="204"/>
      </rPr>
      <t>v</t>
    </r>
    <r>
      <rPr>
        <sz val="11"/>
        <color indexed="8"/>
        <rFont val="Times New Roman"/>
        <family val="1"/>
        <charset val="204"/>
      </rPr>
      <t>___________________________</t>
    </r>
  </si>
  <si>
    <t>v___________________________________________</t>
  </si>
  <si>
    <t>Кутищева Д.</t>
  </si>
  <si>
    <t>отрицательно</t>
  </si>
  <si>
    <t>положительно</t>
  </si>
  <si>
    <t>AT IG к Treponema pallidum</t>
  </si>
  <si>
    <t>Оперативное лечение в объеме: резекции кисты</t>
  </si>
  <si>
    <t>13.45-14.45</t>
  </si>
  <si>
    <t>Время</t>
  </si>
  <si>
    <t>Лист назначений наркотических препаратов №</t>
  </si>
  <si>
    <t>Название препарата</t>
  </si>
  <si>
    <t>врача</t>
  </si>
  <si>
    <t>медсестры</t>
  </si>
  <si>
    <t>Sol. Promedoli 2%- 1 ml</t>
  </si>
  <si>
    <t>Sol. Sibazoni 0,5%- 2 ml</t>
  </si>
  <si>
    <t>Sol. Atropini 0,1%- 1 ml</t>
  </si>
  <si>
    <t xml:space="preserve">Стол ОВД, реж. пал. </t>
  </si>
  <si>
    <t>Выписан(-а)</t>
  </si>
  <si>
    <t>Посев мочи на флору и чувствительность к антибиотикам через 2 недели после окончания антибактериальной терапии.</t>
  </si>
  <si>
    <t xml:space="preserve">                                                                                                                                                                                                                                                                                                     Позадилонная аденомэктомия.                                                                                                                  Под общим обезболиванием (см. запись анестезиолога), после обработки операционного поля р-ром хлоргексидинового спирта 2 – ды послойно вскрыты ткани под пупком. Установлен балонный троакар, создано  экстраперитонеально  п-во  . Установлены дополнительные троакраы   - 2- слева , одни справа в типичных точках. , выделена передняя стенка мочевого пузыря и простата. . В области шейки мочевого пузыря обнаружена аденома предстательной железы &gt;120 мл.  вскрыта капсула железа в поперечном направлении.  острым путем выделены узлы, плотно спаянные с капсулой.  Опухоль удалена  2-мя фрагментами. Капсула ушита поперчеными швами.  Кровопотеря – 100 мл. В мочевой пузырь подведен 3- х  ходовой катетер Фолея( объем 20 мл).  препарат извлечен в контейнере. Дренажи в малый таз. . Налажена система орошения мочевого пузыря. Проверка герметичности пузыря. Контроль гемостаза. Сухо. Послойные швы на раны. Ас повязка. Препарат - аденома простаты на ПГИ.</t>
  </si>
  <si>
    <t xml:space="preserve">ОАК, ОАМ, БАК, группа крови, посев мочи, коагулограмма, </t>
  </si>
  <si>
    <t xml:space="preserve">установка катетера </t>
  </si>
  <si>
    <t>УЗИ брюшной полости, печени, забрюшинных л\узлов</t>
  </si>
  <si>
    <t xml:space="preserve"> УФМ + определение остаточной мочи</t>
  </si>
  <si>
    <t>Антибактериальная, симптоматическая  терапия</t>
  </si>
  <si>
    <t>Литокинетическая терапия</t>
  </si>
  <si>
    <t>Консультация гинеколога</t>
  </si>
  <si>
    <t>Гемостатическая терапия</t>
  </si>
  <si>
    <t>Установка катетера</t>
  </si>
  <si>
    <t xml:space="preserve">Жос А. А. </t>
  </si>
  <si>
    <t xml:space="preserve">Чебар В. В. </t>
  </si>
  <si>
    <t xml:space="preserve">Лист назначений </t>
  </si>
  <si>
    <t>Назначения</t>
  </si>
  <si>
    <t>! Киста почки: 075.020
Динамическое наблюдение, контроль жалоб, термометрия
ОАК, ОАМ, б/х крови, коагулограмма, группа крови
Стол ОВД, режим палатный
Консультация терапевта
ЭКГ,</t>
  </si>
  <si>
    <t>палатный</t>
  </si>
  <si>
    <t>Исполнители</t>
  </si>
  <si>
    <t>Даты и отметки их выполнения</t>
  </si>
  <si>
    <t xml:space="preserve"> мед сестра </t>
  </si>
  <si>
    <t>врач  м\с</t>
  </si>
  <si>
    <t xml:space="preserve">вр. Еременко А. Н. </t>
  </si>
  <si>
    <t xml:space="preserve">
Динамическое наблюдение, контроль жалоб, термометрия
ОАК, ОАМ, б/х крови, коагулограмма, группа крови
Стол ОВД3, режим палатный
Консультация терапевта
ЭКГ, Рентген грудной клетки,  п\ к отдела  позвоночника</t>
  </si>
  <si>
    <t xml:space="preserve">Режим  </t>
  </si>
  <si>
    <t>Рентген грудной клетки</t>
  </si>
  <si>
    <t>Динамическое наблюдение, контроль жалоб, термометрия
ОАК, ОАМ, б/х крови, коагулограмма, группа крови
Стол ОВД, режим палатный
ЭКГ, конс гинеколога
Посев мочи на микрофлору</t>
  </si>
  <si>
    <t>! ДГПЖ 075.050
Динамическое наблюдение, контроль жалоб, термометрия
ОАК, ОАМ, б/х крови, коагулограмма, группа крови
Стол ОВД, режим палатный
Консультация анестезиолога
ЭКГ, 
Заполнение опросника IPSS</t>
  </si>
  <si>
    <t>подготовка к операции</t>
  </si>
  <si>
    <t xml:space="preserve">ФЛГ (амб): без свежих инфильтративных изменений.
Терапевт (амб): противопоказаний для оперативного лечения нет. </t>
  </si>
  <si>
    <t>Планируемое  лечение:</t>
  </si>
  <si>
    <r>
      <rPr>
        <b/>
        <sz val="20"/>
        <color theme="1"/>
        <rFont val="Times New Roman"/>
        <family val="1"/>
        <charset val="204"/>
      </rPr>
      <t>Цель консилиума</t>
    </r>
    <r>
      <rPr>
        <sz val="20"/>
        <color theme="1"/>
        <rFont val="Times New Roman"/>
        <family val="1"/>
        <charset val="204"/>
      </rPr>
      <t xml:space="preserve">:  с учетом основной и сопутствующей патологии назначение более 5-ти препаратов </t>
    </r>
  </si>
  <si>
    <t>! МКБ
Динамическое наблюдение, контроль жалоб, термометрия
ОАК, ОАМ, б/х крови, коагулограмма, группа крови
Стол ОВД, режим палатный
Анализ на RW, ВИЧ, HbsAg
ЭКГ, конс анестезиолога</t>
  </si>
  <si>
    <t xml:space="preserve">Дальнейшая тактика лечения будет определена после гистологической верификации диагноза. Получить через 10-14 суток  результаты гистологического исследования (с 14-00 до 15-30, тел.636277) </t>
  </si>
  <si>
    <t>Консультация  эндокринолога по м/ж. Парат-гормон, УЗИ щитовидной железы (амб).</t>
  </si>
  <si>
    <t>Удаление стента через 28 дней, после контрольного обследования: УЗИ МВС, ОАК, ОАМ, БАК (тел. 636277)</t>
  </si>
  <si>
    <t>инвалид</t>
  </si>
  <si>
    <t xml:space="preserve">
Динамическое наблюдение, контроль жалоб, термометрия
ОАК, ОАМ, б/х крови, коагулограмма, группа крови
Стол ОВД, режим палатный
Консультация терапевта
ЭКГ, УЗИ почек, мочевого пузыря, забр. л\у, печени, рентген костей таза , поясничного отдела, грудной клетки. </t>
  </si>
  <si>
    <t xml:space="preserve">врач Еременко А. Н. </t>
  </si>
  <si>
    <t>Рентген костей таза и поясничного отдела</t>
  </si>
  <si>
    <t>УЗИ печение и забрюшинных л\у</t>
  </si>
  <si>
    <t xml:space="preserve">прошу рентген - контроль положения стента в  почке. </t>
  </si>
  <si>
    <t xml:space="preserve">Уретерореноскопия . ТУ контаткная пиелолитотрипсия.                                Под наркозом в мочевой пузырь введен уретерореноскоп. Слизистая гиперемирована в об-ти шейки, устья на 5 и 7-ми часах, щелевидные.  Установлена струна - проводник в  мочеточник.  Просвет - свободный, слизистая розовая.  ЛМС - б\о.   Лоханка и чашечки значительно расширены. В просвете полостной системы большое количество мутной взвеси, слизистая легко кровоточит. Определяется камень желтого цвета, размерами 18х18 мм.  Камень фиксирован.  Выполнена контактная литотрипсия  наноимпульсным зондами с техническими трудностями, вследствие большой плотности камня (до 1200 Hu). Камень фрагментирован, крупные осколки удалены с помощью литоэкстракторов. Полости почки промыты растворами антисептиков.                                                                                      </t>
  </si>
  <si>
    <t xml:space="preserve">Трансуретральная контактная уретеролитотрипсия, литоэкстракция. А16.28.050                                                                                                                                                                                                   Под наркозом в мочевой пузырь введен уретерореноскоп.  Слизистая в м\ пузыре гиперемирована в об-ти шейки, устья на 5 и 7-ми часах, тточечной формы.  Установлена струна- проводник в мочеточник. При уретероскопии – просвет мочеточника  5 мм, слизистая розовая.    В 3-4 см от устья обнаружен камень 6 мм, жёлтого цвета. Слизистая с буллезным отеком. Произведена контактная литотрипсия , осколки извлечены. Выше просвет со множеством перегибов и девиаций. ЛМС - проходим.    Ревизия полостей почки, умеренно расширены, мутная моча, хлопья фибрина, санация. Стент № 5 проведен в почку на 30 см. Уретероскоп удален. Установлен катетер в мочевой пузырь.
</t>
  </si>
  <si>
    <t xml:space="preserve">Стентирование почки.   А16.28.051       Стент № 5 проведен в почку на 30 см. Уретероскоп удален. Установлен катетер в мочевой пузырь. </t>
  </si>
  <si>
    <t xml:space="preserve"> Лапароскопическая  резекция почки, дренирование забр. п-ва  А16.28.003.001                                                                                                                                                                                                                         
Протокол ВЛС, резекция нижнего полюса почки справа, дренирование забрюшинного п-ва.
Обезболивание – интубационный наркоз. Обработка поля - йодопироном 2-ды. Доступ: 1. По  справа параректальной линии в области пупка. 2. В правой подвздошной области по передней аксилярной линиии. 3. В правом подреберье. 4. В мезогастрии. 
При осмотре: брюшина – гладкая, блестящая. Печень обычных размеров, темно-красного цвета, гладкая. Желчный пузырь не напряжен, серовато-голубого цвета. Большой сальник желтого цвета. Передняя стенка желудка без особенностей. Селезенка не визуализируется. Доступные осмотру петли тонкой кишки  не иньецированы,  умеренно раздуты, перистальтируют, сероза - блестящая. Сигмовидная кишка не раздута, серо-розового цвета, сероза -  блестящая.    В правом боковом фланке  по линии Тольди вскрыта париетальная брюшина над  нижним  полюсом  почки.  Мочеточник выделен от н/3 до лоханки. Почка  11 х 6 см , в об-ти н/полюса опухоль желтоватого цвета, до 4 см в диаметре, округлой ф-мы. Выделение тканей по ходу нижней полой вены.  Метастазов в лимфоузлы не обнаружено. Мобилизована почечная вена до места впадения в полую и почечная артерия. На последнюю наложена держалка.   Выполнена резекция в пределах здоровых тканей. Взят край резекции. Последний  подвергнут лазерной вапоризации на глубину до 5 мм.  Наложены гемостатические швы с использованием полипропиленовой сетки Контроль на гемостаз -сухо. Швы на рану до страхового дренажа в забрюшинном пр-ве. Кровопотеря – 100 мл. Хлоргексидин.. Ас повязка. Препарат : Ткань опухоли до 4 см в диаметре, край резекции.  Препарат на  ПГИ.   
</t>
  </si>
  <si>
    <t xml:space="preserve"> Перкутаннаяя нефролитотрипсия с литоэкстракцией  А16.28.049    Под наркозом в мочевой пузырь введен уретерореноскоп. Слизистая гиперемирована в об-ти шейки, устья на 5 и 7-ми часах, щелевидные.  Установлена струна - проводник в  мочеточник.  Просвет - свободный, слизистая розовая.  ЛМС - б\о. Наложена микронефростома под комбинированным контролем( УЗИ+ эндо).  Лоханка и чашечки значительно расширены. В просвете полостной системы большое количество мутной взвеси, слизистая легко кровоточит. Определяется камень желтого цвета, размерами 18х18 мм.  Камень фиксирован.  Выполнена контактная литотрипсия  наноимпульсным зондами с техническими трудностями, вследствие большой плотности камня (до 1200 Hu). Камень фрагментирован, крупные осколки удалены с помощью литоэкстракторов. Полости почки промыты растворами антисептиков. </t>
  </si>
  <si>
    <t>лапароскопическая  нефрэктомия, дренирование забр. п-ва   А16.28.004.001                                                                                                                                                                                                                                                         Обезболивание – интубационный наркоз. Обработка поля - йодопироном 2-ды. Доступ: 1. По  слева параректальной линии в области пупка. 2. В левой подвздошной области по передней аксилярной линиии. 3. В левом подреберье 4. В поясничной области. При осмотре: брюшина – гладкая, блестящая. Печень обычных размеров, темно-красного цвета, гладкая. Желчный пузырь не напряжен, серовато-голубого цвета. Большой сальник желтого цвета. Передняя стенка желудка без особенностей. Селезенка не визуализируется. Доступные осмотру петли тонкой кишки  не иньецированы,  умеренно раздуты, перистальтируют, сероза - блестящая. Сигмовидная кишка не раздута, серо-розового цвета, сероза -  блестящая.    В левом боковом фланке  по линии Тольди вскрыта париетальная брюшина над  нижним  полюсом  почки.  При осмотре забрюшинного пр-ва выраженный спаечный процесс в области верхнего  полюса почки, варикозное расширение вен паранефрия. Мочеточник выделен от с/3 до лоханки. Почка  11 на 6 см , в об-ти средненго сегмента опухолевидное образование до 5 см в диаметре , плотно спаянное с элементами почечной ножки.  Мобилизована почечная вена. Почечная артерия представлена 2- мя стволами. Клипированы  (3+1) 8 мм клипсами. Пересечены.  Почечная вена клипирована 12 мм клипсами 2+1.,пересечена.  почка с паранефрием удалена с мочеточником, последний перевязан , пересечен на уровне н/3.  Метастазов в лимфоузлы не обнаружено. Произведено выделение почки с паранефральной клетчаткой. Последняя погружена в контейнер , удалена через разрез 5 см в левой подвздошной области. Введен фторурацил в ткани ложа.  Контроль гемостаза, сухо. В ложе  забрюшинно подведен  полихлорвиниловый дренаж через контрапертуру в поясничной области. Швы на апоневроз, кожу. Спиртовая повязка. Кровопотеря — 200 мл. Препарат- почка в среднем сегменте выполнена опухолевидным образованием с признаками варенной  ткани до 5 см.</t>
  </si>
  <si>
    <t xml:space="preserve">Биполярная ТУР аденомы простаты.     А16.21.002                                                                                                                                                                                                                                                                              Под общим обезболиванием (см. запись анестезиолога), в уретру проведен уретероцистоскоп. При осмотре мочевого пузыря – слизистая трабекулярна,    гиперемирована, устья на 5- ти и 7- ми часах. Простатическое пр-во  сужено за счет увеличения средней и боковых  доли предстательной железы. Слизистая рыхлая , отечная. Объем  аденомы до 70 мл. Осмотр простатического п-ва до семенного бугорка. После чего выполнена резекция средней доли и поэтапная резекция боковых долей с использованием биполярного генератора.  При резекции —ткань аденомы рыхлая, с участками воспалительной инфильтрации. Сформирован циркулярно конус, резекция тканей в апикальной области. Поэтапный гемостаз. Наружный сфинктер мочевого пузыря тоничен, положителен симптом (рыбьего зева). Контрольный осмотр зоны резекции и мочевого пузыря. Объем удаленной ткани 65 мл. В мочевой пузырь подведен 3- х ходовой катетер Фолея №22.  Налажена система орошения мочевого пузыря. Препарат на ПГИ(ткань аденомы простаты).  Хлоргексидиновая повязка. Кровопотеря – 20 мл.
</t>
  </si>
  <si>
    <t xml:space="preserve">Лазерная ТУ вапоризация аденомы простаты        А16.21.005                                                                                                                                                                                                                                                                                         Под общим обезболиванием, после двукратной обработки операционного поля раствором хлоргексидина при уретроскопии - просвет уретры свободный, слизистая -розовая.  При осмотре мочевого пузыря – слизистая трабекулярна,  гиперемирована, в просвете катетер, устья на 5- ти и 7- ми часах. Простатическое пр-во  сужено за счет   увеличенных боковых и средней долей. Объем простаты до 100 мл. Осмотр простатического п-ва до семенного бугорка. После чего выполнена поэтапная  вапоризация  средней доли и боковых долей с использованием  диодного лазера ( 980 нм).   Наружный сфинктер мочевого пузыря тоничен, положителен симптом (рыбьего зева). Контрольный осмотр зоны вапоризации и мочевого пузыря. Семенной бугорок определяется отчетливо. С-м « рыбьего зева» положителен.  
В мочевой пузырь проведен трехходовой катетер Фолея  № 20 V 30мл. Хлоргексидин, ас. повязка. Ткань простаты на ПГИ.
</t>
  </si>
  <si>
    <t xml:space="preserve">Трасуретральное рассечение стриктуры мочеточника. А16.28.022                                                                               Под  наркозом, в мочевой пузырь введен уретерореноскоп. Слизистая гиперемирована в об-ти шейки, устья на 5 и 7-ми часах, щелевидные.  Установлена струна - проводник в почку.  При уретероскопии – просвет мочеточника  в 2 см от устья резко сужен за счет рубцовых изменений. По струне  рассечение лазером, проходимость восстановлена,  протяженность - 5 мм                          
</t>
  </si>
  <si>
    <t>ТУ инцизия шейки м\пузыря   Под общим обезболиванием, после двукратной обработки операционного поля раствором хлоргексидина при уретроскопии  имеется рубцовый процесс в шейке мочевого пузыря, просвет сужен до  3 мм в диаметре, пропускающий только уретероскоп. Слизистая мочевого пузыря чистая, устья щелевидные, на 5 и 7 часах. Произведено рассечение  рубцовых тканей диодным лазером на 12-ти , 5-ти и 7-ми часах.Проходимость восстановлена.  Взята ткань  шейки на ПГИ. Хлоргексидиновая повязка. Кровопотеря – 20 мл.</t>
  </si>
  <si>
    <t>Оперативное лечение в объеме:КЛТ</t>
  </si>
  <si>
    <t xml:space="preserve">Казакевич О. И. </t>
  </si>
  <si>
    <t xml:space="preserve">Врач - ординатор </t>
  </si>
  <si>
    <t xml:space="preserve">Проводилась инфузионная, антибактериальная (лефлобакт), спазмолитическая, анельгезирующая  терапия. Послеоперационный период протекал без осложнений. Цель госпитализации достигнута. 
</t>
  </si>
  <si>
    <t>Иррадиирующие в почку боли при мочеиспускании</t>
  </si>
  <si>
    <t>Повышение температуры в вечернее время</t>
  </si>
  <si>
    <t>ПАЦИЕНТА НА СПЕЦИАЛИЗИРОВАННУЮ МЕДИЦИНСКУЮ ПОМОЩЬ</t>
  </si>
  <si>
    <t xml:space="preserve">Состояние  удовлетворительное. Температура 36,9С. Кожные покровы обычной окраски. Л/у доступные пальпации не увеличены. Дыхание в легких везикулярное. ЧД 16 в мин. Тоны сердца приглушены, ритмичные. АД 120/80, ЧСС 70 в мин. Живот не вздут, симметричный, мягкий, участвует в акте дыхания.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отрицательный с обеих сторон. Мочевой пузырь пальпаторно и перкуторно не определяется. Мочится самостоятельно. Уретрита нет. Мочеиспускание не затрудненное, безболезненное. Моча светлая, без примесей. </t>
  </si>
  <si>
    <t xml:space="preserve">Состояние  удовлетворительное. Температура 36,9С. Кожные покровы обычной окраски. Л/у доступные пальпации не увеличены. Дыхание в легких везикулярное. ЧД 16 в мин. Тоны сердца приглушены, ритмичные. АД 120/80, ЧСС 70 в мин. Живот не вздут, симметричный, мягкий, участвует в акте дыхания.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отрицательный с обеих сторон. Мочевой пузырь пальпаторно и перкуторно не определяется. Мочится самостоятельно. Уретрита нет.  Мочеиспускание не затрудненное,  безболезненное. Моча светлая, без примесей. </t>
  </si>
  <si>
    <t xml:space="preserve">Состояние  удовлетворительное. Температура 36,9 С. Кожные покровы обычной окраски. Л/у доступные пальпации не увеличены. Дыхание в легких везикулярное. ЧД 16 в мин. Тоны сердца приглушены, ритмичные. АД 140/80, ЧСС 78 в мин. Живот не вздут, симметричный, мягкий, участвует в акте дыхания, чувствительный над лоном.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   Мочевой пузырь пальпаторно и перкуторно не определяется. Мочится  самостоятельно.  Уретрита нет.  </t>
  </si>
  <si>
    <r>
      <t>Находился(-ась) в урологическом отделении:</t>
    </r>
    <r>
      <rPr>
        <sz val="20"/>
        <color indexed="8"/>
        <rFont val="Times New Roman"/>
        <family val="1"/>
        <charset val="204"/>
      </rPr>
      <t>с</t>
    </r>
  </si>
  <si>
    <t xml:space="preserve">ВЛС. резекция кисты. А 16.28.010
Обезболивание – интубационный наркоз.
Обработка поля - йодопироном 2-ды.
Доступ: 1. По  правой параректальной линии в области пупка.
2. В правой подвздошной области по передней аксилярной линии
              3. В правом подреберье
              4. В эпигастрии справа.
При осмотре: брюшина – гладкая, блестящая. Печень обычных размеров, темно-красного цвета, гладкая. Желчный пузырь не напряжен, серовато-голубого цвета. Большой сальник желтого цвета. Передняя стенка желудка без особенностей. Селезенка не визуализируется. Доступные осмотру петли тонкой кишки  не иньецированы,  умеренно раздуты, перистальтируют, сероза - блестящая.  Сигмовидная кишка не раздута, серо-розового цвета, сероза -  блестящая. 
В боковом фланке  вскрыта париетальная брюшина над почкой.  Выраженный саечный процесс в  паранефрии, рубцовые изменения.  В области верхнего полюса выделена киста до 7 см, предлежащая к  нижней поверхностью печени.   Острым и тупым путем произведена резекция  кисты с оболочками.  В полости прозрачное содержимое,  до 80 мл.   В полость кисты введено 20 мл 70 % спирта.  Контроль гемостаза, сухо. Препарат помещен в контейнеры, отправлены на ПГИ. К верхнему полюсу почки  подведен  полихлорвиниловый дренаж через доступ- 3. Швы на мышцы, кожу. Спиртовая повязка. Операционный материал – оболочки кисты.
</t>
  </si>
  <si>
    <t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t>
  </si>
  <si>
    <t>левомицетин, новокаин</t>
  </si>
  <si>
    <t>МКБ, рецидив. Резидуальный камень н\чашки справа 20 мм.                                                                                                                                                                                                                                                                                                                                                           Гидронефроз справа 1 ст. Хронический калькулезный пиелонефрит , латентное течение. ХПН 0-1</t>
  </si>
  <si>
    <t xml:space="preserve">ИБС: АКС. САГ 2 ст, 2 ст, риск 3. Ожирение 3-4 ст. П\о вентральная грыжа. </t>
  </si>
  <si>
    <t>Удаление камня</t>
  </si>
  <si>
    <t xml:space="preserve">Наличие камня н\ чашки почки, вызывающего  воспаление и нарушение функции почек. </t>
  </si>
  <si>
    <t xml:space="preserve">Комбинированная нефролитолапаксия. Стентирование справа. </t>
  </si>
  <si>
    <t>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t>
  </si>
  <si>
    <t xml:space="preserve">НА УЗИ и урограмме ( 11.07.16) -   в н\ чашке - 20 мм каменьУмеренное расширение ЧЛС справа. </t>
  </si>
  <si>
    <t>E. coli</t>
  </si>
  <si>
    <t>боли в поясничной области;справа</t>
  </si>
  <si>
    <t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t>
  </si>
  <si>
    <t>Иванова Е.П.</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</si>
</sst>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F800]dddd\,\ mmmm\ dd\,\ yyyy"/>
    <numFmt numFmtId="165" formatCode="h:mm;@"/>
    <numFmt numFmtId="166" formatCode="0.0"/>
    <numFmt numFmtId="167" formatCode="dd/mm/yy;@"/>
    <numFmt numFmtId="168" formatCode="dd/mm/yy\ h:mm;@"/>
    <numFmt numFmtId="169" formatCode="[$-419]d\ mmm;@"/>
    <numFmt numFmtId="170" formatCode="d/m;@"/>
  </numFmts>
  <fonts count="134" x14ac:knownFonts="1">
    <font>
      <sz val="11"/>
      <color theme="1"/>
      <name val="Calibri"/>
      <family val="2"/>
      <charset val="204"/>
      <scheme val="minor"/>
    </font>
    <font>
      <sz val="11"/>
      <color indexed="8"/>
      <name val="Times New Roman"/>
      <family val="1"/>
      <charset val="204"/>
    </font>
    <font>
      <sz val="12"/>
      <color indexed="8"/>
      <name val="Times New Roman"/>
      <family val="1"/>
      <charset val="204"/>
    </font>
    <font>
      <u/>
      <sz val="12"/>
      <color indexed="8"/>
      <name val="Times New Roman"/>
      <family val="1"/>
      <charset val="204"/>
    </font>
    <font>
      <b/>
      <u/>
      <sz val="12"/>
      <color indexed="8"/>
      <name val="Times New Roman"/>
      <family val="1"/>
      <charset val="204"/>
    </font>
    <font>
      <b/>
      <sz val="11"/>
      <color indexed="8"/>
      <name val="Times New Roman"/>
      <family val="1"/>
      <charset val="204"/>
    </font>
    <font>
      <sz val="14"/>
      <name val="Times New Roman"/>
      <family val="1"/>
      <charset val="204"/>
    </font>
    <font>
      <sz val="10"/>
      <color indexed="8"/>
      <name val="Times New Roman"/>
      <family val="1"/>
      <charset val="204"/>
    </font>
    <font>
      <b/>
      <sz val="12"/>
      <color indexed="8"/>
      <name val="Times New Roman"/>
      <family val="1"/>
      <charset val="204"/>
    </font>
    <font>
      <b/>
      <sz val="14"/>
      <color indexed="8"/>
      <name val="Times New Roman"/>
      <family val="1"/>
      <charset val="204"/>
    </font>
    <font>
      <sz val="8"/>
      <color indexed="8"/>
      <name val="Times New Roman"/>
      <family val="1"/>
      <charset val="204"/>
    </font>
    <font>
      <sz val="14"/>
      <color indexed="8"/>
      <name val="Times New Roman"/>
      <family val="1"/>
      <charset val="204"/>
    </font>
    <font>
      <i/>
      <sz val="12"/>
      <color indexed="8"/>
      <name val="Times New Roman"/>
      <family val="1"/>
      <charset val="204"/>
    </font>
    <font>
      <sz val="20"/>
      <name val="Times New Roman"/>
      <family val="1"/>
      <charset val="204"/>
    </font>
    <font>
      <sz val="20"/>
      <color indexed="8"/>
      <name val="Times New Roman"/>
      <family val="1"/>
      <charset val="204"/>
    </font>
    <font>
      <u/>
      <sz val="20"/>
      <color indexed="8"/>
      <name val="Times New Roman"/>
      <family val="1"/>
      <charset val="204"/>
    </font>
    <font>
      <b/>
      <sz val="16"/>
      <color indexed="8"/>
      <name val="Times New Roman"/>
      <family val="1"/>
      <charset val="204"/>
    </font>
    <font>
      <sz val="16"/>
      <color indexed="8"/>
      <name val="Times New Roman"/>
      <family val="1"/>
      <charset val="204"/>
    </font>
    <font>
      <b/>
      <sz val="14"/>
      <name val="Times New Roman"/>
      <family val="1"/>
      <charset val="204"/>
    </font>
    <font>
      <sz val="14"/>
      <name val="Arial Cyr"/>
      <charset val="204"/>
    </font>
    <font>
      <b/>
      <sz val="12"/>
      <color indexed="63"/>
      <name val="Arial Narrow"/>
      <family val="2"/>
      <charset val="204"/>
    </font>
    <font>
      <b/>
      <sz val="11"/>
      <color indexed="63"/>
      <name val="Arial Narrow"/>
      <family val="2"/>
      <charset val="204"/>
    </font>
    <font>
      <b/>
      <sz val="14"/>
      <color indexed="63"/>
      <name val="Arial Narrow"/>
      <family val="2"/>
      <charset val="204"/>
    </font>
    <font>
      <sz val="8"/>
      <color indexed="8"/>
      <name val="Calibri"/>
      <family val="2"/>
      <charset val="204"/>
    </font>
    <font>
      <sz val="10"/>
      <name val="Arial"/>
      <family val="2"/>
      <charset val="204"/>
    </font>
    <font>
      <b/>
      <sz val="9"/>
      <name val="Arial"/>
      <family val="2"/>
      <charset val="204"/>
    </font>
    <font>
      <sz val="9"/>
      <color indexed="81"/>
      <name val="Tahoma"/>
      <family val="2"/>
      <charset val="204"/>
    </font>
    <font>
      <sz val="18"/>
      <color indexed="8"/>
      <name val="Times New Roman"/>
      <family val="1"/>
      <charset val="204"/>
    </font>
    <font>
      <sz val="11"/>
      <color indexed="81"/>
      <name val="Tahoma"/>
      <family val="2"/>
      <charset val="204"/>
    </font>
    <font>
      <b/>
      <sz val="18"/>
      <color indexed="8"/>
      <name val="Times New Roman"/>
      <family val="1"/>
      <charset val="204"/>
    </font>
    <font>
      <sz val="18"/>
      <name val="Times New Roman"/>
      <family val="1"/>
      <charset val="204"/>
    </font>
    <font>
      <b/>
      <sz val="18"/>
      <name val="Times New Roman"/>
      <family val="1"/>
      <charset val="204"/>
    </font>
    <font>
      <b/>
      <sz val="8"/>
      <name val="Arial"/>
      <family val="2"/>
      <charset val="204"/>
    </font>
    <font>
      <b/>
      <sz val="11"/>
      <color indexed="81"/>
      <name val="Tahoma"/>
      <family val="2"/>
      <charset val="204"/>
    </font>
    <font>
      <b/>
      <u/>
      <sz val="16"/>
      <color indexed="8"/>
      <name val="Times New Roman"/>
      <family val="1"/>
      <charset val="204"/>
    </font>
    <font>
      <b/>
      <sz val="10"/>
      <color indexed="81"/>
      <name val="Tahoma"/>
      <family val="2"/>
      <charset val="204"/>
    </font>
    <font>
      <b/>
      <sz val="9"/>
      <color indexed="81"/>
      <name val="Tahoma"/>
      <family val="2"/>
      <charset val="204"/>
    </font>
    <font>
      <b/>
      <u/>
      <sz val="9"/>
      <color indexed="81"/>
      <name val="Tahoma"/>
      <family val="2"/>
      <charset val="204"/>
    </font>
    <font>
      <sz val="11"/>
      <name val="Calibri"/>
      <family val="2"/>
      <charset val="204"/>
    </font>
    <font>
      <sz val="11"/>
      <name val="Times New Roman"/>
      <family val="1"/>
      <charset val="204"/>
    </font>
    <font>
      <sz val="11"/>
      <name val="Calibri"/>
      <family val="2"/>
      <charset val="204"/>
    </font>
    <font>
      <u/>
      <sz val="11"/>
      <name val="Calibri"/>
      <family val="2"/>
      <charset val="204"/>
    </font>
    <font>
      <b/>
      <sz val="8"/>
      <color indexed="8"/>
      <name val="Times New Roman"/>
      <family val="1"/>
      <charset val="204"/>
    </font>
    <font>
      <sz val="18"/>
      <color indexed="9"/>
      <name val="Times New Roman"/>
      <family val="1"/>
      <charset val="204"/>
    </font>
    <font>
      <sz val="9"/>
      <color indexed="8"/>
      <name val="Times New Roman"/>
      <family val="1"/>
      <charset val="204"/>
    </font>
    <font>
      <b/>
      <u/>
      <sz val="9"/>
      <color indexed="8"/>
      <name val="Times New Roman"/>
      <family val="1"/>
      <charset val="204"/>
    </font>
    <font>
      <b/>
      <sz val="9"/>
      <color indexed="8"/>
      <name val="Times New Roman"/>
      <family val="1"/>
      <charset val="204"/>
    </font>
    <font>
      <sz val="11"/>
      <color theme="0"/>
      <name val="Calibri"/>
      <family val="2"/>
      <charset val="204"/>
      <scheme val="minor"/>
    </font>
    <font>
      <b/>
      <sz val="11"/>
      <color theme="1"/>
      <name val="Calibri"/>
      <family val="2"/>
      <charset val="204"/>
      <scheme val="minor"/>
    </font>
    <font>
      <sz val="10"/>
      <color theme="1"/>
      <name val="Times New Roman"/>
      <family val="1"/>
      <charset val="204"/>
    </font>
    <font>
      <b/>
      <sz val="12"/>
      <color theme="1"/>
      <name val="Times New Roman"/>
      <family val="1"/>
      <charset val="204"/>
    </font>
    <font>
      <b/>
      <sz val="10"/>
      <color theme="1"/>
      <name val="Times New Roman"/>
      <family val="1"/>
      <charset val="204"/>
    </font>
    <font>
      <b/>
      <sz val="11"/>
      <color theme="1"/>
      <name val="Times New Roman"/>
      <family val="1"/>
      <charset val="204"/>
    </font>
    <font>
      <sz val="11"/>
      <color theme="1"/>
      <name val="Times New Roman"/>
      <family val="1"/>
      <charset val="204"/>
    </font>
    <font>
      <sz val="12"/>
      <color theme="1"/>
      <name val="Times New Roman"/>
      <family val="1"/>
      <charset val="204"/>
    </font>
    <font>
      <u/>
      <sz val="12"/>
      <color theme="1"/>
      <name val="Times New Roman"/>
      <family val="1"/>
      <charset val="204"/>
    </font>
    <font>
      <b/>
      <u/>
      <sz val="12"/>
      <color theme="1"/>
      <name val="Times New Roman"/>
      <family val="1"/>
      <charset val="204"/>
    </font>
    <font>
      <u/>
      <sz val="11"/>
      <color theme="1"/>
      <name val="Times New Roman"/>
      <family val="1"/>
      <charset val="204"/>
    </font>
    <font>
      <b/>
      <u/>
      <sz val="11"/>
      <color theme="1"/>
      <name val="Times New Roman"/>
      <family val="1"/>
      <charset val="204"/>
    </font>
    <font>
      <b/>
      <sz val="14"/>
      <color theme="1"/>
      <name val="Times New Roman"/>
      <family val="1"/>
      <charset val="204"/>
    </font>
    <font>
      <sz val="8"/>
      <color theme="1"/>
      <name val="Times New Roman"/>
      <family val="1"/>
      <charset val="204"/>
    </font>
    <font>
      <sz val="14"/>
      <color theme="1"/>
      <name val="Times New Roman"/>
      <family val="1"/>
      <charset val="204"/>
    </font>
    <font>
      <u/>
      <sz val="14"/>
      <color theme="1"/>
      <name val="Times New Roman"/>
      <family val="1"/>
      <charset val="204"/>
    </font>
    <font>
      <sz val="13"/>
      <color theme="1"/>
      <name val="Times New Roman"/>
      <family val="1"/>
      <charset val="204"/>
    </font>
    <font>
      <u/>
      <sz val="13"/>
      <color theme="1"/>
      <name val="Times New Roman"/>
      <family val="1"/>
      <charset val="204"/>
    </font>
    <font>
      <u/>
      <sz val="20"/>
      <color theme="1"/>
      <name val="Times New Roman"/>
      <family val="1"/>
      <charset val="204"/>
    </font>
    <font>
      <b/>
      <u/>
      <sz val="14"/>
      <color theme="1"/>
      <name val="Times New Roman"/>
      <family val="1"/>
      <charset val="204"/>
    </font>
    <font>
      <i/>
      <sz val="12"/>
      <color theme="1"/>
      <name val="Times New Roman"/>
      <family val="1"/>
      <charset val="204"/>
    </font>
    <font>
      <sz val="8"/>
      <color theme="1"/>
      <name val="Calibri"/>
      <family val="2"/>
      <charset val="204"/>
      <scheme val="minor"/>
    </font>
    <font>
      <i/>
      <sz val="11"/>
      <color theme="1"/>
      <name val="Times New Roman"/>
      <family val="1"/>
      <charset val="204"/>
    </font>
    <font>
      <b/>
      <sz val="8"/>
      <color theme="1"/>
      <name val="Times New Roman"/>
      <family val="1"/>
      <charset val="204"/>
    </font>
    <font>
      <b/>
      <sz val="9"/>
      <color theme="1"/>
      <name val="Times New Roman"/>
      <family val="1"/>
      <charset val="204"/>
    </font>
    <font>
      <sz val="12"/>
      <color theme="0" tint="-0.34998626667073579"/>
      <name val="Times New Roman"/>
      <family val="1"/>
      <charset val="204"/>
    </font>
    <font>
      <sz val="12"/>
      <color theme="1"/>
      <name val="Calibri"/>
      <family val="2"/>
      <charset val="204"/>
      <scheme val="minor"/>
    </font>
    <font>
      <b/>
      <i/>
      <sz val="12"/>
      <color theme="1"/>
      <name val="Times New Roman"/>
      <family val="1"/>
      <charset val="204"/>
    </font>
    <font>
      <sz val="9"/>
      <color theme="1"/>
      <name val="Times New Roman"/>
      <family val="1"/>
      <charset val="204"/>
    </font>
    <font>
      <b/>
      <sz val="16"/>
      <color theme="1"/>
      <name val="Times New Roman"/>
      <family val="1"/>
      <charset val="204"/>
    </font>
    <font>
      <sz val="22"/>
      <color theme="1"/>
      <name val="Times New Roman"/>
      <family val="1"/>
      <charset val="204"/>
    </font>
    <font>
      <sz val="16"/>
      <color theme="1"/>
      <name val="Times New Roman"/>
      <family val="1"/>
      <charset val="204"/>
    </font>
    <font>
      <b/>
      <sz val="18"/>
      <color theme="1"/>
      <name val="Calibri"/>
      <family val="2"/>
      <charset val="204"/>
      <scheme val="minor"/>
    </font>
    <font>
      <sz val="18"/>
      <color theme="1"/>
      <name val="Calibri"/>
      <family val="2"/>
      <charset val="204"/>
      <scheme val="minor"/>
    </font>
    <font>
      <sz val="18"/>
      <color theme="1"/>
      <name val="Times New Roman"/>
      <family val="1"/>
      <charset val="204"/>
    </font>
    <font>
      <sz val="11"/>
      <color theme="0" tint="-0.34998626667073579"/>
      <name val="Times New Roman"/>
      <family val="1"/>
      <charset val="204"/>
    </font>
    <font>
      <sz val="20"/>
      <color theme="1"/>
      <name val="Times New Roman"/>
      <family val="1"/>
      <charset val="204"/>
    </font>
    <font>
      <b/>
      <sz val="20"/>
      <color theme="1"/>
      <name val="Times New Roman"/>
      <family val="1"/>
      <charset val="204"/>
    </font>
    <font>
      <sz val="24"/>
      <color theme="1"/>
      <name val="Times New Roman"/>
      <family val="1"/>
      <charset val="204"/>
    </font>
    <font>
      <b/>
      <sz val="24"/>
      <color theme="1"/>
      <name val="Times New Roman"/>
      <family val="1"/>
      <charset val="204"/>
    </font>
    <font>
      <sz val="14"/>
      <color theme="1"/>
      <name val="Calibri"/>
      <family val="2"/>
      <charset val="204"/>
      <scheme val="minor"/>
    </font>
    <font>
      <b/>
      <sz val="12"/>
      <color theme="1"/>
      <name val="Arial Narrow"/>
      <family val="2"/>
      <charset val="204"/>
    </font>
    <font>
      <b/>
      <sz val="12"/>
      <color rgb="FF333333"/>
      <name val="Arial Narrow"/>
      <family val="2"/>
      <charset val="204"/>
    </font>
    <font>
      <b/>
      <sz val="11"/>
      <color rgb="FF333333"/>
      <name val="Arial Narrow"/>
      <family val="2"/>
      <charset val="204"/>
    </font>
    <font>
      <b/>
      <sz val="14"/>
      <color rgb="FF333333"/>
      <name val="Arial Narrow"/>
      <family val="2"/>
      <charset val="204"/>
    </font>
    <font>
      <b/>
      <sz val="9"/>
      <color rgb="FF333333"/>
      <name val="Arial Narrow"/>
      <family val="2"/>
      <charset val="204"/>
    </font>
    <font>
      <b/>
      <u/>
      <sz val="11"/>
      <color rgb="FF333333"/>
      <name val="Arial Narrow"/>
      <family val="2"/>
      <charset val="204"/>
    </font>
    <font>
      <i/>
      <sz val="11"/>
      <color theme="1"/>
      <name val="Calibri"/>
      <family val="2"/>
      <charset val="204"/>
      <scheme val="minor"/>
    </font>
    <font>
      <b/>
      <sz val="9"/>
      <color theme="1"/>
      <name val="Calibri"/>
      <family val="2"/>
      <charset val="204"/>
      <scheme val="minor"/>
    </font>
    <font>
      <u/>
      <sz val="11"/>
      <color theme="1"/>
      <name val="Calibri"/>
      <family val="2"/>
      <charset val="204"/>
      <scheme val="minor"/>
    </font>
    <font>
      <sz val="10"/>
      <color theme="1"/>
      <name val="Calibri"/>
      <family val="2"/>
      <charset val="204"/>
      <scheme val="minor"/>
    </font>
    <font>
      <u/>
      <sz val="12"/>
      <color theme="1"/>
      <name val="Calibri"/>
      <family val="2"/>
      <charset val="204"/>
      <scheme val="minor"/>
    </font>
    <font>
      <b/>
      <sz val="12"/>
      <color theme="1"/>
      <name val="Calibri"/>
      <family val="2"/>
      <charset val="204"/>
      <scheme val="minor"/>
    </font>
    <font>
      <i/>
      <sz val="12"/>
      <color theme="1"/>
      <name val="Calibri"/>
      <family val="2"/>
      <charset val="204"/>
      <scheme val="minor"/>
    </font>
    <font>
      <sz val="9"/>
      <color theme="1"/>
      <name val="Calibri"/>
      <family val="2"/>
      <charset val="204"/>
      <scheme val="minor"/>
    </font>
    <font>
      <b/>
      <sz val="8"/>
      <color theme="1"/>
      <name val="Calibri"/>
      <family val="2"/>
      <charset val="204"/>
      <scheme val="minor"/>
    </font>
    <font>
      <i/>
      <sz val="8"/>
      <color theme="1"/>
      <name val="Calibri"/>
      <family val="2"/>
      <charset val="204"/>
      <scheme val="minor"/>
    </font>
    <font>
      <b/>
      <u/>
      <sz val="26"/>
      <color theme="1"/>
      <name val="Times New Roman"/>
      <family val="1"/>
      <charset val="204"/>
    </font>
    <font>
      <b/>
      <u/>
      <sz val="18"/>
      <color theme="1"/>
      <name val="Times New Roman"/>
      <family val="1"/>
      <charset val="204"/>
    </font>
    <font>
      <b/>
      <sz val="18"/>
      <color theme="1"/>
      <name val="Times New Roman"/>
      <family val="1"/>
      <charset val="204"/>
    </font>
    <font>
      <u/>
      <sz val="18"/>
      <color theme="1"/>
      <name val="Times New Roman"/>
      <family val="1"/>
      <charset val="204"/>
    </font>
    <font>
      <u/>
      <vertAlign val="superscript"/>
      <sz val="18"/>
      <color theme="1"/>
      <name val="Times New Roman"/>
      <family val="1"/>
      <charset val="204"/>
    </font>
    <font>
      <sz val="11"/>
      <color rgb="FF000000"/>
      <name val="Times New Roman"/>
      <family val="1"/>
      <charset val="204"/>
    </font>
    <font>
      <sz val="11"/>
      <color rgb="FF333333"/>
      <name val="Arial Narrow"/>
      <family val="2"/>
      <charset val="204"/>
    </font>
    <font>
      <u/>
      <sz val="16"/>
      <color theme="1"/>
      <name val="Times New Roman"/>
      <family val="1"/>
      <charset val="204"/>
    </font>
    <font>
      <sz val="11"/>
      <name val="Calibri"/>
      <family val="2"/>
      <charset val="204"/>
      <scheme val="minor"/>
    </font>
    <font>
      <u/>
      <sz val="10"/>
      <color theme="1"/>
      <name val="Times New Roman"/>
      <family val="1"/>
      <charset val="204"/>
    </font>
    <font>
      <b/>
      <u/>
      <sz val="26"/>
      <color theme="0" tint="-0.34998626667073579"/>
      <name val="Times New Roman"/>
      <family val="1"/>
      <charset val="204"/>
    </font>
    <font>
      <sz val="11"/>
      <color theme="0" tint="-0.499984740745262"/>
      <name val="Times New Roman"/>
      <family val="1"/>
      <charset val="204"/>
    </font>
    <font>
      <sz val="16"/>
      <color theme="1"/>
      <name val="Calibri"/>
      <family val="2"/>
      <charset val="204"/>
      <scheme val="minor"/>
    </font>
    <font>
      <b/>
      <sz val="22"/>
      <color theme="1"/>
      <name val="Times New Roman"/>
      <family val="1"/>
      <charset val="204"/>
    </font>
    <font>
      <b/>
      <sz val="22"/>
      <color theme="1"/>
      <name val="Calibri"/>
      <family val="2"/>
      <charset val="204"/>
      <scheme val="minor"/>
    </font>
    <font>
      <sz val="20"/>
      <color theme="1"/>
      <name val="Calibri"/>
      <family val="2"/>
      <charset val="204"/>
      <scheme val="minor"/>
    </font>
    <font>
      <b/>
      <sz val="11"/>
      <color theme="0" tint="-0.34998626667073579"/>
      <name val="Calibri"/>
      <family val="2"/>
      <charset val="204"/>
      <scheme val="minor"/>
    </font>
    <font>
      <sz val="11"/>
      <color theme="0" tint="-0.34998626667073579"/>
      <name val="Calibri"/>
      <family val="2"/>
      <charset val="204"/>
      <scheme val="minor"/>
    </font>
    <font>
      <b/>
      <u/>
      <sz val="9"/>
      <color theme="1"/>
      <name val="Times New Roman"/>
      <family val="1"/>
      <charset val="204"/>
    </font>
    <font>
      <u/>
      <sz val="20"/>
      <color theme="1"/>
      <name val="Calibri"/>
      <family val="2"/>
      <charset val="204"/>
      <scheme val="minor"/>
    </font>
    <font>
      <b/>
      <sz val="14"/>
      <color theme="1"/>
      <name val="Calibri"/>
      <family val="2"/>
      <charset val="204"/>
      <scheme val="minor"/>
    </font>
    <font>
      <b/>
      <sz val="18"/>
      <color theme="0"/>
      <name val="Times New Roman"/>
      <family val="1"/>
      <charset val="204"/>
    </font>
    <font>
      <sz val="18"/>
      <color theme="0"/>
      <name val="Calibri"/>
      <family val="2"/>
      <charset val="204"/>
      <scheme val="minor"/>
    </font>
    <font>
      <b/>
      <sz val="10"/>
      <color rgb="FF333333"/>
      <name val="Arial Narrow"/>
      <family val="2"/>
      <charset val="204"/>
    </font>
    <font>
      <sz val="10"/>
      <name val="Calibri"/>
      <family val="2"/>
      <charset val="204"/>
      <scheme val="minor"/>
    </font>
    <font>
      <b/>
      <sz val="11"/>
      <name val="Calibri"/>
      <family val="2"/>
      <charset val="204"/>
      <scheme val="minor"/>
    </font>
    <font>
      <b/>
      <sz val="20"/>
      <name val="Calibri"/>
      <family val="2"/>
      <charset val="204"/>
      <scheme val="minor"/>
    </font>
    <font>
      <b/>
      <sz val="20"/>
      <color theme="1"/>
      <name val="Calibri"/>
      <family val="2"/>
      <charset val="204"/>
      <scheme val="minor"/>
    </font>
    <font>
      <sz val="16"/>
      <name val="Calibri"/>
      <family val="2"/>
      <charset val="204"/>
      <scheme val="minor"/>
    </font>
    <font>
      <b/>
      <sz val="48"/>
      <name val="Calibri"/>
      <family val="2"/>
      <charset val="204"/>
      <scheme val="minor"/>
    </font>
  </fonts>
  <fills count="16">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499984740745262"/>
        <bgColor indexed="64"/>
      </patternFill>
    </fill>
    <fill>
      <patternFill patternType="solid">
        <fgColor rgb="FF7030A0"/>
        <bgColor indexed="64"/>
      </patternFill>
    </fill>
    <fill>
      <patternFill patternType="solid">
        <fgColor theme="4" tint="0.79998168889431442"/>
        <bgColor theme="4" tint="0.79998168889431442"/>
      </patternFill>
    </fill>
    <fill>
      <patternFill patternType="solid">
        <fgColor theme="3" tint="0.79998168889431442"/>
        <bgColor indexed="64"/>
      </patternFill>
    </fill>
    <fill>
      <patternFill patternType="solid">
        <fgColor theme="4" tint="0.39994506668294322"/>
        <bgColor indexed="64"/>
      </patternFill>
    </fill>
    <fill>
      <patternFill patternType="solid">
        <fgColor rgb="FFFFC000"/>
        <bgColor indexed="64"/>
      </patternFill>
    </fill>
    <fill>
      <patternFill patternType="solid">
        <fgColor theme="5" tint="0.59999389629810485"/>
        <bgColor indexed="64"/>
      </patternFill>
    </fill>
    <fill>
      <patternFill patternType="solid">
        <fgColor rgb="FFFF0000"/>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top/>
      <bottom/>
      <diagonal/>
    </border>
    <border>
      <left style="thin">
        <color indexed="64"/>
      </left>
      <right/>
      <top style="thin">
        <color indexed="64"/>
      </top>
      <bottom/>
      <diagonal/>
    </border>
    <border>
      <left/>
      <right style="medium">
        <color indexed="64"/>
      </right>
      <top style="thin">
        <color indexed="64"/>
      </top>
      <bottom/>
      <diagonal/>
    </border>
    <border>
      <left/>
      <right style="medium">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bottom/>
      <diagonal/>
    </border>
    <border>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thin">
        <color indexed="64"/>
      </top>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theme="4"/>
      </top>
      <bottom/>
      <diagonal/>
    </border>
    <border>
      <left/>
      <right/>
      <top style="thin">
        <color theme="4"/>
      </top>
      <bottom/>
      <diagonal/>
    </border>
    <border>
      <left style="thin">
        <color theme="4"/>
      </left>
      <right style="thin">
        <color theme="4"/>
      </right>
      <top/>
      <bottom style="thin">
        <color theme="4"/>
      </bottom>
      <diagonal/>
    </border>
  </borders>
  <cellStyleXfs count="1">
    <xf numFmtId="0" fontId="0" fillId="0" borderId="0"/>
  </cellStyleXfs>
  <cellXfs count="1371">
    <xf numFmtId="0" fontId="0" fillId="0" borderId="0" xfId="0"/>
    <xf numFmtId="0" fontId="49" fillId="0" borderId="0" xfId="0" applyFont="1" applyAlignment="1">
      <alignment horizontal="center"/>
    </xf>
    <xf numFmtId="0" fontId="49" fillId="0" borderId="0" xfId="0" applyFont="1"/>
    <xf numFmtId="0" fontId="50" fillId="0" borderId="0" xfId="0" applyFont="1"/>
    <xf numFmtId="0" fontId="50" fillId="0" borderId="0" xfId="0" applyFont="1" applyAlignment="1">
      <alignment horizontal="center"/>
    </xf>
    <xf numFmtId="0" fontId="0" fillId="0" borderId="0" xfId="0"/>
    <xf numFmtId="0" fontId="51" fillId="0" borderId="0" xfId="0" applyFont="1" applyBorder="1" applyAlignment="1">
      <alignment vertical="top"/>
    </xf>
    <xf numFmtId="0" fontId="52" fillId="0" borderId="0" xfId="0" applyFont="1" applyBorder="1" applyAlignment="1">
      <alignment vertical="top"/>
    </xf>
    <xf numFmtId="0" fontId="53" fillId="0" borderId="0" xfId="0" applyFont="1"/>
    <xf numFmtId="0" fontId="53" fillId="0" borderId="0" xfId="0" applyFont="1" applyAlignment="1">
      <alignment horizontal="center"/>
    </xf>
    <xf numFmtId="0" fontId="54" fillId="0" borderId="0" xfId="0" applyFont="1" applyAlignment="1">
      <alignment horizontal="right"/>
    </xf>
    <xf numFmtId="0" fontId="54" fillId="0" borderId="0" xfId="0" applyFont="1" applyAlignment="1">
      <alignment horizontal="center"/>
    </xf>
    <xf numFmtId="0" fontId="54" fillId="0" borderId="0" xfId="0" applyFont="1"/>
    <xf numFmtId="0" fontId="55" fillId="0" borderId="0" xfId="0" applyFont="1"/>
    <xf numFmtId="0" fontId="56" fillId="0" borderId="0" xfId="0" applyFont="1"/>
    <xf numFmtId="0" fontId="57" fillId="0" borderId="0" xfId="0" applyFont="1"/>
    <xf numFmtId="0" fontId="58" fillId="0" borderId="0" xfId="0" applyFont="1"/>
    <xf numFmtId="0" fontId="53" fillId="0" borderId="0" xfId="0" applyFont="1" applyBorder="1" applyAlignment="1">
      <alignment vertical="top"/>
    </xf>
    <xf numFmtId="0" fontId="53" fillId="0" borderId="0" xfId="0" applyFont="1" applyAlignment="1">
      <alignment horizontal="right"/>
    </xf>
    <xf numFmtId="0" fontId="59" fillId="0" borderId="0" xfId="0" applyFont="1" applyAlignment="1">
      <alignment horizontal="center"/>
    </xf>
    <xf numFmtId="0" fontId="60" fillId="0" borderId="0" xfId="0" applyFont="1" applyAlignment="1">
      <alignment horizontal="center"/>
    </xf>
    <xf numFmtId="0" fontId="61" fillId="0" borderId="0" xfId="0" applyFont="1" applyAlignment="1">
      <alignment horizontal="left" readingOrder="1"/>
    </xf>
    <xf numFmtId="0" fontId="61" fillId="0" borderId="0" xfId="0" applyFont="1" applyAlignment="1">
      <alignment horizontal="left"/>
    </xf>
    <xf numFmtId="0" fontId="55" fillId="0" borderId="0" xfId="0" applyFont="1" applyAlignment="1">
      <alignment horizontal="center"/>
    </xf>
    <xf numFmtId="0" fontId="62" fillId="0" borderId="0" xfId="0" applyFont="1" applyAlignment="1">
      <alignment horizontal="center"/>
    </xf>
    <xf numFmtId="0" fontId="62" fillId="0" borderId="0" xfId="0" applyFont="1" applyBorder="1" applyAlignment="1">
      <alignment vertical="top"/>
    </xf>
    <xf numFmtId="0" fontId="62" fillId="0" borderId="0" xfId="0" applyFont="1" applyBorder="1"/>
    <xf numFmtId="0" fontId="62" fillId="0" borderId="0" xfId="0" applyFont="1"/>
    <xf numFmtId="14" fontId="62" fillId="0" borderId="0" xfId="0" applyNumberFormat="1" applyFont="1"/>
    <xf numFmtId="0" fontId="61" fillId="0" borderId="0" xfId="0" applyFont="1" applyBorder="1"/>
    <xf numFmtId="0" fontId="63" fillId="0" borderId="0" xfId="0" applyFont="1" applyAlignment="1">
      <alignment horizontal="center"/>
    </xf>
    <xf numFmtId="0" fontId="63" fillId="0" borderId="0" xfId="0" applyFont="1"/>
    <xf numFmtId="0" fontId="64" fillId="0" borderId="0" xfId="0" applyFont="1"/>
    <xf numFmtId="0" fontId="64" fillId="0" borderId="0" xfId="0" applyFont="1" applyAlignment="1">
      <alignment horizontal="center"/>
    </xf>
    <xf numFmtId="0" fontId="65" fillId="0" borderId="0" xfId="0" applyFont="1"/>
    <xf numFmtId="0" fontId="58" fillId="0" borderId="0" xfId="0" applyFont="1" applyAlignment="1">
      <alignment horizontal="center"/>
    </xf>
    <xf numFmtId="14" fontId="66" fillId="0" borderId="0" xfId="0" applyNumberFormat="1" applyFont="1"/>
    <xf numFmtId="0" fontId="59" fillId="0" borderId="0" xfId="0" applyFont="1" applyAlignment="1">
      <alignment horizontal="right"/>
    </xf>
    <xf numFmtId="0" fontId="54" fillId="0" borderId="0" xfId="0" applyFont="1" applyBorder="1"/>
    <xf numFmtId="0" fontId="50" fillId="0" borderId="0" xfId="0" applyFont="1" applyBorder="1" applyAlignment="1">
      <alignment vertical="top"/>
    </xf>
    <xf numFmtId="0" fontId="67" fillId="0" borderId="0" xfId="0" applyFont="1"/>
    <xf numFmtId="0" fontId="67" fillId="0" borderId="0" xfId="0" applyFont="1" applyAlignment="1">
      <alignment horizontal="center"/>
    </xf>
    <xf numFmtId="0" fontId="56" fillId="0" borderId="0" xfId="0" applyFont="1" applyBorder="1" applyAlignment="1">
      <alignment vertical="top"/>
    </xf>
    <xf numFmtId="0" fontId="68" fillId="0" borderId="0" xfId="0" applyFont="1"/>
    <xf numFmtId="0" fontId="49" fillId="0" borderId="0" xfId="0" applyFont="1" applyAlignment="1">
      <alignment horizontal="right"/>
    </xf>
    <xf numFmtId="0" fontId="54" fillId="0" borderId="0" xfId="0" applyFont="1" applyAlignment="1">
      <alignment horizontal="left"/>
    </xf>
    <xf numFmtId="0" fontId="54" fillId="0" borderId="0" xfId="0" applyFont="1" applyAlignment="1">
      <alignment horizontal="left" vertical="top"/>
    </xf>
    <xf numFmtId="0" fontId="49" fillId="0" borderId="0" xfId="0" applyFont="1" applyAlignment="1">
      <alignment horizontal="left"/>
    </xf>
    <xf numFmtId="0" fontId="69" fillId="0" borderId="0" xfId="0" applyFont="1" applyAlignment="1">
      <alignment horizontal="center"/>
    </xf>
    <xf numFmtId="14" fontId="50" fillId="0" borderId="0" xfId="0" applyNumberFormat="1" applyFont="1"/>
    <xf numFmtId="14" fontId="54" fillId="0" borderId="0" xfId="0" applyNumberFormat="1" applyFont="1" applyAlignment="1">
      <alignment shrinkToFit="1"/>
    </xf>
    <xf numFmtId="0" fontId="50" fillId="0" borderId="0" xfId="0" applyFont="1" applyAlignment="1">
      <alignment horizontal="center" vertical="center"/>
    </xf>
    <xf numFmtId="0" fontId="50" fillId="0" borderId="0" xfId="0" applyFont="1" applyAlignment="1">
      <alignment horizontal="left" vertical="center"/>
    </xf>
    <xf numFmtId="0" fontId="50" fillId="0" borderId="0" xfId="0" applyFont="1" applyAlignment="1">
      <alignment horizontal="right"/>
    </xf>
    <xf numFmtId="0" fontId="54" fillId="0" borderId="1" xfId="0" applyFont="1" applyBorder="1" applyAlignment="1">
      <alignment horizontal="center" vertical="center"/>
    </xf>
    <xf numFmtId="0" fontId="53" fillId="0" borderId="0" xfId="0" applyFont="1" applyAlignment="1">
      <alignment wrapText="1" shrinkToFit="1"/>
    </xf>
    <xf numFmtId="0" fontId="52" fillId="0" borderId="0" xfId="0" applyFont="1"/>
    <xf numFmtId="1" fontId="52" fillId="0" borderId="0" xfId="0" applyNumberFormat="1" applyFont="1"/>
    <xf numFmtId="0" fontId="53" fillId="0" borderId="0" xfId="0" applyFont="1" applyAlignment="1">
      <alignment horizontal="left"/>
    </xf>
    <xf numFmtId="20" fontId="53" fillId="0" borderId="0" xfId="0" applyNumberFormat="1" applyFont="1"/>
    <xf numFmtId="0" fontId="53" fillId="0" borderId="0" xfId="0" applyFont="1" applyAlignment="1">
      <alignment horizontal="left" vertical="top"/>
    </xf>
    <xf numFmtId="0" fontId="49" fillId="0" borderId="0" xfId="0" applyFont="1" applyBorder="1" applyAlignment="1">
      <alignment vertical="top"/>
    </xf>
    <xf numFmtId="0" fontId="49" fillId="0" borderId="0" xfId="0" applyFont="1" applyBorder="1" applyAlignment="1">
      <alignment horizontal="center" vertical="top"/>
    </xf>
    <xf numFmtId="0" fontId="49" fillId="0" borderId="0" xfId="0" applyFont="1" applyBorder="1" applyAlignment="1">
      <alignment horizontal="left" vertical="top"/>
    </xf>
    <xf numFmtId="0" fontId="51" fillId="0" borderId="0" xfId="0" applyFont="1" applyBorder="1" applyAlignment="1">
      <alignment vertical="center"/>
    </xf>
    <xf numFmtId="0" fontId="53" fillId="0" borderId="0" xfId="0" applyFont="1" applyBorder="1" applyAlignment="1">
      <alignment horizontal="justify"/>
    </xf>
    <xf numFmtId="0" fontId="52" fillId="2" borderId="1" xfId="0" applyFont="1" applyFill="1" applyBorder="1" applyAlignment="1">
      <alignment horizontal="center" vertical="center"/>
    </xf>
    <xf numFmtId="0" fontId="52" fillId="2" borderId="1" xfId="0" applyFont="1" applyFill="1" applyBorder="1" applyAlignment="1">
      <alignment horizontal="center" vertical="center" wrapText="1"/>
    </xf>
    <xf numFmtId="0" fontId="70" fillId="2" borderId="1" xfId="0" applyFont="1" applyFill="1" applyBorder="1" applyAlignment="1">
      <alignment horizontal="center" vertical="center" wrapText="1"/>
    </xf>
    <xf numFmtId="0" fontId="71" fillId="2" borderId="1" xfId="0" applyFont="1" applyFill="1" applyBorder="1" applyAlignment="1">
      <alignment horizontal="center" vertical="center" wrapText="1"/>
    </xf>
    <xf numFmtId="14" fontId="50" fillId="0" borderId="0" xfId="0" applyNumberFormat="1" applyFont="1" applyAlignment="1">
      <alignment shrinkToFit="1"/>
    </xf>
    <xf numFmtId="0" fontId="54" fillId="0" borderId="0" xfId="0" applyFont="1" applyBorder="1" applyAlignment="1">
      <alignment horizontal="left" vertical="center" wrapText="1" indent="1"/>
    </xf>
    <xf numFmtId="0" fontId="52" fillId="0" borderId="0" xfId="0" applyFont="1" applyBorder="1" applyAlignment="1">
      <alignment horizontal="right" vertical="center" wrapText="1" indent="1"/>
    </xf>
    <xf numFmtId="14" fontId="61" fillId="0" borderId="0" xfId="0" applyNumberFormat="1" applyFont="1"/>
    <xf numFmtId="0" fontId="59" fillId="0" borderId="0" xfId="0" applyFont="1" applyBorder="1" applyAlignment="1">
      <alignment vertical="top"/>
    </xf>
    <xf numFmtId="0" fontId="71" fillId="2" borderId="1" xfId="0" applyFont="1" applyFill="1" applyBorder="1" applyAlignment="1">
      <alignment horizontal="center" vertical="center" wrapText="1" shrinkToFit="1"/>
    </xf>
    <xf numFmtId="0" fontId="71" fillId="2" borderId="1" xfId="0" applyFont="1" applyFill="1" applyBorder="1" applyAlignment="1">
      <alignment horizontal="justify" vertical="center" wrapText="1" shrinkToFit="1"/>
    </xf>
    <xf numFmtId="0" fontId="53" fillId="0" borderId="0" xfId="0" applyFont="1" applyAlignment="1">
      <alignment wrapText="1"/>
    </xf>
    <xf numFmtId="0" fontId="72" fillId="0" borderId="0" xfId="0" applyFont="1" applyAlignment="1">
      <alignment wrapText="1"/>
    </xf>
    <xf numFmtId="14" fontId="55" fillId="0" borderId="0" xfId="0" applyNumberFormat="1" applyFont="1"/>
    <xf numFmtId="0" fontId="66" fillId="0" borderId="0" xfId="0" applyFont="1"/>
    <xf numFmtId="14" fontId="61" fillId="0" borderId="0" xfId="0" applyNumberFormat="1" applyFont="1" applyAlignment="1">
      <alignment vertical="top"/>
    </xf>
    <xf numFmtId="0" fontId="73" fillId="0" borderId="0" xfId="0" applyFont="1"/>
    <xf numFmtId="0" fontId="56" fillId="0" borderId="0" xfId="0" applyFont="1" applyAlignment="1">
      <alignment vertical="center"/>
    </xf>
    <xf numFmtId="0" fontId="74" fillId="0" borderId="0" xfId="0" applyFont="1" applyAlignment="1">
      <alignment horizontal="right"/>
    </xf>
    <xf numFmtId="0" fontId="54" fillId="0" borderId="0" xfId="0" applyFont="1" applyAlignment="1">
      <alignment horizontal="left" vertical="center"/>
    </xf>
    <xf numFmtId="0" fontId="50" fillId="0" borderId="0" xfId="0" applyFont="1" applyBorder="1" applyAlignment="1">
      <alignment horizontal="left" vertical="center"/>
    </xf>
    <xf numFmtId="0" fontId="54" fillId="0" borderId="0" xfId="0" applyFont="1" applyBorder="1" applyAlignment="1">
      <alignment horizontal="left" vertical="center"/>
    </xf>
    <xf numFmtId="0" fontId="50" fillId="0" borderId="0" xfId="0" applyFont="1" applyBorder="1" applyAlignment="1">
      <alignment horizontal="left" vertical="center" shrinkToFit="1"/>
    </xf>
    <xf numFmtId="0" fontId="67" fillId="0" borderId="0" xfId="0" applyFont="1" applyAlignment="1">
      <alignment horizontal="left"/>
    </xf>
    <xf numFmtId="0" fontId="54" fillId="0" borderId="0" xfId="0" applyFont="1" applyAlignment="1">
      <alignment wrapText="1" shrinkToFit="1"/>
    </xf>
    <xf numFmtId="0" fontId="73" fillId="0" borderId="0" xfId="0" applyFont="1" applyAlignment="1">
      <alignment vertical="top" wrapText="1"/>
    </xf>
    <xf numFmtId="20" fontId="54" fillId="0" borderId="0" xfId="0" applyNumberFormat="1" applyFont="1"/>
    <xf numFmtId="1" fontId="50" fillId="0" borderId="0" xfId="0" applyNumberFormat="1" applyFont="1"/>
    <xf numFmtId="0" fontId="54" fillId="0" borderId="0" xfId="0" applyFont="1" applyBorder="1" applyAlignment="1">
      <alignment vertical="top"/>
    </xf>
    <xf numFmtId="0" fontId="54" fillId="0" borderId="0" xfId="0" applyFont="1" applyBorder="1" applyAlignment="1">
      <alignment horizontal="left"/>
    </xf>
    <xf numFmtId="0" fontId="75" fillId="0" borderId="0" xfId="0" applyFont="1" applyAlignment="1">
      <alignment horizontal="left"/>
    </xf>
    <xf numFmtId="0" fontId="75" fillId="0" borderId="0" xfId="0" applyFont="1" applyBorder="1" applyAlignment="1">
      <alignment horizontal="left"/>
    </xf>
    <xf numFmtId="0" fontId="54" fillId="0" borderId="0" xfId="0" applyFont="1" applyBorder="1" applyAlignment="1">
      <alignment horizontal="right" vertical="center"/>
    </xf>
    <xf numFmtId="0" fontId="61" fillId="0" borderId="0" xfId="0" applyFont="1"/>
    <xf numFmtId="0" fontId="53" fillId="0" borderId="0" xfId="0" applyFont="1" applyAlignment="1"/>
    <xf numFmtId="0" fontId="53" fillId="0" borderId="0" xfId="0" applyFont="1" applyProtection="1">
      <protection locked="0"/>
    </xf>
    <xf numFmtId="14" fontId="58" fillId="0" borderId="0" xfId="0" applyNumberFormat="1" applyFont="1" applyBorder="1" applyAlignment="1">
      <alignment shrinkToFit="1"/>
    </xf>
    <xf numFmtId="0" fontId="75" fillId="0" borderId="0" xfId="0" applyFont="1"/>
    <xf numFmtId="0" fontId="53" fillId="0" borderId="2" xfId="0" applyFont="1" applyBorder="1" applyAlignment="1">
      <alignment horizontal="left" vertical="center" wrapText="1" shrinkToFit="1"/>
    </xf>
    <xf numFmtId="0" fontId="53" fillId="0" borderId="3" xfId="0" applyFont="1" applyBorder="1" applyAlignment="1">
      <alignment horizontal="left" vertical="center" wrapText="1" shrinkToFit="1"/>
    </xf>
    <xf numFmtId="0" fontId="61" fillId="0" borderId="4" xfId="0" applyFont="1" applyBorder="1" applyAlignment="1">
      <alignment vertical="center"/>
    </xf>
    <xf numFmtId="0" fontId="53" fillId="0" borderId="5" xfId="0" applyFont="1" applyBorder="1" applyAlignment="1">
      <alignment horizontal="left" vertical="center" wrapText="1" shrinkToFit="1"/>
    </xf>
    <xf numFmtId="0" fontId="53" fillId="0" borderId="6" xfId="0" applyFont="1" applyBorder="1" applyAlignment="1">
      <alignment horizontal="left" vertical="center" wrapText="1" shrinkToFit="1"/>
    </xf>
    <xf numFmtId="0" fontId="61" fillId="0" borderId="7" xfId="0" applyFont="1" applyBorder="1" applyAlignment="1">
      <alignment vertical="center"/>
    </xf>
    <xf numFmtId="0" fontId="53" fillId="0" borderId="8" xfId="0" applyFont="1" applyBorder="1" applyAlignment="1">
      <alignment horizontal="left" vertical="center" wrapText="1" shrinkToFit="1"/>
    </xf>
    <xf numFmtId="0" fontId="53" fillId="0" borderId="9" xfId="0" applyFont="1" applyBorder="1" applyAlignment="1">
      <alignment horizontal="left" vertical="center" wrapText="1" shrinkToFit="1"/>
    </xf>
    <xf numFmtId="0" fontId="61" fillId="0" borderId="7" xfId="0" applyFont="1" applyBorder="1" applyAlignment="1">
      <alignment horizontal="left" vertical="center"/>
    </xf>
    <xf numFmtId="0" fontId="53" fillId="0" borderId="10" xfId="0" applyFont="1" applyBorder="1" applyAlignment="1">
      <alignment horizontal="left" vertical="center" wrapText="1" shrinkToFit="1"/>
    </xf>
    <xf numFmtId="0" fontId="59" fillId="0" borderId="11" xfId="0" applyFont="1" applyBorder="1" applyAlignment="1">
      <alignment vertical="center"/>
    </xf>
    <xf numFmtId="0" fontId="61" fillId="0" borderId="12" xfId="0" applyFont="1" applyBorder="1" applyAlignment="1">
      <alignment vertical="center" wrapText="1" shrinkToFit="1"/>
    </xf>
    <xf numFmtId="0" fontId="59" fillId="0" borderId="12" xfId="0" applyFont="1" applyBorder="1" applyAlignment="1">
      <alignment vertical="center"/>
    </xf>
    <xf numFmtId="0" fontId="53" fillId="0" borderId="13" xfId="0" applyFont="1" applyBorder="1" applyAlignment="1">
      <alignment horizontal="left" vertical="center" wrapText="1" shrinkToFit="1"/>
    </xf>
    <xf numFmtId="0" fontId="53" fillId="0" borderId="14" xfId="0" applyFont="1" applyBorder="1" applyAlignment="1">
      <alignment horizontal="left" vertical="center" wrapText="1" shrinkToFit="1"/>
    </xf>
    <xf numFmtId="14" fontId="61" fillId="0" borderId="7" xfId="0" applyNumberFormat="1" applyFont="1" applyBorder="1" applyAlignment="1">
      <alignment horizontal="left" vertical="center"/>
    </xf>
    <xf numFmtId="0" fontId="53" fillId="0" borderId="15" xfId="0" applyFont="1" applyBorder="1" applyAlignment="1">
      <alignment horizontal="left" vertical="center" wrapText="1" shrinkToFit="1"/>
    </xf>
    <xf numFmtId="0" fontId="53" fillId="0" borderId="16" xfId="0" applyFont="1" applyBorder="1" applyAlignment="1">
      <alignment horizontal="left" vertical="center" wrapText="1" shrinkToFit="1"/>
    </xf>
    <xf numFmtId="0" fontId="61" fillId="0" borderId="17" xfId="0" applyFont="1" applyBorder="1" applyAlignment="1">
      <alignment vertical="center"/>
    </xf>
    <xf numFmtId="0" fontId="53" fillId="0" borderId="0" xfId="0" applyFont="1" applyAlignment="1" applyProtection="1">
      <alignment vertical="top" shrinkToFit="1"/>
      <protection locked="0"/>
    </xf>
    <xf numFmtId="0" fontId="53" fillId="0" borderId="0" xfId="0" applyFont="1" applyAlignment="1" applyProtection="1">
      <alignment vertical="top"/>
      <protection locked="0"/>
    </xf>
    <xf numFmtId="0" fontId="53" fillId="0" borderId="0" xfId="0" applyFont="1" applyAlignment="1">
      <alignment vertical="top"/>
    </xf>
    <xf numFmtId="0" fontId="52" fillId="3" borderId="1" xfId="0" applyFont="1" applyFill="1" applyBorder="1" applyAlignment="1">
      <alignment horizontal="center" vertical="center"/>
    </xf>
    <xf numFmtId="0" fontId="52" fillId="4" borderId="1" xfId="0" applyFont="1" applyFill="1" applyBorder="1" applyAlignment="1">
      <alignment horizontal="right" vertical="center" wrapText="1" indent="1"/>
    </xf>
    <xf numFmtId="0" fontId="52" fillId="2" borderId="1" xfId="0" applyFont="1" applyFill="1" applyBorder="1" applyAlignment="1">
      <alignment horizontal="right" vertical="center" wrapText="1" shrinkToFit="1"/>
    </xf>
    <xf numFmtId="0" fontId="52" fillId="3" borderId="1" xfId="0" applyFont="1" applyFill="1" applyBorder="1" applyAlignment="1">
      <alignment horizontal="right" vertical="center" wrapText="1" indent="1"/>
    </xf>
    <xf numFmtId="0" fontId="53" fillId="0" borderId="0" xfId="0" applyFont="1" applyAlignment="1">
      <alignment wrapText="1" shrinkToFit="1"/>
    </xf>
    <xf numFmtId="0" fontId="53" fillId="0" borderId="0" xfId="0" applyFont="1" applyAlignment="1">
      <alignment shrinkToFit="1"/>
    </xf>
    <xf numFmtId="0" fontId="53" fillId="0" borderId="0" xfId="0" applyFont="1" applyAlignment="1"/>
    <xf numFmtId="0" fontId="53" fillId="0" borderId="0" xfId="0" applyFont="1" applyAlignment="1">
      <alignment vertical="center"/>
    </xf>
    <xf numFmtId="14" fontId="49" fillId="0" borderId="0" xfId="0" applyNumberFormat="1" applyFont="1" applyAlignment="1">
      <alignment horizontal="right" vertical="center" wrapText="1"/>
    </xf>
    <xf numFmtId="20" fontId="49" fillId="0" borderId="0" xfId="0" applyNumberFormat="1" applyFont="1" applyAlignment="1">
      <alignment horizontal="right" vertical="center" wrapText="1"/>
    </xf>
    <xf numFmtId="0" fontId="51" fillId="0" borderId="0" xfId="0" applyFont="1" applyBorder="1" applyAlignment="1">
      <alignment horizontal="center" vertical="top"/>
    </xf>
    <xf numFmtId="0" fontId="75" fillId="0" borderId="0" xfId="0" applyFont="1" applyAlignment="1">
      <alignment horizontal="justify" vertical="top" wrapText="1"/>
    </xf>
    <xf numFmtId="14" fontId="53" fillId="0" borderId="0" xfId="0" applyNumberFormat="1" applyFont="1" applyAlignment="1">
      <alignment horizontal="left" shrinkToFit="1"/>
    </xf>
    <xf numFmtId="0" fontId="56" fillId="0" borderId="0" xfId="0" applyFont="1" applyAlignment="1">
      <alignment horizontal="center"/>
    </xf>
    <xf numFmtId="0" fontId="53" fillId="0" borderId="0" xfId="0" applyFont="1" applyAlignment="1">
      <alignment horizontal="left" vertical="center" wrapText="1" shrinkToFit="1"/>
    </xf>
    <xf numFmtId="0" fontId="49" fillId="0" borderId="0" xfId="0" applyFont="1" applyBorder="1" applyAlignment="1">
      <alignment vertical="center" shrinkToFit="1"/>
    </xf>
    <xf numFmtId="0" fontId="53" fillId="0" borderId="0" xfId="0" applyFont="1" applyAlignment="1">
      <alignment wrapText="1"/>
    </xf>
    <xf numFmtId="0" fontId="53" fillId="0" borderId="0" xfId="0" applyFont="1" applyAlignment="1">
      <alignment horizontal="justify" wrapText="1"/>
    </xf>
    <xf numFmtId="0" fontId="53" fillId="0" borderId="0" xfId="0" applyFont="1" applyAlignment="1"/>
    <xf numFmtId="0" fontId="61" fillId="0" borderId="0" xfId="0" applyFont="1" applyAlignment="1">
      <alignment horizontal="right"/>
    </xf>
    <xf numFmtId="0" fontId="61" fillId="0" borderId="0" xfId="0" applyFont="1" applyAlignment="1">
      <alignment vertical="center"/>
    </xf>
    <xf numFmtId="0" fontId="61" fillId="0" borderId="0" xfId="0" applyFont="1" applyAlignment="1">
      <alignment horizontal="justify" vertical="center" wrapText="1"/>
    </xf>
    <xf numFmtId="0" fontId="61" fillId="0" borderId="0" xfId="0" applyFont="1" applyBorder="1" applyAlignment="1">
      <alignment horizontal="justify" vertical="center" wrapText="1" shrinkToFit="1"/>
    </xf>
    <xf numFmtId="0" fontId="61" fillId="0" borderId="0" xfId="0" applyFont="1" applyAlignment="1"/>
    <xf numFmtId="0" fontId="54" fillId="0" borderId="0" xfId="0" applyFont="1" applyAlignment="1">
      <alignment horizontal="justify" vertical="center" wrapText="1"/>
    </xf>
    <xf numFmtId="0" fontId="76" fillId="0" borderId="0" xfId="0" applyFont="1" applyAlignment="1">
      <alignment horizontal="left" vertical="center"/>
    </xf>
    <xf numFmtId="0" fontId="50" fillId="0" borderId="0" xfId="0" applyNumberFormat="1" applyFont="1"/>
    <xf numFmtId="0" fontId="54" fillId="0" borderId="0" xfId="0" applyFont="1" applyAlignment="1">
      <alignment horizontal="left" wrapText="1"/>
    </xf>
    <xf numFmtId="0" fontId="54" fillId="0" borderId="0" xfId="0" applyFont="1" applyAlignment="1">
      <alignment horizontal="justify" wrapText="1"/>
    </xf>
    <xf numFmtId="0" fontId="77" fillId="0" borderId="0" xfId="0" applyFont="1" applyAlignment="1">
      <alignment horizontal="center" wrapText="1"/>
    </xf>
    <xf numFmtId="0" fontId="54" fillId="0" borderId="0" xfId="0" applyFont="1" applyAlignment="1">
      <alignment horizontal="justify" vertical="top" wrapText="1"/>
    </xf>
    <xf numFmtId="0" fontId="78" fillId="0" borderId="0" xfId="0" applyFont="1" applyAlignment="1">
      <alignment horizontal="left"/>
    </xf>
    <xf numFmtId="0" fontId="61" fillId="0" borderId="0" xfId="0" applyFont="1" applyAlignment="1">
      <alignment horizontal="justify" wrapText="1"/>
    </xf>
    <xf numFmtId="0" fontId="59" fillId="0" borderId="0" xfId="0" applyFont="1" applyBorder="1" applyAlignment="1">
      <alignment horizontal="justify" vertical="center" wrapText="1"/>
    </xf>
    <xf numFmtId="0" fontId="49" fillId="0" borderId="0" xfId="0" applyFont="1" applyBorder="1" applyAlignment="1">
      <alignment vertical="center" wrapText="1" shrinkToFit="1"/>
    </xf>
    <xf numFmtId="0" fontId="61" fillId="0" borderId="7" xfId="0" applyFont="1" applyBorder="1" applyAlignment="1" applyProtection="1">
      <alignment horizontal="left" vertical="center"/>
    </xf>
    <xf numFmtId="0" fontId="53" fillId="0" borderId="0" xfId="0" applyFont="1" applyAlignment="1">
      <alignment horizontal="justify" vertical="top" wrapText="1"/>
    </xf>
    <xf numFmtId="0" fontId="53" fillId="0" borderId="0" xfId="0" applyNumberFormat="1" applyFont="1" applyAlignment="1">
      <alignment horizontal="justify" vertical="top" wrapText="1"/>
    </xf>
    <xf numFmtId="0" fontId="78" fillId="0" borderId="0" xfId="0" applyFont="1"/>
    <xf numFmtId="0" fontId="49" fillId="0" borderId="0" xfId="0" applyFont="1" applyBorder="1" applyAlignment="1">
      <alignment horizontal="left" vertical="top" wrapText="1" shrinkToFit="1"/>
    </xf>
    <xf numFmtId="0" fontId="50" fillId="0" borderId="0" xfId="0" applyFont="1" applyAlignment="1">
      <alignment vertical="top"/>
    </xf>
    <xf numFmtId="0" fontId="52" fillId="0" borderId="0" xfId="0" applyFont="1" applyAlignment="1">
      <alignment vertical="top"/>
    </xf>
    <xf numFmtId="1" fontId="52" fillId="0" borderId="0" xfId="0" applyNumberFormat="1" applyFont="1" applyAlignment="1">
      <alignment vertical="top"/>
    </xf>
    <xf numFmtId="0" fontId="52" fillId="0" borderId="0" xfId="0" applyFont="1" applyAlignment="1">
      <alignment horizontal="right" vertical="top"/>
    </xf>
    <xf numFmtId="0" fontId="53" fillId="0" borderId="0" xfId="0" applyFont="1" applyAlignment="1">
      <alignment vertical="top" wrapText="1" shrinkToFit="1"/>
    </xf>
    <xf numFmtId="0" fontId="49" fillId="0" borderId="0" xfId="0" applyFont="1" applyBorder="1" applyAlignment="1">
      <alignment horizontal="left" vertical="top" shrinkToFit="1"/>
    </xf>
    <xf numFmtId="0" fontId="53" fillId="0" borderId="0" xfId="0" applyFont="1" applyAlignment="1">
      <alignment horizontal="justify" vertical="top" wrapText="1"/>
    </xf>
    <xf numFmtId="0" fontId="54" fillId="0" borderId="0" xfId="0" applyFont="1" applyAlignment="1">
      <alignment horizontal="justify" wrapText="1"/>
    </xf>
    <xf numFmtId="0" fontId="49" fillId="0" borderId="0" xfId="0" applyFont="1" applyBorder="1" applyAlignment="1">
      <alignment horizontal="justify" vertical="top" wrapText="1"/>
    </xf>
    <xf numFmtId="0" fontId="53" fillId="0" borderId="0" xfId="0" applyFont="1" applyAlignment="1">
      <alignment horizontal="justify" vertical="top"/>
    </xf>
    <xf numFmtId="0" fontId="49" fillId="0" borderId="0" xfId="0" applyFont="1" applyAlignment="1">
      <alignment horizontal="justify" vertical="top" wrapText="1"/>
    </xf>
    <xf numFmtId="0" fontId="75" fillId="0" borderId="0" xfId="0" applyFont="1" applyAlignment="1">
      <alignment horizontal="right" vertical="center" wrapText="1"/>
    </xf>
    <xf numFmtId="0" fontId="75" fillId="0" borderId="0" xfId="0" applyFont="1" applyBorder="1" applyAlignment="1">
      <alignment horizontal="right" vertical="center" wrapText="1"/>
    </xf>
    <xf numFmtId="0" fontId="79" fillId="0" borderId="0" xfId="0" applyFont="1" applyBorder="1" applyAlignment="1">
      <alignment vertical="top"/>
    </xf>
    <xf numFmtId="0" fontId="80" fillId="0" borderId="0" xfId="0" applyFont="1" applyBorder="1" applyAlignment="1">
      <alignment vertical="top" shrinkToFit="1"/>
    </xf>
    <xf numFmtId="0" fontId="79" fillId="0" borderId="0" xfId="0" applyFont="1" applyBorder="1" applyAlignment="1" applyProtection="1">
      <alignment vertical="center"/>
    </xf>
    <xf numFmtId="0" fontId="79" fillId="0" borderId="0" xfId="0" applyFont="1" applyBorder="1" applyAlignment="1">
      <alignment horizontal="justify" vertical="top" wrapText="1"/>
    </xf>
    <xf numFmtId="0" fontId="81" fillId="0" borderId="0" xfId="0" applyFont="1" applyBorder="1" applyAlignment="1">
      <alignment horizontal="justify" vertical="top" wrapText="1"/>
    </xf>
    <xf numFmtId="0" fontId="81" fillId="0" borderId="0" xfId="0" applyFont="1" applyBorder="1" applyAlignment="1" applyProtection="1">
      <alignment horizontal="justify" vertical="top" wrapText="1"/>
    </xf>
    <xf numFmtId="0" fontId="80" fillId="0" borderId="0" xfId="0" applyFont="1" applyBorder="1" applyAlignment="1">
      <alignment horizontal="justify" vertical="top" wrapText="1"/>
    </xf>
    <xf numFmtId="0" fontId="82" fillId="0" borderId="0" xfId="0" applyFont="1" applyAlignment="1">
      <alignment horizontal="justify" vertical="top" wrapText="1"/>
    </xf>
    <xf numFmtId="0" fontId="6" fillId="0" borderId="0" xfId="0" applyFont="1" applyAlignment="1">
      <alignment horizontal="justify" vertical="top" wrapText="1"/>
    </xf>
    <xf numFmtId="0" fontId="61" fillId="0" borderId="0" xfId="0" applyFont="1" applyAlignment="1">
      <alignment horizontal="justify" vertical="top" wrapText="1"/>
    </xf>
    <xf numFmtId="0" fontId="52" fillId="0" borderId="0" xfId="0" applyFont="1" applyAlignment="1">
      <alignment horizontal="justify" vertical="top" wrapText="1"/>
    </xf>
    <xf numFmtId="0" fontId="83" fillId="0" borderId="0" xfId="0" applyFont="1"/>
    <xf numFmtId="0" fontId="13" fillId="0" borderId="0" xfId="0" applyFont="1" applyAlignment="1">
      <alignment horizontal="justify" vertical="top" wrapText="1"/>
    </xf>
    <xf numFmtId="0" fontId="83" fillId="0" borderId="0" xfId="0" applyFont="1" applyAlignment="1">
      <alignment horizontal="justify" vertical="top" wrapText="1"/>
    </xf>
    <xf numFmtId="0" fontId="84" fillId="0" borderId="0" xfId="0" applyFont="1"/>
    <xf numFmtId="0" fontId="83" fillId="0" borderId="0" xfId="0" applyFont="1" applyBorder="1" applyAlignment="1">
      <alignment horizontal="right" vertical="top"/>
    </xf>
    <xf numFmtId="0" fontId="83" fillId="0" borderId="0" xfId="0" applyFont="1" applyBorder="1" applyAlignment="1">
      <alignment horizontal="left" vertical="top"/>
    </xf>
    <xf numFmtId="0" fontId="83" fillId="0" borderId="0" xfId="0" applyFont="1" applyAlignment="1">
      <alignment horizontal="right"/>
    </xf>
    <xf numFmtId="0" fontId="83" fillId="0" borderId="0" xfId="0" applyFont="1" applyAlignment="1">
      <alignment horizontal="center"/>
    </xf>
    <xf numFmtId="0" fontId="84" fillId="0" borderId="0" xfId="0" applyFont="1" applyBorder="1" applyAlignment="1">
      <alignment vertical="top"/>
    </xf>
    <xf numFmtId="0" fontId="83" fillId="0" borderId="0" xfId="0" applyFont="1" applyAlignment="1">
      <alignment horizontal="justify" vertical="center" wrapText="1"/>
    </xf>
    <xf numFmtId="0" fontId="83" fillId="0" borderId="0" xfId="0" applyFont="1" applyAlignment="1">
      <alignment horizontal="center" vertical="center"/>
    </xf>
    <xf numFmtId="0" fontId="84" fillId="0" borderId="0" xfId="0" applyFont="1" applyAlignment="1">
      <alignment horizontal="left"/>
    </xf>
    <xf numFmtId="0" fontId="84" fillId="0" borderId="0" xfId="0" applyFont="1" applyBorder="1" applyAlignment="1">
      <alignment horizontal="left" vertical="top"/>
    </xf>
    <xf numFmtId="0" fontId="83" fillId="0" borderId="0" xfId="0" applyFont="1" applyBorder="1"/>
    <xf numFmtId="0" fontId="13" fillId="0" borderId="0" xfId="0" applyFont="1" applyBorder="1" applyAlignment="1">
      <alignment horizontal="justify" vertical="top" wrapText="1"/>
    </xf>
    <xf numFmtId="0" fontId="83" fillId="0" borderId="0" xfId="0" applyFont="1" applyBorder="1" applyAlignment="1">
      <alignment horizontal="justify" vertical="top" wrapText="1"/>
    </xf>
    <xf numFmtId="0" fontId="13" fillId="0" borderId="0" xfId="0" applyFont="1" applyAlignment="1">
      <alignment horizontal="justify" vertical="center" wrapText="1"/>
    </xf>
    <xf numFmtId="0" fontId="83" fillId="0" borderId="0" xfId="0" applyFont="1" applyAlignment="1">
      <alignment horizontal="justify" wrapText="1"/>
    </xf>
    <xf numFmtId="0" fontId="83" fillId="0" borderId="0" xfId="0" applyFont="1" applyBorder="1" applyAlignment="1">
      <alignment vertical="top"/>
    </xf>
    <xf numFmtId="0" fontId="83" fillId="0" borderId="0" xfId="0" applyFont="1" applyAlignment="1">
      <alignment horizontal="left" vertical="center" indent="2"/>
    </xf>
    <xf numFmtId="0" fontId="76" fillId="0" borderId="0" xfId="0" applyFont="1" applyAlignment="1">
      <alignment horizontal="right"/>
    </xf>
    <xf numFmtId="0" fontId="85" fillId="0" borderId="0" xfId="0" applyFont="1"/>
    <xf numFmtId="0" fontId="86" fillId="0" borderId="0" xfId="0" applyFont="1" applyAlignment="1">
      <alignment horizontal="center"/>
    </xf>
    <xf numFmtId="0" fontId="83" fillId="0" borderId="0" xfId="0" applyFont="1" applyAlignment="1">
      <alignment vertical="top"/>
    </xf>
    <xf numFmtId="0" fontId="83" fillId="0" borderId="1" xfId="0" applyFont="1" applyBorder="1" applyAlignment="1">
      <alignment horizontal="center" vertical="center"/>
    </xf>
    <xf numFmtId="0" fontId="11" fillId="0" borderId="18" xfId="0" applyFont="1" applyFill="1" applyBorder="1" applyAlignment="1">
      <alignment horizontal="center" vertical="center" wrapText="1"/>
    </xf>
    <xf numFmtId="0" fontId="11" fillId="0" borderId="19" xfId="0" applyFont="1" applyFill="1" applyBorder="1" applyAlignment="1">
      <alignment horizontal="center" vertical="center" wrapText="1"/>
    </xf>
    <xf numFmtId="49" fontId="11" fillId="0" borderId="19" xfId="0" applyNumberFormat="1" applyFont="1" applyFill="1" applyBorder="1" applyAlignment="1">
      <alignment horizontal="center" vertical="center" wrapText="1"/>
    </xf>
    <xf numFmtId="0" fontId="11" fillId="0" borderId="20" xfId="0" applyFont="1" applyFill="1" applyBorder="1" applyAlignment="1">
      <alignment horizontal="center" vertical="center" wrapText="1"/>
    </xf>
    <xf numFmtId="0" fontId="11" fillId="0" borderId="21" xfId="0" applyFont="1" applyFill="1" applyBorder="1" applyAlignment="1">
      <alignment horizontal="center" vertical="center"/>
    </xf>
    <xf numFmtId="0" fontId="11" fillId="0" borderId="1" xfId="0" applyFont="1" applyFill="1" applyBorder="1" applyAlignment="1">
      <alignment horizontal="center" vertical="center"/>
    </xf>
    <xf numFmtId="49" fontId="11" fillId="0" borderId="1" xfId="0" applyNumberFormat="1" applyFont="1" applyFill="1" applyBorder="1" applyAlignment="1">
      <alignment horizontal="center" vertical="center"/>
    </xf>
    <xf numFmtId="0" fontId="11" fillId="0" borderId="1" xfId="0" applyFont="1" applyFill="1" applyBorder="1" applyAlignment="1">
      <alignment horizontal="center" vertical="center" wrapText="1"/>
    </xf>
    <xf numFmtId="0" fontId="11" fillId="0" borderId="22" xfId="0" applyFont="1" applyFill="1" applyBorder="1" applyAlignment="1">
      <alignment horizontal="center" vertical="center" wrapText="1"/>
    </xf>
    <xf numFmtId="0" fontId="9" fillId="0" borderId="23" xfId="0" applyFont="1" applyBorder="1" applyAlignment="1">
      <alignment horizontal="left" vertical="center"/>
    </xf>
    <xf numFmtId="0" fontId="9" fillId="0" borderId="24" xfId="0" applyFont="1" applyBorder="1" applyAlignment="1">
      <alignment horizontal="center" vertical="center"/>
    </xf>
    <xf numFmtId="0" fontId="18" fillId="0" borderId="1" xfId="0" applyFont="1" applyFill="1" applyBorder="1" applyAlignment="1">
      <alignment horizontal="left" vertical="center" wrapText="1"/>
    </xf>
    <xf numFmtId="0" fontId="11" fillId="0" borderId="25" xfId="0" applyFont="1" applyBorder="1" applyAlignment="1">
      <alignment vertical="center"/>
    </xf>
    <xf numFmtId="49" fontId="11" fillId="0" borderId="25" xfId="0" applyNumberFormat="1" applyFont="1" applyBorder="1" applyAlignment="1">
      <alignment horizontal="center" vertical="center"/>
    </xf>
    <xf numFmtId="0" fontId="11" fillId="0" borderId="25" xfId="0" applyFont="1" applyBorder="1" applyAlignment="1">
      <alignment vertical="center" wrapText="1"/>
    </xf>
    <xf numFmtId="0" fontId="11" fillId="0" borderId="25" xfId="0" applyFont="1" applyBorder="1" applyAlignment="1">
      <alignment horizontal="center" vertical="center"/>
    </xf>
    <xf numFmtId="0" fontId="11" fillId="0" borderId="26" xfId="0" applyFont="1" applyBorder="1" applyAlignment="1">
      <alignment vertical="center" wrapText="1"/>
    </xf>
    <xf numFmtId="0" fontId="9" fillId="0" borderId="27" xfId="0" applyFont="1" applyBorder="1" applyAlignment="1">
      <alignment horizontal="left" vertical="center"/>
    </xf>
    <xf numFmtId="0" fontId="6" fillId="0" borderId="25" xfId="0" applyFont="1" applyFill="1" applyBorder="1" applyAlignment="1">
      <alignment horizontal="center" vertical="center" wrapText="1"/>
    </xf>
    <xf numFmtId="0" fontId="6" fillId="0" borderId="0" xfId="0" applyFont="1" applyFill="1" applyBorder="1" applyAlignment="1">
      <alignment horizontal="left" vertical="center" wrapText="1"/>
    </xf>
    <xf numFmtId="0" fontId="11" fillId="0" borderId="24" xfId="0" applyFont="1" applyBorder="1" applyAlignment="1">
      <alignment vertical="center"/>
    </xf>
    <xf numFmtId="49" fontId="11" fillId="0" borderId="24" xfId="0" applyNumberFormat="1" applyFont="1" applyBorder="1" applyAlignment="1">
      <alignment horizontal="center" vertical="center"/>
    </xf>
    <xf numFmtId="0" fontId="11" fillId="0" borderId="24" xfId="0" applyFont="1" applyBorder="1" applyAlignment="1">
      <alignment vertical="center" wrapText="1"/>
    </xf>
    <xf numFmtId="0" fontId="11" fillId="0" borderId="24" xfId="0" applyFont="1" applyBorder="1" applyAlignment="1">
      <alignment horizontal="center" vertical="center"/>
    </xf>
    <xf numFmtId="0" fontId="11" fillId="0" borderId="28" xfId="0" applyFont="1" applyBorder="1" applyAlignment="1">
      <alignment vertical="center" wrapText="1"/>
    </xf>
    <xf numFmtId="0" fontId="6" fillId="0" borderId="24" xfId="0" applyFont="1" applyFill="1" applyBorder="1" applyAlignment="1">
      <alignment horizontal="center" vertical="center" wrapText="1"/>
    </xf>
    <xf numFmtId="0" fontId="9" fillId="0" borderId="29" xfId="0" applyFont="1" applyBorder="1" applyAlignment="1">
      <alignment horizontal="left" vertical="center"/>
    </xf>
    <xf numFmtId="0" fontId="6" fillId="0" borderId="30" xfId="0" applyFont="1" applyFill="1" applyBorder="1" applyAlignment="1">
      <alignment horizontal="left" vertical="center" wrapText="1"/>
    </xf>
    <xf numFmtId="0" fontId="11" fillId="0" borderId="30" xfId="0" applyFont="1" applyBorder="1" applyAlignment="1">
      <alignment vertical="center"/>
    </xf>
    <xf numFmtId="0" fontId="11" fillId="0" borderId="24" xfId="0" applyFont="1" applyBorder="1" applyAlignment="1">
      <alignment horizontal="left" vertical="center"/>
    </xf>
    <xf numFmtId="0" fontId="11" fillId="0" borderId="9" xfId="0" applyFont="1" applyBorder="1" applyAlignment="1">
      <alignment horizontal="left" vertical="center"/>
    </xf>
    <xf numFmtId="49" fontId="11" fillId="0" borderId="30" xfId="0" applyNumberFormat="1" applyFont="1" applyBorder="1" applyAlignment="1">
      <alignment horizontal="center" vertical="center"/>
    </xf>
    <xf numFmtId="0" fontId="9" fillId="0" borderId="31" xfId="0" applyFont="1" applyBorder="1" applyAlignment="1">
      <alignment horizontal="left" vertical="center"/>
    </xf>
    <xf numFmtId="0" fontId="11" fillId="0" borderId="32" xfId="0" applyFont="1" applyBorder="1" applyAlignment="1">
      <alignment horizontal="center" vertical="center"/>
    </xf>
    <xf numFmtId="0" fontId="11" fillId="0" borderId="32" xfId="0" applyFont="1" applyBorder="1" applyAlignment="1">
      <alignment horizontal="left" vertical="center"/>
    </xf>
    <xf numFmtId="0" fontId="11" fillId="0" borderId="0" xfId="0" applyFont="1" applyBorder="1" applyAlignment="1">
      <alignment vertical="center"/>
    </xf>
    <xf numFmtId="49" fontId="11" fillId="0" borderId="32" xfId="0" applyNumberFormat="1" applyFont="1" applyBorder="1" applyAlignment="1">
      <alignment horizontal="center" vertical="center"/>
    </xf>
    <xf numFmtId="0" fontId="11" fillId="0" borderId="32" xfId="0" applyFont="1" applyBorder="1" applyAlignment="1">
      <alignment vertical="center" wrapText="1"/>
    </xf>
    <xf numFmtId="0" fontId="11" fillId="0" borderId="33" xfId="0" applyFont="1" applyBorder="1" applyAlignment="1">
      <alignment vertical="center" wrapText="1"/>
    </xf>
    <xf numFmtId="0" fontId="9" fillId="0" borderId="25" xfId="0" applyFont="1" applyBorder="1" applyAlignment="1">
      <alignment horizontal="center" vertical="center"/>
    </xf>
    <xf numFmtId="0" fontId="6" fillId="0" borderId="25" xfId="0" applyFont="1" applyFill="1" applyBorder="1" applyAlignment="1">
      <alignment horizontal="left" vertical="center" wrapText="1"/>
    </xf>
    <xf numFmtId="0" fontId="11" fillId="0" borderId="30" xfId="0" applyFont="1" applyBorder="1" applyAlignment="1">
      <alignment horizontal="left" vertical="center"/>
    </xf>
    <xf numFmtId="0" fontId="18" fillId="0" borderId="34" xfId="0" applyFont="1" applyFill="1" applyBorder="1" applyAlignment="1">
      <alignment horizontal="left" vertical="center" wrapText="1"/>
    </xf>
    <xf numFmtId="0" fontId="6" fillId="0" borderId="34" xfId="0" applyFont="1" applyFill="1" applyBorder="1" applyAlignment="1">
      <alignment horizontal="left" vertical="center" wrapText="1"/>
    </xf>
    <xf numFmtId="0" fontId="6" fillId="0" borderId="9" xfId="0" applyFont="1" applyFill="1" applyBorder="1" applyAlignment="1">
      <alignment horizontal="center" vertical="center" wrapText="1"/>
    </xf>
    <xf numFmtId="0" fontId="6" fillId="0" borderId="24" xfId="0" applyFont="1" applyFill="1" applyBorder="1" applyAlignment="1">
      <alignment horizontal="left" vertical="center" wrapText="1"/>
    </xf>
    <xf numFmtId="0" fontId="9" fillId="0" borderId="25" xfId="0" applyFont="1" applyBorder="1" applyAlignment="1">
      <alignment horizontal="left" vertical="center"/>
    </xf>
    <xf numFmtId="0" fontId="9" fillId="0" borderId="24" xfId="0" applyFont="1" applyBorder="1" applyAlignment="1">
      <alignment horizontal="left" vertical="center"/>
    </xf>
    <xf numFmtId="0" fontId="11" fillId="0" borderId="25" xfId="0" applyFont="1" applyBorder="1" applyAlignment="1">
      <alignment horizontal="left" vertical="center"/>
    </xf>
    <xf numFmtId="0" fontId="11" fillId="0" borderId="9" xfId="0" applyFont="1" applyBorder="1" applyAlignment="1">
      <alignment horizontal="center" vertical="center"/>
    </xf>
    <xf numFmtId="0" fontId="11" fillId="0" borderId="14" xfId="0" applyFont="1" applyBorder="1" applyAlignment="1">
      <alignment horizontal="left" vertical="center"/>
    </xf>
    <xf numFmtId="0" fontId="11" fillId="0" borderId="32" xfId="0" applyFont="1" applyBorder="1" applyAlignment="1">
      <alignment vertical="center"/>
    </xf>
    <xf numFmtId="49" fontId="11" fillId="0" borderId="35" xfId="0" applyNumberFormat="1" applyFont="1" applyBorder="1" applyAlignment="1">
      <alignment horizontal="center" vertical="center"/>
    </xf>
    <xf numFmtId="0" fontId="9" fillId="0" borderId="32" xfId="0" applyFont="1" applyBorder="1" applyAlignment="1">
      <alignment horizontal="center" vertical="center"/>
    </xf>
    <xf numFmtId="0" fontId="9" fillId="0" borderId="32" xfId="0" applyFont="1" applyBorder="1" applyAlignment="1">
      <alignment horizontal="left" vertical="center"/>
    </xf>
    <xf numFmtId="0" fontId="9" fillId="0" borderId="1" xfId="0" applyFont="1" applyBorder="1" applyAlignment="1">
      <alignment horizontal="center" vertical="center"/>
    </xf>
    <xf numFmtId="0" fontId="9" fillId="0" borderId="1" xfId="0" applyFont="1" applyBorder="1" applyAlignment="1">
      <alignment horizontal="left" vertical="center"/>
    </xf>
    <xf numFmtId="49" fontId="11" fillId="0" borderId="24" xfId="0" applyNumberFormat="1" applyFont="1" applyBorder="1" applyAlignment="1">
      <alignment vertical="center"/>
    </xf>
    <xf numFmtId="0" fontId="11" fillId="0" borderId="9" xfId="0" applyFont="1" applyBorder="1" applyAlignment="1">
      <alignment vertical="center"/>
    </xf>
    <xf numFmtId="49" fontId="11" fillId="0" borderId="9" xfId="0" applyNumberFormat="1" applyFont="1" applyBorder="1" applyAlignment="1">
      <alignment horizontal="center" vertical="center"/>
    </xf>
    <xf numFmtId="0" fontId="11" fillId="0" borderId="30" xfId="0" applyFont="1" applyBorder="1" applyAlignment="1">
      <alignment horizontal="center" vertical="center"/>
    </xf>
    <xf numFmtId="0" fontId="9" fillId="0" borderId="36" xfId="0" applyFont="1" applyBorder="1" applyAlignment="1">
      <alignment horizontal="left" vertical="center"/>
    </xf>
    <xf numFmtId="0" fontId="11" fillId="0" borderId="37" xfId="0" applyFont="1" applyBorder="1" applyAlignment="1">
      <alignment horizontal="center" vertical="center"/>
    </xf>
    <xf numFmtId="0" fontId="11" fillId="0" borderId="37" xfId="0" applyFont="1" applyBorder="1" applyAlignment="1">
      <alignment horizontal="left" vertical="center"/>
    </xf>
    <xf numFmtId="0" fontId="11" fillId="0" borderId="37" xfId="0" applyFont="1" applyBorder="1" applyAlignment="1">
      <alignment vertical="center"/>
    </xf>
    <xf numFmtId="49" fontId="11" fillId="0" borderId="37" xfId="0" applyNumberFormat="1" applyFont="1" applyBorder="1" applyAlignment="1">
      <alignment horizontal="center"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9" fillId="0" borderId="0" xfId="0" applyFont="1" applyAlignment="1">
      <alignment vertical="center"/>
    </xf>
    <xf numFmtId="0" fontId="87" fillId="0" borderId="0" xfId="0" applyFont="1" applyAlignment="1">
      <alignment vertical="center"/>
    </xf>
    <xf numFmtId="0" fontId="14" fillId="0" borderId="0" xfId="0" applyFont="1"/>
    <xf numFmtId="0" fontId="65" fillId="0" borderId="0" xfId="0" applyFont="1" applyAlignment="1">
      <alignment horizontal="right"/>
    </xf>
    <xf numFmtId="0" fontId="65" fillId="0" borderId="0" xfId="0" applyFont="1" applyAlignment="1">
      <alignment horizontal="center"/>
    </xf>
    <xf numFmtId="0" fontId="65" fillId="0" borderId="0" xfId="0" applyFont="1" applyAlignment="1">
      <alignment horizontal="left"/>
    </xf>
    <xf numFmtId="0" fontId="78" fillId="0" borderId="1" xfId="0" applyFont="1" applyBorder="1" applyAlignment="1">
      <alignment horizontal="center" vertical="center" wrapText="1"/>
    </xf>
    <xf numFmtId="0" fontId="78" fillId="0" borderId="0" xfId="0" applyFont="1" applyAlignment="1">
      <alignment horizontal="center" vertical="center" wrapText="1"/>
    </xf>
    <xf numFmtId="0" fontId="78" fillId="0" borderId="1" xfId="0" applyFont="1" applyBorder="1" applyAlignment="1">
      <alignment horizontal="center" vertical="center" wrapText="1" shrinkToFit="1"/>
    </xf>
    <xf numFmtId="0" fontId="78" fillId="0" borderId="0" xfId="0" applyFont="1" applyAlignment="1">
      <alignment vertical="center"/>
    </xf>
    <xf numFmtId="20" fontId="49" fillId="0" borderId="0" xfId="0" applyNumberFormat="1" applyFont="1" applyAlignment="1">
      <alignment vertical="top"/>
    </xf>
    <xf numFmtId="0" fontId="53" fillId="0" borderId="0" xfId="0" applyFont="1" applyAlignment="1">
      <alignment horizontal="justify" vertical="top" wrapText="1"/>
    </xf>
    <xf numFmtId="0" fontId="61" fillId="0" borderId="39" xfId="0" applyFont="1" applyBorder="1" applyAlignment="1">
      <alignment vertical="center" wrapText="1" shrinkToFit="1"/>
    </xf>
    <xf numFmtId="0" fontId="57" fillId="0" borderId="0" xfId="0" applyFont="1" applyAlignment="1">
      <alignment horizontal="left"/>
    </xf>
    <xf numFmtId="0" fontId="88" fillId="0" borderId="0" xfId="0" applyFont="1" applyAlignment="1">
      <alignment horizontal="center"/>
    </xf>
    <xf numFmtId="0" fontId="89" fillId="0" borderId="0" xfId="0" applyFont="1" applyAlignment="1">
      <alignment horizontal="center"/>
    </xf>
    <xf numFmtId="0" fontId="90" fillId="0" borderId="0" xfId="0" applyFont="1" applyAlignment="1">
      <alignment horizontal="center"/>
    </xf>
    <xf numFmtId="0" fontId="0" fillId="0" borderId="0" xfId="0" applyAlignment="1">
      <alignment horizontal="justify"/>
    </xf>
    <xf numFmtId="0" fontId="90" fillId="0" borderId="0" xfId="0" applyFont="1" applyAlignment="1">
      <alignment horizontal="justify"/>
    </xf>
    <xf numFmtId="0" fontId="91" fillId="0" borderId="0" xfId="0" applyFont="1"/>
    <xf numFmtId="0" fontId="92" fillId="0" borderId="0" xfId="0" applyFont="1" applyAlignment="1">
      <alignment horizontal="justify"/>
    </xf>
    <xf numFmtId="0" fontId="90" fillId="0" borderId="0" xfId="0" applyFont="1" applyAlignment="1">
      <alignment horizontal="left"/>
    </xf>
    <xf numFmtId="0" fontId="93" fillId="0" borderId="0" xfId="0" applyFont="1" applyAlignment="1">
      <alignment horizontal="left"/>
    </xf>
    <xf numFmtId="0" fontId="0" fillId="0" borderId="0" xfId="0" applyAlignment="1">
      <alignment horizontal="left"/>
    </xf>
    <xf numFmtId="0" fontId="90" fillId="0" borderId="0" xfId="0" applyFont="1" applyAlignment="1"/>
    <xf numFmtId="0" fontId="0" fillId="0" borderId="34" xfId="0" applyBorder="1"/>
    <xf numFmtId="0" fontId="90" fillId="0" borderId="0" xfId="0" applyFont="1" applyAlignment="1">
      <alignment horizontal="justify" vertical="center" wrapText="1"/>
    </xf>
    <xf numFmtId="0" fontId="90" fillId="0" borderId="0" xfId="0" applyFont="1" applyAlignment="1" applyProtection="1"/>
    <xf numFmtId="0" fontId="0" fillId="0" borderId="0" xfId="0" applyAlignment="1" applyProtection="1"/>
    <xf numFmtId="0" fontId="90" fillId="0" borderId="0" xfId="0" applyFont="1" applyAlignment="1" applyProtection="1">
      <alignment horizontal="left"/>
    </xf>
    <xf numFmtId="0" fontId="48" fillId="0" borderId="0" xfId="0" applyFont="1"/>
    <xf numFmtId="0" fontId="94" fillId="0" borderId="0" xfId="0" applyFont="1"/>
    <xf numFmtId="0" fontId="48" fillId="0" borderId="1" xfId="0" applyFont="1" applyBorder="1" applyProtection="1"/>
    <xf numFmtId="0" fontId="95" fillId="0" borderId="1" xfId="0" applyFont="1" applyBorder="1" applyAlignment="1" applyProtection="1">
      <alignment horizontal="center" vertical="center" wrapText="1"/>
    </xf>
    <xf numFmtId="0" fontId="0" fillId="0" borderId="0" xfId="0" applyAlignment="1">
      <alignment wrapText="1"/>
    </xf>
    <xf numFmtId="0" fontId="96" fillId="0" borderId="0" xfId="0" applyFont="1" applyAlignment="1">
      <alignment horizontal="justify" wrapText="1"/>
    </xf>
    <xf numFmtId="0" fontId="0" fillId="0" borderId="0" xfId="0" applyAlignment="1"/>
    <xf numFmtId="0" fontId="0" fillId="0" borderId="0" xfId="0" applyBorder="1" applyAlignment="1">
      <alignment horizontal="justify" wrapText="1"/>
    </xf>
    <xf numFmtId="0" fontId="0" fillId="0" borderId="0" xfId="0" applyAlignment="1">
      <alignment horizontal="center" vertical="top"/>
    </xf>
    <xf numFmtId="0" fontId="94" fillId="0" borderId="0" xfId="0" applyFont="1" applyAlignment="1">
      <alignment horizontal="center" vertical="top"/>
    </xf>
    <xf numFmtId="0" fontId="94" fillId="0" borderId="0" xfId="0" applyFont="1" applyAlignment="1">
      <alignment horizontal="center"/>
    </xf>
    <xf numFmtId="14" fontId="96" fillId="0" borderId="0" xfId="0" applyNumberFormat="1" applyFont="1" applyAlignment="1">
      <alignment horizontal="center" vertical="top"/>
    </xf>
    <xf numFmtId="0" fontId="96" fillId="0" borderId="0" xfId="0" applyFont="1" applyAlignment="1">
      <alignment horizontal="center" vertical="top"/>
    </xf>
    <xf numFmtId="0" fontId="51" fillId="0" borderId="0" xfId="0" applyFont="1" applyAlignment="1">
      <alignment horizontal="justify" vertical="top" wrapText="1"/>
    </xf>
    <xf numFmtId="0" fontId="97" fillId="0" borderId="0" xfId="0" applyFont="1" applyAlignment="1">
      <alignment horizontal="justify" vertical="top" wrapText="1"/>
    </xf>
    <xf numFmtId="0" fontId="97" fillId="0" borderId="0" xfId="0" applyFont="1" applyAlignment="1">
      <alignment wrapText="1"/>
    </xf>
    <xf numFmtId="0" fontId="52" fillId="0" borderId="0" xfId="0" applyFont="1" applyAlignment="1">
      <alignment horizontal="center"/>
    </xf>
    <xf numFmtId="0" fontId="98" fillId="0" borderId="0" xfId="0" applyFont="1"/>
    <xf numFmtId="14" fontId="98" fillId="0" borderId="0" xfId="0" applyNumberFormat="1" applyFont="1"/>
    <xf numFmtId="0" fontId="73" fillId="0" borderId="0" xfId="0" applyFont="1" applyAlignment="1">
      <alignment horizontal="center"/>
    </xf>
    <xf numFmtId="0" fontId="73" fillId="0" borderId="0" xfId="0" applyFont="1" applyAlignment="1">
      <alignment horizontal="justify" vertical="top" wrapText="1"/>
    </xf>
    <xf numFmtId="0" fontId="99" fillId="0" borderId="0" xfId="0" applyFont="1" applyAlignment="1">
      <alignment horizontal="justify" vertical="top" wrapText="1"/>
    </xf>
    <xf numFmtId="0" fontId="100" fillId="0" borderId="0" xfId="0" applyFont="1" applyAlignment="1">
      <alignment horizontal="justify" vertical="top" wrapText="1"/>
    </xf>
    <xf numFmtId="0" fontId="101" fillId="0" borderId="1" xfId="0" applyFont="1" applyBorder="1" applyAlignment="1">
      <alignment horizontal="center" vertical="center"/>
    </xf>
    <xf numFmtId="0" fontId="52" fillId="2" borderId="1" xfId="0" applyFont="1" applyFill="1" applyBorder="1" applyAlignment="1">
      <alignment horizontal="right" vertical="center" wrapText="1" indent="1"/>
    </xf>
    <xf numFmtId="0" fontId="68" fillId="0" borderId="0" xfId="0" applyFont="1" applyAlignment="1">
      <alignment horizontal="justify" vertical="top" wrapText="1"/>
    </xf>
    <xf numFmtId="0" fontId="102" fillId="0" borderId="0" xfId="0" applyFont="1" applyAlignment="1">
      <alignment horizontal="justify" vertical="top" wrapText="1"/>
    </xf>
    <xf numFmtId="0" fontId="103" fillId="0" borderId="0" xfId="0" applyFont="1" applyAlignment="1">
      <alignment horizontal="justify" vertical="top" wrapText="1"/>
    </xf>
    <xf numFmtId="0" fontId="78" fillId="0" borderId="0" xfId="0" applyFont="1" applyAlignment="1">
      <alignment horizontal="justify" vertical="top" wrapText="1"/>
    </xf>
    <xf numFmtId="0" fontId="85" fillId="0" borderId="0" xfId="0" applyFont="1" applyAlignment="1">
      <alignment horizontal="justify" vertical="top" wrapText="1"/>
    </xf>
    <xf numFmtId="0" fontId="52" fillId="3" borderId="1" xfId="0" applyFont="1" applyFill="1" applyBorder="1" applyAlignment="1">
      <alignment horizontal="center" vertical="center" wrapText="1"/>
    </xf>
    <xf numFmtId="0" fontId="53" fillId="0" borderId="0" xfId="0" applyFont="1" applyFill="1" applyBorder="1" applyAlignment="1">
      <alignment horizontal="justify"/>
    </xf>
    <xf numFmtId="0" fontId="49" fillId="0" borderId="0" xfId="0" applyFont="1" applyFill="1" applyBorder="1" applyAlignment="1">
      <alignment horizontal="justify" vertical="top" wrapText="1"/>
    </xf>
    <xf numFmtId="164" fontId="54" fillId="0" borderId="1" xfId="0" applyNumberFormat="1" applyFont="1" applyFill="1" applyBorder="1" applyAlignment="1" applyProtection="1">
      <alignment horizontal="left" vertical="center" wrapText="1" indent="1"/>
      <protection locked="0"/>
    </xf>
    <xf numFmtId="0" fontId="61" fillId="0" borderId="1" xfId="0" applyFont="1" applyFill="1" applyBorder="1" applyAlignment="1" applyProtection="1">
      <alignment horizontal="center" vertical="center"/>
      <protection locked="0"/>
    </xf>
    <xf numFmtId="14" fontId="54" fillId="0" borderId="1" xfId="0" applyNumberFormat="1" applyFont="1" applyFill="1" applyBorder="1" applyAlignment="1" applyProtection="1">
      <alignment horizontal="left" vertical="center" wrapText="1" indent="1"/>
      <protection locked="0"/>
    </xf>
    <xf numFmtId="0" fontId="54" fillId="0" borderId="1" xfId="0" applyFont="1" applyFill="1" applyBorder="1" applyAlignment="1" applyProtection="1">
      <alignment horizontal="left" vertical="center" indent="1"/>
      <protection locked="0"/>
    </xf>
    <xf numFmtId="1" fontId="54" fillId="0" borderId="1" xfId="0" applyNumberFormat="1" applyFont="1" applyFill="1" applyBorder="1" applyAlignment="1" applyProtection="1">
      <alignment horizontal="left" vertical="center" indent="1" shrinkToFit="1"/>
      <protection locked="0"/>
    </xf>
    <xf numFmtId="0" fontId="61" fillId="0" borderId="1" xfId="0" applyFont="1" applyFill="1" applyBorder="1" applyAlignment="1" applyProtection="1">
      <alignment horizontal="center" vertical="center" wrapText="1"/>
      <protection locked="0"/>
    </xf>
    <xf numFmtId="0" fontId="54" fillId="0" borderId="1" xfId="0" applyFont="1" applyFill="1" applyBorder="1" applyAlignment="1" applyProtection="1">
      <alignment horizontal="left" vertical="center" wrapText="1" indent="1"/>
      <protection locked="0"/>
    </xf>
    <xf numFmtId="165" fontId="61" fillId="0" borderId="1" xfId="0" applyNumberFormat="1" applyFont="1" applyFill="1" applyBorder="1" applyAlignment="1" applyProtection="1">
      <alignment horizontal="center" vertical="center"/>
      <protection locked="0"/>
    </xf>
    <xf numFmtId="14" fontId="53" fillId="0" borderId="1" xfId="0" applyNumberFormat="1" applyFont="1" applyFill="1" applyBorder="1" applyAlignment="1" applyProtection="1">
      <alignment horizontal="center" vertical="center" shrinkToFit="1"/>
      <protection locked="0"/>
    </xf>
    <xf numFmtId="0" fontId="53" fillId="0" borderId="0" xfId="0" applyFont="1" applyFill="1" applyBorder="1" applyAlignment="1">
      <alignment horizontal="justify" vertical="top" wrapText="1"/>
    </xf>
    <xf numFmtId="0" fontId="50" fillId="0" borderId="1" xfId="0" applyNumberFormat="1" applyFont="1" applyFill="1" applyBorder="1" applyAlignment="1" applyProtection="1">
      <alignment horizontal="left" vertical="center" wrapText="1" indent="1"/>
      <protection locked="0"/>
    </xf>
    <xf numFmtId="0" fontId="53" fillId="0" borderId="0" xfId="0" applyFont="1" applyFill="1" applyProtection="1">
      <protection locked="0"/>
    </xf>
    <xf numFmtId="0" fontId="54" fillId="0" borderId="0" xfId="0" applyFont="1" applyFill="1" applyAlignment="1" applyProtection="1">
      <alignment wrapText="1"/>
    </xf>
    <xf numFmtId="0" fontId="53" fillId="0" borderId="0" xfId="0" applyFont="1" applyFill="1" applyAlignment="1" applyProtection="1">
      <alignment wrapText="1"/>
    </xf>
    <xf numFmtId="0" fontId="50" fillId="0" borderId="0" xfId="0" applyFont="1" applyFill="1" applyAlignment="1" applyProtection="1">
      <alignment horizontal="center" vertical="center"/>
      <protection locked="0"/>
    </xf>
    <xf numFmtId="0" fontId="54" fillId="0" borderId="0" xfId="0" applyFont="1" applyFill="1" applyProtection="1">
      <protection locked="0"/>
    </xf>
    <xf numFmtId="0" fontId="66" fillId="0" borderId="0" xfId="0" applyFont="1" applyFill="1" applyProtection="1">
      <protection locked="0"/>
    </xf>
    <xf numFmtId="0" fontId="61" fillId="0" borderId="0" xfId="0" applyFont="1" applyFill="1" applyProtection="1">
      <protection locked="0"/>
    </xf>
    <xf numFmtId="0" fontId="48" fillId="0" borderId="1" xfId="0" applyFont="1" applyFill="1" applyBorder="1" applyProtection="1"/>
    <xf numFmtId="0" fontId="95" fillId="0" borderId="1" xfId="0" applyFont="1" applyFill="1" applyBorder="1" applyAlignment="1" applyProtection="1">
      <alignment horizontal="center" vertical="center" wrapText="1"/>
    </xf>
    <xf numFmtId="0" fontId="61" fillId="0" borderId="7" xfId="0" applyFont="1" applyBorder="1" applyAlignment="1">
      <alignment horizontal="justify" vertical="center" wrapText="1"/>
    </xf>
    <xf numFmtId="0" fontId="104" fillId="5" borderId="0" xfId="0" applyFont="1" applyFill="1" applyAlignment="1" applyProtection="1">
      <alignment horizontal="left" vertical="top"/>
    </xf>
    <xf numFmtId="0" fontId="104" fillId="5" borderId="0" xfId="0" applyFont="1" applyFill="1" applyAlignment="1" applyProtection="1">
      <alignment vertical="top"/>
    </xf>
    <xf numFmtId="0" fontId="66" fillId="5" borderId="0" xfId="0" applyFont="1" applyFill="1" applyAlignment="1" applyProtection="1">
      <alignment vertical="center"/>
    </xf>
    <xf numFmtId="0" fontId="54" fillId="5" borderId="1" xfId="0" applyFont="1" applyFill="1" applyBorder="1" applyAlignment="1" applyProtection="1">
      <alignment horizontal="center" vertical="center" wrapText="1"/>
    </xf>
    <xf numFmtId="0" fontId="53" fillId="5" borderId="0" xfId="0" applyFont="1" applyFill="1" applyAlignment="1" applyProtection="1">
      <alignment vertical="top"/>
    </xf>
    <xf numFmtId="0" fontId="0" fillId="0" borderId="0" xfId="0" applyBorder="1"/>
    <xf numFmtId="0" fontId="0" fillId="6" borderId="0" xfId="0" applyFill="1" applyBorder="1"/>
    <xf numFmtId="0" fontId="0" fillId="0" borderId="0" xfId="0" applyBorder="1" applyAlignment="1"/>
    <xf numFmtId="0" fontId="24" fillId="0" borderId="1" xfId="0" applyFont="1" applyBorder="1" applyAlignment="1">
      <alignment wrapText="1"/>
    </xf>
    <xf numFmtId="0" fontId="24" fillId="6" borderId="1" xfId="0" applyFont="1" applyFill="1" applyBorder="1" applyAlignment="1">
      <alignment wrapText="1"/>
    </xf>
    <xf numFmtId="0" fontId="0" fillId="6" borderId="0" xfId="0" applyFill="1" applyBorder="1" applyAlignment="1"/>
    <xf numFmtId="0" fontId="24" fillId="3" borderId="1" xfId="0" applyFont="1" applyFill="1" applyBorder="1" applyAlignment="1">
      <alignment wrapText="1"/>
    </xf>
    <xf numFmtId="0" fontId="24" fillId="0" borderId="0" xfId="0" applyFont="1" applyBorder="1" applyAlignment="1">
      <alignment wrapText="1"/>
    </xf>
    <xf numFmtId="0" fontId="24" fillId="6" borderId="0" xfId="0" applyFont="1" applyFill="1" applyBorder="1" applyAlignment="1">
      <alignment wrapText="1"/>
    </xf>
    <xf numFmtId="0" fontId="53" fillId="0" borderId="0" xfId="0" applyFont="1" applyFill="1" applyBorder="1" applyAlignment="1" applyProtection="1">
      <alignment horizontal="justify"/>
    </xf>
    <xf numFmtId="0" fontId="49" fillId="0" borderId="0" xfId="0" applyFont="1" applyFill="1" applyBorder="1" applyAlignment="1" applyProtection="1">
      <alignment horizontal="justify" vertical="top" wrapText="1"/>
    </xf>
    <xf numFmtId="0" fontId="53" fillId="0" borderId="0" xfId="0" applyFont="1" applyBorder="1" applyAlignment="1" applyProtection="1">
      <alignment horizontal="justify"/>
    </xf>
    <xf numFmtId="0" fontId="54" fillId="0" borderId="0" xfId="0" applyFont="1" applyBorder="1" applyAlignment="1" applyProtection="1">
      <alignment horizontal="left" vertical="center" wrapText="1" indent="1"/>
    </xf>
    <xf numFmtId="0" fontId="0" fillId="7" borderId="0" xfId="0" applyFill="1" applyBorder="1"/>
    <xf numFmtId="0" fontId="24" fillId="0" borderId="1" xfId="0" applyFont="1" applyBorder="1" applyAlignment="1">
      <alignment horizontal="center" vertical="center" textRotation="90" wrapText="1"/>
    </xf>
    <xf numFmtId="0" fontId="24" fillId="3" borderId="1" xfId="0" applyFont="1" applyFill="1" applyBorder="1" applyAlignment="1">
      <alignment horizontal="center" vertical="center" textRotation="90" wrapText="1"/>
    </xf>
    <xf numFmtId="0" fontId="24" fillId="0" borderId="1" xfId="0" applyFont="1" applyBorder="1" applyAlignment="1">
      <alignment horizontal="center" vertical="center" wrapText="1"/>
    </xf>
    <xf numFmtId="0" fontId="24" fillId="6" borderId="1" xfId="0" applyFont="1" applyFill="1" applyBorder="1" applyAlignment="1">
      <alignment horizontal="center" vertical="center" textRotation="90" wrapText="1"/>
    </xf>
    <xf numFmtId="0" fontId="24" fillId="0" borderId="1" xfId="0" applyFont="1" applyFill="1" applyBorder="1" applyAlignment="1" applyProtection="1">
      <alignment horizontal="center" vertical="center" wrapText="1"/>
      <protection locked="0"/>
    </xf>
    <xf numFmtId="0" fontId="25" fillId="8" borderId="1" xfId="0" applyFont="1" applyFill="1" applyBorder="1" applyAlignment="1">
      <alignment horizontal="center" vertical="center" wrapText="1"/>
    </xf>
    <xf numFmtId="0" fontId="25" fillId="0" borderId="0" xfId="0" applyFont="1" applyBorder="1" applyAlignment="1">
      <alignment horizontal="right" vertical="center" wrapText="1" indent="1"/>
    </xf>
    <xf numFmtId="0" fontId="24" fillId="0" borderId="1" xfId="0" applyFont="1" applyFill="1" applyBorder="1" applyAlignment="1" applyProtection="1">
      <alignment horizontal="center" vertical="center" textRotation="90" wrapText="1"/>
      <protection locked="0"/>
    </xf>
    <xf numFmtId="0" fontId="24" fillId="0" borderId="1" xfId="0" applyFont="1" applyFill="1" applyBorder="1" applyAlignment="1" applyProtection="1">
      <alignment horizontal="center" textRotation="90" wrapText="1"/>
      <protection locked="0"/>
    </xf>
    <xf numFmtId="1" fontId="24" fillId="0" borderId="1" xfId="0" applyNumberFormat="1" applyFont="1" applyFill="1" applyBorder="1" applyAlignment="1" applyProtection="1">
      <alignment horizontal="center" vertical="center" textRotation="90" wrapText="1"/>
      <protection locked="0"/>
    </xf>
    <xf numFmtId="0" fontId="24" fillId="0" borderId="1" xfId="0" applyNumberFormat="1" applyFont="1" applyFill="1" applyBorder="1" applyAlignment="1" applyProtection="1">
      <alignment horizontal="center" vertical="center" textRotation="90" wrapText="1"/>
      <protection locked="0"/>
    </xf>
    <xf numFmtId="0" fontId="24" fillId="6" borderId="1" xfId="0" applyFont="1" applyFill="1" applyBorder="1" applyAlignment="1" applyProtection="1">
      <alignment horizontal="center" vertical="center" textRotation="90" wrapText="1"/>
      <protection locked="0"/>
    </xf>
    <xf numFmtId="0" fontId="105" fillId="0" borderId="0" xfId="0" applyFont="1" applyAlignment="1">
      <alignment horizontal="left" vertical="top"/>
    </xf>
    <xf numFmtId="0" fontId="81" fillId="0" borderId="0" xfId="0" applyFont="1"/>
    <xf numFmtId="0" fontId="106" fillId="0" borderId="0" xfId="0" applyFont="1" applyAlignment="1">
      <alignment horizontal="right"/>
    </xf>
    <xf numFmtId="0" fontId="30" fillId="0" borderId="0" xfId="0" applyFont="1" applyAlignment="1">
      <alignment horizontal="justify" vertical="top" wrapText="1"/>
    </xf>
    <xf numFmtId="0" fontId="106" fillId="0" borderId="0" xfId="0" applyFont="1" applyAlignment="1">
      <alignment horizontal="center"/>
    </xf>
    <xf numFmtId="0" fontId="106" fillId="0" borderId="0" xfId="0" applyFont="1"/>
    <xf numFmtId="0" fontId="81" fillId="0" borderId="0" xfId="0" applyFont="1" applyBorder="1" applyAlignment="1">
      <alignment horizontal="right" vertical="top"/>
    </xf>
    <xf numFmtId="0" fontId="81" fillId="0" borderId="0" xfId="0" applyFont="1" applyBorder="1" applyAlignment="1">
      <alignment horizontal="left" vertical="top"/>
    </xf>
    <xf numFmtId="0" fontId="81" fillId="0" borderId="0" xfId="0" applyFont="1" applyAlignment="1">
      <alignment horizontal="right"/>
    </xf>
    <xf numFmtId="0" fontId="81" fillId="0" borderId="0" xfId="0" applyFont="1" applyAlignment="1">
      <alignment horizontal="center"/>
    </xf>
    <xf numFmtId="0" fontId="106" fillId="0" borderId="0" xfId="0" applyFont="1" applyBorder="1" applyAlignment="1">
      <alignment vertical="top"/>
    </xf>
    <xf numFmtId="0" fontId="81" fillId="0" borderId="0" xfId="0" applyFont="1" applyAlignment="1">
      <alignment vertical="top"/>
    </xf>
    <xf numFmtId="0" fontId="81" fillId="0" borderId="34" xfId="0" applyFont="1" applyBorder="1"/>
    <xf numFmtId="0" fontId="106" fillId="0" borderId="34" xfId="0" applyFont="1" applyBorder="1" applyAlignment="1">
      <alignment horizontal="right"/>
    </xf>
    <xf numFmtId="0" fontId="106" fillId="0" borderId="34" xfId="0" applyFont="1" applyBorder="1"/>
    <xf numFmtId="0" fontId="81" fillId="0" borderId="0" xfId="0" applyFont="1" applyFill="1" applyProtection="1">
      <protection locked="0"/>
    </xf>
    <xf numFmtId="0" fontId="81" fillId="0" borderId="0" xfId="0" applyNumberFormat="1" applyFont="1" applyAlignment="1" applyProtection="1"/>
    <xf numFmtId="0" fontId="31" fillId="0" borderId="0" xfId="0" applyFont="1" applyAlignment="1">
      <alignment horizontal="justify" vertical="top" wrapText="1"/>
    </xf>
    <xf numFmtId="0" fontId="107" fillId="0" borderId="0" xfId="0" applyFont="1" applyFill="1" applyProtection="1">
      <protection locked="0"/>
    </xf>
    <xf numFmtId="0" fontId="107" fillId="0" borderId="0" xfId="0" applyFont="1"/>
    <xf numFmtId="0" fontId="105" fillId="0" borderId="0" xfId="0" applyFont="1" applyAlignment="1">
      <alignment horizontal="left"/>
    </xf>
    <xf numFmtId="0" fontId="105" fillId="0" borderId="0" xfId="0" applyFont="1"/>
    <xf numFmtId="0" fontId="108" fillId="0" borderId="0" xfId="0" applyFont="1" applyAlignment="1">
      <alignment horizontal="center" vertical="top"/>
    </xf>
    <xf numFmtId="0" fontId="105" fillId="0" borderId="0" xfId="0" applyFont="1" applyAlignment="1">
      <alignment horizontal="right"/>
    </xf>
    <xf numFmtId="0" fontId="106" fillId="0" borderId="0" xfId="0" applyFont="1" applyFill="1" applyProtection="1">
      <protection locked="0"/>
    </xf>
    <xf numFmtId="0" fontId="53" fillId="0" borderId="0" xfId="0" applyFont="1" applyAlignment="1">
      <alignment horizontal="justify" vertical="top" wrapText="1"/>
    </xf>
    <xf numFmtId="0" fontId="53" fillId="0" borderId="0" xfId="0" applyFont="1" applyAlignment="1">
      <alignment shrinkToFit="1"/>
    </xf>
    <xf numFmtId="0" fontId="53" fillId="0" borderId="0" xfId="0" applyFont="1" applyAlignment="1" applyProtection="1">
      <alignment shrinkToFit="1"/>
      <protection locked="0"/>
    </xf>
    <xf numFmtId="0" fontId="81" fillId="0" borderId="0" xfId="0" applyFont="1" applyFill="1" applyProtection="1"/>
    <xf numFmtId="0" fontId="107" fillId="0" borderId="0" xfId="0" applyFont="1" applyAlignment="1">
      <alignment horizontal="right"/>
    </xf>
    <xf numFmtId="20" fontId="53" fillId="0" borderId="0" xfId="0" applyNumberFormat="1" applyFont="1" applyFill="1" applyProtection="1">
      <protection locked="0"/>
    </xf>
    <xf numFmtId="0" fontId="57" fillId="0" borderId="0" xfId="0" applyFont="1" applyAlignment="1" applyProtection="1">
      <alignment horizontal="left" shrinkToFit="1"/>
      <protection locked="0"/>
    </xf>
    <xf numFmtId="17" fontId="57" fillId="0" borderId="0" xfId="0" applyNumberFormat="1" applyFont="1" applyAlignment="1" applyProtection="1">
      <alignment horizontal="left" shrinkToFit="1"/>
      <protection locked="0"/>
    </xf>
    <xf numFmtId="14" fontId="57" fillId="0" borderId="0" xfId="0" applyNumberFormat="1" applyFont="1"/>
    <xf numFmtId="0" fontId="57" fillId="0" borderId="0" xfId="0" applyFont="1" applyAlignment="1" applyProtection="1">
      <alignment horizontal="right"/>
      <protection locked="0"/>
    </xf>
    <xf numFmtId="0" fontId="53" fillId="0" borderId="0" xfId="0" applyFont="1" applyAlignment="1">
      <alignment horizontal="justify" vertical="top" wrapText="1"/>
    </xf>
    <xf numFmtId="0" fontId="53" fillId="0" borderId="1" xfId="0" applyFont="1" applyFill="1" applyBorder="1" applyAlignment="1" applyProtection="1">
      <alignment horizontal="justify" vertical="top" wrapText="1"/>
      <protection locked="0"/>
    </xf>
    <xf numFmtId="0" fontId="54" fillId="0" borderId="1" xfId="0" applyFont="1" applyFill="1" applyBorder="1" applyAlignment="1" applyProtection="1">
      <alignment horizontal="center" vertical="center"/>
      <protection locked="0"/>
    </xf>
    <xf numFmtId="0" fontId="53" fillId="0" borderId="0" xfId="0" applyFont="1" applyFill="1" applyAlignment="1" applyProtection="1">
      <alignment vertical="top" shrinkToFit="1"/>
      <protection locked="0"/>
    </xf>
    <xf numFmtId="0" fontId="53" fillId="0" borderId="0" xfId="0" applyFont="1" applyFill="1" applyAlignment="1" applyProtection="1">
      <alignment vertical="top"/>
      <protection locked="0"/>
    </xf>
    <xf numFmtId="0" fontId="78" fillId="0" borderId="0" xfId="0" applyFont="1" applyFill="1" applyAlignment="1" applyProtection="1">
      <alignment vertical="top"/>
      <protection locked="0"/>
    </xf>
    <xf numFmtId="0" fontId="59" fillId="0" borderId="0" xfId="0" applyFont="1" applyFill="1" applyBorder="1" applyAlignment="1" applyProtection="1">
      <alignment horizontal="right" vertical="top" shrinkToFit="1"/>
      <protection locked="0"/>
    </xf>
    <xf numFmtId="0" fontId="53" fillId="0" borderId="0" xfId="0" applyFont="1" applyFill="1" applyBorder="1" applyAlignment="1" applyProtection="1">
      <alignment horizontal="justify" vertical="top"/>
      <protection locked="0"/>
    </xf>
    <xf numFmtId="0" fontId="51" fillId="0" borderId="40" xfId="0" applyFont="1" applyFill="1" applyBorder="1" applyAlignment="1" applyProtection="1">
      <alignment vertical="top" shrinkToFit="1"/>
      <protection locked="0"/>
    </xf>
    <xf numFmtId="0" fontId="49" fillId="0" borderId="41" xfId="0" applyFont="1" applyFill="1" applyBorder="1" applyAlignment="1" applyProtection="1">
      <alignment vertical="top" wrapText="1"/>
      <protection locked="0"/>
    </xf>
    <xf numFmtId="0" fontId="17" fillId="0" borderId="0" xfId="0" applyFont="1" applyFill="1" applyAlignment="1" applyProtection="1">
      <alignment vertical="top" wrapText="1"/>
      <protection locked="0"/>
    </xf>
    <xf numFmtId="0" fontId="51" fillId="0" borderId="42" xfId="0" applyFont="1" applyFill="1" applyBorder="1" applyAlignment="1" applyProtection="1">
      <alignment vertical="top" shrinkToFit="1"/>
      <protection locked="0"/>
    </xf>
    <xf numFmtId="0" fontId="49" fillId="0" borderId="43" xfId="0" applyFont="1" applyFill="1" applyBorder="1" applyAlignment="1" applyProtection="1">
      <alignment vertical="top" wrapText="1"/>
      <protection locked="0"/>
    </xf>
    <xf numFmtId="0" fontId="78" fillId="0" borderId="0" xfId="0" applyFont="1" applyFill="1" applyAlignment="1" applyProtection="1">
      <alignment vertical="top" wrapText="1"/>
      <protection locked="0"/>
    </xf>
    <xf numFmtId="0" fontId="52" fillId="0" borderId="0" xfId="0" applyFont="1" applyFill="1" applyBorder="1" applyAlignment="1" applyProtection="1">
      <alignment horizontal="right" vertical="top" shrinkToFit="1"/>
      <protection locked="0"/>
    </xf>
    <xf numFmtId="0" fontId="54" fillId="0" borderId="0" xfId="0" applyFont="1" applyFill="1" applyBorder="1" applyAlignment="1" applyProtection="1">
      <alignment horizontal="left" vertical="top" wrapText="1"/>
      <protection locked="0"/>
    </xf>
    <xf numFmtId="0" fontId="52" fillId="0" borderId="1" xfId="0" applyFont="1" applyFill="1" applyBorder="1" applyAlignment="1" applyProtection="1">
      <alignment vertical="top" shrinkToFit="1"/>
      <protection locked="0"/>
    </xf>
    <xf numFmtId="0" fontId="53" fillId="0" borderId="1" xfId="0" applyFont="1" applyFill="1" applyBorder="1" applyAlignment="1" applyProtection="1">
      <alignment vertical="top" wrapText="1"/>
      <protection locked="0"/>
    </xf>
    <xf numFmtId="0" fontId="52" fillId="0" borderId="40" xfId="0" applyFont="1" applyFill="1" applyBorder="1" applyAlignment="1" applyProtection="1">
      <alignment vertical="top" shrinkToFit="1"/>
      <protection locked="0"/>
    </xf>
    <xf numFmtId="0" fontId="53" fillId="0" borderId="41" xfId="0" applyFont="1" applyFill="1" applyBorder="1" applyAlignment="1" applyProtection="1">
      <alignment vertical="top" wrapText="1"/>
      <protection locked="0"/>
    </xf>
    <xf numFmtId="0" fontId="52" fillId="0" borderId="42" xfId="0" applyFont="1" applyFill="1" applyBorder="1" applyAlignment="1" applyProtection="1">
      <alignment vertical="top" shrinkToFit="1"/>
      <protection locked="0"/>
    </xf>
    <xf numFmtId="0" fontId="53" fillId="0" borderId="43" xfId="0" applyFont="1" applyFill="1" applyBorder="1" applyAlignment="1" applyProtection="1">
      <alignment vertical="top" wrapText="1"/>
      <protection locked="0"/>
    </xf>
    <xf numFmtId="0" fontId="53" fillId="0" borderId="41" xfId="0" applyFont="1" applyFill="1" applyBorder="1" applyAlignment="1" applyProtection="1">
      <alignment horizontal="justify" vertical="top" wrapText="1"/>
      <protection locked="0"/>
    </xf>
    <xf numFmtId="0" fontId="50" fillId="0" borderId="40" xfId="0" applyFont="1" applyFill="1" applyBorder="1" applyAlignment="1" applyProtection="1">
      <alignment vertical="top" shrinkToFit="1"/>
      <protection locked="0"/>
    </xf>
    <xf numFmtId="0" fontId="54" fillId="0" borderId="41" xfId="0" applyFont="1" applyFill="1" applyBorder="1" applyAlignment="1" applyProtection="1">
      <alignment horizontal="justify" vertical="top" wrapText="1"/>
      <protection locked="0"/>
    </xf>
    <xf numFmtId="0" fontId="50" fillId="0" borderId="42" xfId="0" applyFont="1" applyFill="1" applyBorder="1" applyAlignment="1" applyProtection="1">
      <alignment vertical="top" shrinkToFit="1"/>
      <protection locked="0"/>
    </xf>
    <xf numFmtId="0" fontId="54" fillId="0" borderId="43" xfId="0" applyFont="1" applyFill="1" applyBorder="1" applyAlignment="1" applyProtection="1">
      <alignment horizontal="justify" vertical="top" wrapText="1"/>
      <protection locked="0"/>
    </xf>
    <xf numFmtId="0" fontId="52" fillId="0" borderId="44" xfId="0" applyFont="1" applyFill="1" applyBorder="1" applyAlignment="1" applyProtection="1">
      <alignment vertical="top" shrinkToFit="1"/>
      <protection locked="0"/>
    </xf>
    <xf numFmtId="0" fontId="53" fillId="0" borderId="12" xfId="0" applyFont="1" applyFill="1" applyBorder="1" applyAlignment="1" applyProtection="1">
      <alignment vertical="top" wrapText="1"/>
      <protection locked="0"/>
    </xf>
    <xf numFmtId="0" fontId="54" fillId="0" borderId="43" xfId="0" applyFont="1" applyFill="1" applyBorder="1" applyAlignment="1" applyProtection="1">
      <alignment vertical="top" wrapText="1"/>
      <protection locked="0"/>
    </xf>
    <xf numFmtId="0" fontId="54" fillId="0" borderId="41" xfId="0" applyFont="1" applyFill="1" applyBorder="1" applyAlignment="1" applyProtection="1">
      <alignment vertical="top" wrapText="1"/>
      <protection locked="0"/>
    </xf>
    <xf numFmtId="0" fontId="109" fillId="0" borderId="43" xfId="0" applyFont="1" applyFill="1" applyBorder="1" applyAlignment="1" applyProtection="1">
      <alignment horizontal="justify" vertical="top" wrapText="1"/>
      <protection locked="0"/>
    </xf>
    <xf numFmtId="0" fontId="53" fillId="0" borderId="12" xfId="0" applyFont="1" applyFill="1" applyBorder="1" applyAlignment="1" applyProtection="1">
      <alignment horizontal="justify" vertical="top" wrapText="1"/>
      <protection locked="0"/>
    </xf>
    <xf numFmtId="0" fontId="53" fillId="0" borderId="43" xfId="0" applyFont="1" applyFill="1" applyBorder="1" applyAlignment="1" applyProtection="1">
      <alignment horizontal="justify" vertical="top" wrapText="1"/>
      <protection locked="0"/>
    </xf>
    <xf numFmtId="0" fontId="50" fillId="0" borderId="44" xfId="0" applyFont="1" applyFill="1" applyBorder="1" applyAlignment="1" applyProtection="1">
      <alignment vertical="top" shrinkToFit="1"/>
      <protection locked="0"/>
    </xf>
    <xf numFmtId="0" fontId="54" fillId="0" borderId="44" xfId="0" applyFont="1" applyFill="1" applyBorder="1" applyAlignment="1" applyProtection="1">
      <alignment horizontal="justify" vertical="top" wrapText="1"/>
      <protection locked="0"/>
    </xf>
    <xf numFmtId="0" fontId="90" fillId="0" borderId="0" xfId="0" applyFont="1" applyAlignment="1">
      <alignment horizontal="right"/>
    </xf>
    <xf numFmtId="0" fontId="110" fillId="0" borderId="0" xfId="0" applyFont="1" applyAlignment="1">
      <alignment horizontal="justify" vertical="center" wrapText="1"/>
    </xf>
    <xf numFmtId="0" fontId="110" fillId="0" borderId="0" xfId="0" applyFont="1" applyAlignment="1">
      <alignment horizontal="left"/>
    </xf>
    <xf numFmtId="0" fontId="48" fillId="0" borderId="0" xfId="0" applyFont="1" applyProtection="1">
      <protection locked="0"/>
    </xf>
    <xf numFmtId="14" fontId="110" fillId="0" borderId="0" xfId="0" applyNumberFormat="1" applyFont="1" applyAlignment="1">
      <alignment horizontal="left"/>
    </xf>
    <xf numFmtId="0" fontId="62" fillId="0" borderId="0" xfId="0" applyFont="1" applyBorder="1" applyAlignment="1">
      <alignment horizontal="justify" wrapText="1"/>
    </xf>
    <xf numFmtId="0" fontId="65" fillId="0" borderId="0" xfId="0" applyFont="1" applyBorder="1" applyAlignment="1">
      <alignment horizontal="justify" wrapText="1"/>
    </xf>
    <xf numFmtId="0" fontId="32" fillId="8" borderId="1" xfId="0" applyFont="1" applyFill="1" applyBorder="1" applyAlignment="1">
      <alignment horizontal="center" vertical="center" wrapText="1"/>
    </xf>
    <xf numFmtId="0" fontId="53" fillId="0" borderId="0" xfId="0" applyFont="1" applyAlignment="1">
      <alignment horizontal="justify" vertical="top" wrapText="1"/>
    </xf>
    <xf numFmtId="0" fontId="53" fillId="0" borderId="0" xfId="0" applyFont="1" applyAlignment="1">
      <alignment horizontal="justify" wrapText="1"/>
    </xf>
    <xf numFmtId="0" fontId="53" fillId="0" borderId="0" xfId="0" applyFont="1" applyFill="1" applyAlignment="1" applyProtection="1">
      <alignment horizontal="justify" wrapText="1"/>
      <protection locked="0"/>
    </xf>
    <xf numFmtId="0" fontId="53" fillId="0" borderId="0" xfId="0" applyFont="1" applyAlignment="1">
      <alignment wrapText="1" shrinkToFit="1"/>
    </xf>
    <xf numFmtId="0" fontId="53" fillId="0" borderId="0" xfId="0" applyFont="1" applyAlignment="1">
      <alignment horizontal="justify" vertical="top" wrapText="1"/>
    </xf>
    <xf numFmtId="0" fontId="0" fillId="0" borderId="0" xfId="0" applyAlignment="1" applyProtection="1">
      <alignment horizontal="justify" wrapText="1"/>
      <protection locked="0"/>
    </xf>
    <xf numFmtId="0" fontId="0" fillId="0" borderId="0" xfId="0" applyAlignment="1">
      <alignment horizontal="justify" wrapText="1"/>
    </xf>
    <xf numFmtId="0" fontId="59" fillId="0" borderId="0" xfId="0" applyFont="1" applyAlignment="1">
      <alignment horizontal="center" vertical="top"/>
    </xf>
    <xf numFmtId="0" fontId="52" fillId="0" borderId="0" xfId="0" applyFont="1" applyBorder="1" applyAlignment="1">
      <alignment horizontal="left" vertical="top"/>
    </xf>
    <xf numFmtId="0" fontId="53" fillId="0" borderId="0" xfId="0" applyFont="1" applyBorder="1" applyAlignment="1">
      <alignment horizontal="center" vertical="top"/>
    </xf>
    <xf numFmtId="14" fontId="53" fillId="0" borderId="0" xfId="0" applyNumberFormat="1" applyFont="1" applyBorder="1" applyAlignment="1">
      <alignment horizontal="right" vertical="top"/>
    </xf>
    <xf numFmtId="0" fontId="53" fillId="0" borderId="0" xfId="0" applyFont="1" applyBorder="1" applyAlignment="1">
      <alignment horizontal="left" vertical="top"/>
    </xf>
    <xf numFmtId="0" fontId="57" fillId="0" borderId="0" xfId="0" applyFont="1" applyBorder="1" applyAlignment="1">
      <alignment horizontal="center" vertical="top"/>
    </xf>
    <xf numFmtId="0" fontId="53" fillId="0" borderId="45" xfId="0" applyFont="1" applyBorder="1" applyAlignment="1">
      <alignment horizontal="right" vertical="top"/>
    </xf>
    <xf numFmtId="0" fontId="53" fillId="0" borderId="45" xfId="0" applyFont="1" applyBorder="1" applyAlignment="1">
      <alignment vertical="top" shrinkToFit="1"/>
    </xf>
    <xf numFmtId="0" fontId="53" fillId="0" borderId="45" xfId="0" applyFont="1" applyBorder="1" applyAlignment="1">
      <alignment vertical="top"/>
    </xf>
    <xf numFmtId="0" fontId="53" fillId="0" borderId="46" xfId="0" applyFont="1" applyBorder="1" applyAlignment="1">
      <alignment vertical="top"/>
    </xf>
    <xf numFmtId="0" fontId="52" fillId="0" borderId="34" xfId="0" applyFont="1" applyBorder="1" applyAlignment="1">
      <alignment vertical="top"/>
    </xf>
    <xf numFmtId="0" fontId="52" fillId="0" borderId="47" xfId="0" applyFont="1" applyBorder="1" applyAlignment="1">
      <alignment vertical="top"/>
    </xf>
    <xf numFmtId="0" fontId="52" fillId="0" borderId="30" xfId="0" applyFont="1" applyBorder="1" applyAlignment="1">
      <alignment vertical="top"/>
    </xf>
    <xf numFmtId="0" fontId="52" fillId="0" borderId="48" xfId="0" applyFont="1" applyBorder="1" applyAlignment="1">
      <alignment vertical="top"/>
    </xf>
    <xf numFmtId="0" fontId="53" fillId="0" borderId="35" xfId="0" applyFont="1" applyBorder="1" applyAlignment="1">
      <alignment vertical="top"/>
    </xf>
    <xf numFmtId="0" fontId="53" fillId="0" borderId="34" xfId="0" applyFont="1" applyBorder="1" applyAlignment="1">
      <alignment vertical="top"/>
    </xf>
    <xf numFmtId="0" fontId="53" fillId="0" borderId="47" xfId="0" applyFont="1" applyBorder="1" applyAlignment="1">
      <alignment vertical="top"/>
    </xf>
    <xf numFmtId="0" fontId="52" fillId="0" borderId="0" xfId="0" applyFont="1" applyAlignment="1">
      <alignment horizontal="justify" vertical="top"/>
    </xf>
    <xf numFmtId="0" fontId="75" fillId="0" borderId="0" xfId="0" applyFont="1" applyAlignment="1">
      <alignment horizontal="justify" vertical="center" wrapText="1"/>
    </xf>
    <xf numFmtId="0" fontId="71" fillId="0" borderId="1" xfId="0" applyFont="1" applyBorder="1" applyAlignment="1">
      <alignment horizontal="right" vertical="center" wrapText="1"/>
    </xf>
    <xf numFmtId="0" fontId="53" fillId="5" borderId="0" xfId="0" applyFont="1" applyFill="1" applyBorder="1" applyAlignment="1">
      <alignment horizontal="justify"/>
    </xf>
    <xf numFmtId="0" fontId="53" fillId="5" borderId="0" xfId="0" applyFont="1" applyFill="1" applyBorder="1" applyAlignment="1" applyProtection="1">
      <alignment horizontal="justify"/>
    </xf>
    <xf numFmtId="0" fontId="0" fillId="5" borderId="9" xfId="0" applyFont="1" applyFill="1" applyBorder="1" applyAlignment="1"/>
    <xf numFmtId="0" fontId="54" fillId="5" borderId="0" xfId="0" applyFont="1" applyFill="1" applyBorder="1" applyAlignment="1">
      <alignment horizontal="center" vertical="center"/>
    </xf>
    <xf numFmtId="0" fontId="53" fillId="5" borderId="0" xfId="0" applyFont="1" applyFill="1" applyBorder="1" applyAlignment="1">
      <alignment horizontal="center" vertical="center" wrapText="1"/>
    </xf>
    <xf numFmtId="0" fontId="53" fillId="5" borderId="0" xfId="0" applyFont="1" applyFill="1" applyBorder="1" applyAlignment="1">
      <alignment horizontal="center" vertical="center"/>
    </xf>
    <xf numFmtId="0" fontId="53" fillId="5" borderId="0" xfId="0" applyFont="1" applyFill="1" applyBorder="1" applyAlignment="1" applyProtection="1">
      <alignment horizontal="left" vertical="center" wrapText="1"/>
    </xf>
    <xf numFmtId="14" fontId="52" fillId="0" borderId="1" xfId="0" applyNumberFormat="1" applyFont="1" applyFill="1" applyBorder="1" applyAlignment="1" applyProtection="1">
      <alignment horizontal="center" vertical="center"/>
      <protection locked="0"/>
    </xf>
    <xf numFmtId="14" fontId="51" fillId="0" borderId="1" xfId="0" applyNumberFormat="1" applyFont="1" applyFill="1" applyBorder="1" applyAlignment="1" applyProtection="1">
      <alignment horizontal="center" vertical="center" wrapText="1"/>
      <protection locked="0"/>
    </xf>
    <xf numFmtId="0" fontId="83" fillId="0" borderId="48" xfId="0" applyFont="1" applyBorder="1"/>
    <xf numFmtId="0" fontId="84" fillId="0" borderId="48" xfId="0" applyFont="1" applyBorder="1" applyAlignment="1">
      <alignment horizontal="center"/>
    </xf>
    <xf numFmtId="0" fontId="53" fillId="0" borderId="1" xfId="0" applyFont="1" applyBorder="1" applyAlignment="1">
      <alignment horizontal="center" vertical="center"/>
    </xf>
    <xf numFmtId="0" fontId="53" fillId="6" borderId="1" xfId="0" applyFont="1" applyFill="1" applyBorder="1" applyAlignment="1" applyProtection="1">
      <alignment horizontal="center" vertical="center"/>
    </xf>
    <xf numFmtId="0" fontId="52" fillId="0" borderId="1" xfId="0" applyFont="1" applyBorder="1" applyAlignment="1">
      <alignment horizontal="center" vertical="center"/>
    </xf>
    <xf numFmtId="0" fontId="53" fillId="0" borderId="1" xfId="0" applyFont="1" applyBorder="1" applyAlignment="1" applyProtection="1">
      <alignment horizontal="center" vertical="center"/>
      <protection locked="0"/>
    </xf>
    <xf numFmtId="0" fontId="71" fillId="3" borderId="1" xfId="0" applyFont="1" applyFill="1" applyBorder="1" applyAlignment="1">
      <alignment horizontal="center" vertical="center" wrapText="1"/>
    </xf>
    <xf numFmtId="0" fontId="53" fillId="0" borderId="0" xfId="0" applyFont="1" applyAlignment="1">
      <alignment horizontal="justify" vertical="top" wrapText="1"/>
    </xf>
    <xf numFmtId="0" fontId="83" fillId="0" borderId="0" xfId="0" applyFont="1" applyAlignment="1">
      <alignment horizontal="justify" vertical="center" wrapText="1"/>
    </xf>
    <xf numFmtId="0" fontId="61" fillId="0" borderId="0" xfId="0" applyFont="1" applyAlignment="1">
      <alignment horizontal="justify" wrapText="1"/>
    </xf>
    <xf numFmtId="0" fontId="54" fillId="5" borderId="1" xfId="0" applyFont="1" applyFill="1" applyBorder="1" applyAlignment="1">
      <alignment horizontal="center" vertical="center"/>
    </xf>
    <xf numFmtId="0" fontId="52" fillId="5" borderId="1" xfId="0" applyFont="1" applyFill="1" applyBorder="1" applyAlignment="1">
      <alignment horizontal="center" vertical="center" wrapText="1" shrinkToFit="1"/>
    </xf>
    <xf numFmtId="0" fontId="76" fillId="5" borderId="1" xfId="0" applyFont="1" applyFill="1" applyBorder="1" applyAlignment="1">
      <alignment horizontal="center" vertical="center" wrapText="1" shrinkToFit="1"/>
    </xf>
    <xf numFmtId="0" fontId="61" fillId="0" borderId="7" xfId="0" applyFont="1" applyBorder="1" applyAlignment="1" applyProtection="1">
      <alignment horizontal="left" vertical="center"/>
      <protection locked="0"/>
    </xf>
    <xf numFmtId="0" fontId="54" fillId="5" borderId="0" xfId="0" applyFont="1" applyFill="1" applyBorder="1" applyAlignment="1" applyProtection="1">
      <alignment horizontal="left" vertical="center" wrapText="1" indent="1"/>
    </xf>
    <xf numFmtId="0" fontId="49" fillId="5" borderId="0" xfId="0" applyFont="1" applyFill="1" applyBorder="1" applyAlignment="1" applyProtection="1">
      <alignment horizontal="justify" vertical="top" wrapText="1"/>
    </xf>
    <xf numFmtId="0" fontId="49" fillId="5" borderId="0" xfId="0" applyFont="1" applyFill="1" applyBorder="1" applyAlignment="1">
      <alignment horizontal="justify" vertical="top" wrapText="1"/>
    </xf>
    <xf numFmtId="0" fontId="52" fillId="5" borderId="1" xfId="0" applyFont="1" applyFill="1" applyBorder="1" applyAlignment="1">
      <alignment horizontal="center" vertical="center"/>
    </xf>
    <xf numFmtId="166" fontId="59" fillId="5" borderId="1" xfId="0" applyNumberFormat="1" applyFont="1" applyFill="1" applyBorder="1" applyAlignment="1">
      <alignment horizontal="center" vertical="center" wrapText="1"/>
    </xf>
    <xf numFmtId="0" fontId="51" fillId="2" borderId="1" xfId="0" applyFont="1" applyFill="1" applyBorder="1" applyAlignment="1">
      <alignment horizontal="center" vertical="center" wrapText="1" shrinkToFit="1"/>
    </xf>
    <xf numFmtId="0" fontId="50" fillId="5" borderId="1" xfId="0" applyFont="1" applyFill="1" applyBorder="1" applyAlignment="1">
      <alignment horizontal="center" vertical="center" wrapText="1"/>
    </xf>
    <xf numFmtId="0" fontId="52" fillId="9" borderId="1" xfId="0" applyFont="1" applyFill="1" applyBorder="1" applyAlignment="1">
      <alignment horizontal="center" vertical="center" wrapText="1"/>
    </xf>
    <xf numFmtId="0" fontId="78" fillId="0" borderId="0" xfId="0" applyFont="1" applyAlignment="1">
      <alignment horizontal="center"/>
    </xf>
    <xf numFmtId="0" fontId="111" fillId="0" borderId="0" xfId="0" applyFont="1" applyBorder="1" applyAlignment="1">
      <alignment vertical="top"/>
    </xf>
    <xf numFmtId="0" fontId="76" fillId="0" borderId="0" xfId="0" applyFont="1"/>
    <xf numFmtId="0" fontId="62" fillId="0" borderId="0" xfId="0" applyFont="1" applyAlignment="1">
      <alignment horizontal="right"/>
    </xf>
    <xf numFmtId="0" fontId="62" fillId="0" borderId="0" xfId="0" applyFont="1" applyFill="1" applyAlignment="1" applyProtection="1">
      <alignment horizontal="center"/>
      <protection locked="0"/>
    </xf>
    <xf numFmtId="1" fontId="65" fillId="0" borderId="0" xfId="0" applyNumberFormat="1" applyFont="1" applyProtection="1"/>
    <xf numFmtId="0" fontId="52" fillId="0" borderId="0" xfId="0" applyFont="1" applyAlignment="1">
      <alignment horizontal="left"/>
    </xf>
    <xf numFmtId="0" fontId="54" fillId="0" borderId="1" xfId="0" applyFont="1" applyFill="1" applyBorder="1" applyAlignment="1" applyProtection="1">
      <alignment horizontal="justify" vertical="center" wrapText="1"/>
      <protection locked="0"/>
    </xf>
    <xf numFmtId="0" fontId="53" fillId="6" borderId="1" xfId="0" applyFont="1" applyFill="1" applyBorder="1" applyAlignment="1" applyProtection="1">
      <alignment horizontal="center" vertical="center"/>
      <protection locked="0"/>
    </xf>
    <xf numFmtId="0" fontId="53" fillId="0" borderId="0" xfId="0" applyFont="1" applyAlignment="1">
      <alignment horizontal="right" vertical="top"/>
    </xf>
    <xf numFmtId="0" fontId="53" fillId="0" borderId="0" xfId="0" applyFont="1" applyAlignment="1">
      <alignment horizontal="right" shrinkToFit="1"/>
    </xf>
    <xf numFmtId="0" fontId="75" fillId="3" borderId="1" xfId="0" applyFont="1" applyFill="1" applyBorder="1" applyAlignment="1">
      <alignment horizontal="center" vertical="center" wrapText="1"/>
    </xf>
    <xf numFmtId="0" fontId="75" fillId="3" borderId="1" xfId="0" applyFont="1" applyFill="1" applyBorder="1" applyAlignment="1">
      <alignment horizontal="center" vertical="center" wrapText="1" shrinkToFit="1"/>
    </xf>
    <xf numFmtId="0" fontId="54" fillId="0" borderId="1" xfId="0" applyFont="1" applyBorder="1" applyAlignment="1">
      <alignment horizontal="left" vertical="center" wrapText="1" indent="1"/>
    </xf>
    <xf numFmtId="0" fontId="53" fillId="5" borderId="1" xfId="0" applyNumberFormat="1" applyFont="1" applyFill="1" applyBorder="1" applyAlignment="1">
      <alignment horizontal="center" vertical="center" wrapText="1"/>
    </xf>
    <xf numFmtId="0" fontId="70" fillId="0" borderId="1" xfId="0" applyFont="1" applyBorder="1" applyAlignment="1">
      <alignment horizontal="center" vertical="center" wrapText="1"/>
    </xf>
    <xf numFmtId="0" fontId="53" fillId="5" borderId="0" xfId="0" applyFont="1" applyFill="1" applyAlignment="1">
      <alignment vertical="top"/>
    </xf>
    <xf numFmtId="0" fontId="53" fillId="0" borderId="0" xfId="0" applyFont="1" applyAlignment="1">
      <alignment horizontal="justify" vertical="top" wrapText="1"/>
    </xf>
    <xf numFmtId="0" fontId="83" fillId="0" borderId="0" xfId="0" applyFont="1" applyFill="1" applyBorder="1" applyAlignment="1" applyProtection="1">
      <alignment horizontal="justify" vertical="center" wrapText="1"/>
      <protection locked="0"/>
    </xf>
    <xf numFmtId="0" fontId="83" fillId="0" borderId="0" xfId="0" applyFont="1" applyAlignment="1">
      <alignment horizontal="justify" vertical="center" wrapText="1"/>
    </xf>
    <xf numFmtId="0" fontId="83" fillId="0" borderId="0" xfId="0" applyFont="1" applyAlignment="1">
      <alignment horizontal="justify" vertical="center" wrapText="1"/>
    </xf>
    <xf numFmtId="0" fontId="53" fillId="0" borderId="0" xfId="0" applyFont="1" applyAlignment="1">
      <alignment horizontal="justify" vertical="top" wrapText="1"/>
    </xf>
    <xf numFmtId="0" fontId="53" fillId="0" borderId="0" xfId="0" applyFont="1" applyAlignment="1">
      <alignment wrapText="1" shrinkToFit="1"/>
    </xf>
    <xf numFmtId="0" fontId="54" fillId="0" borderId="1" xfId="0" applyFont="1" applyFill="1" applyBorder="1" applyAlignment="1" applyProtection="1">
      <alignment horizontal="center" vertical="center"/>
      <protection locked="0"/>
    </xf>
    <xf numFmtId="0" fontId="71" fillId="5" borderId="1" xfId="0" applyFont="1" applyFill="1" applyBorder="1" applyAlignment="1">
      <alignment horizontal="center" vertical="center" wrapText="1" shrinkToFit="1"/>
    </xf>
    <xf numFmtId="0" fontId="0" fillId="0" borderId="1" xfId="0" applyBorder="1" applyAlignment="1">
      <alignment horizontal="center" vertical="center"/>
    </xf>
    <xf numFmtId="1" fontId="61" fillId="5" borderId="1" xfId="0" applyNumberFormat="1" applyFont="1" applyFill="1" applyBorder="1" applyAlignment="1">
      <alignment horizontal="center" vertical="center"/>
    </xf>
    <xf numFmtId="0" fontId="61" fillId="5" borderId="1" xfId="0" applyFont="1" applyFill="1" applyBorder="1" applyAlignment="1">
      <alignment horizontal="center" vertical="center" wrapText="1" shrinkToFit="1"/>
    </xf>
    <xf numFmtId="0" fontId="47" fillId="0" borderId="0" xfId="0" applyFont="1" applyAlignment="1">
      <alignment wrapText="1"/>
    </xf>
    <xf numFmtId="0" fontId="0" fillId="0" borderId="0" xfId="0" applyAlignment="1">
      <alignment horizontal="center" vertical="center"/>
    </xf>
    <xf numFmtId="0" fontId="112" fillId="0" borderId="0" xfId="0" applyFont="1"/>
    <xf numFmtId="0" fontId="112" fillId="0" borderId="0" xfId="0" applyFont="1" applyAlignment="1">
      <alignment horizontal="center" vertical="center"/>
    </xf>
    <xf numFmtId="0" fontId="112" fillId="5" borderId="49" xfId="0" applyFont="1" applyFill="1" applyBorder="1" applyAlignment="1">
      <alignment horizontal="center" vertical="center"/>
    </xf>
    <xf numFmtId="0" fontId="112" fillId="5" borderId="50" xfId="0" applyFont="1" applyFill="1" applyBorder="1" applyAlignment="1">
      <alignment horizontal="center" vertical="center"/>
    </xf>
    <xf numFmtId="0" fontId="112" fillId="0" borderId="31" xfId="0" applyFont="1" applyBorder="1" applyAlignment="1">
      <alignment horizontal="center" vertical="center"/>
    </xf>
    <xf numFmtId="0" fontId="112" fillId="0" borderId="32" xfId="0" applyFont="1" applyBorder="1" applyAlignment="1">
      <alignment horizontal="center" vertical="center"/>
    </xf>
    <xf numFmtId="0" fontId="112" fillId="0" borderId="33" xfId="0" applyFont="1" applyBorder="1" applyAlignment="1">
      <alignment horizontal="center" vertical="center"/>
    </xf>
    <xf numFmtId="0" fontId="112" fillId="0" borderId="21" xfId="0" applyFont="1" applyBorder="1" applyAlignment="1">
      <alignment horizontal="center" vertical="center"/>
    </xf>
    <xf numFmtId="0" fontId="112" fillId="0" borderId="1" xfId="0" applyFont="1" applyBorder="1" applyAlignment="1">
      <alignment horizontal="center" vertical="center"/>
    </xf>
    <xf numFmtId="0" fontId="112" fillId="0" borderId="22" xfId="0" applyFont="1" applyBorder="1" applyAlignment="1">
      <alignment horizontal="center" vertical="center"/>
    </xf>
    <xf numFmtId="0" fontId="112" fillId="0" borderId="51" xfId="0" applyFont="1" applyBorder="1" applyAlignment="1">
      <alignment horizontal="center" vertical="center"/>
    </xf>
    <xf numFmtId="0" fontId="112" fillId="0" borderId="49" xfId="0" applyFont="1" applyBorder="1" applyAlignment="1">
      <alignment horizontal="center" vertical="center"/>
    </xf>
    <xf numFmtId="0" fontId="112" fillId="0" borderId="50" xfId="0" applyFont="1" applyBorder="1" applyAlignment="1">
      <alignment horizontal="center" vertical="center"/>
    </xf>
    <xf numFmtId="0" fontId="112" fillId="0" borderId="0" xfId="0" applyFont="1" applyAlignment="1">
      <alignment wrapText="1"/>
    </xf>
    <xf numFmtId="0" fontId="112" fillId="0" borderId="1" xfId="0" applyFont="1" applyBorder="1"/>
    <xf numFmtId="0" fontId="112" fillId="0" borderId="1" xfId="0" applyFont="1" applyBorder="1" applyAlignment="1">
      <alignment horizontal="left" vertical="center"/>
    </xf>
    <xf numFmtId="0" fontId="83" fillId="0" borderId="0" xfId="0" applyFont="1" applyAlignment="1">
      <alignment horizontal="justify" vertical="center" wrapText="1"/>
    </xf>
    <xf numFmtId="0" fontId="112" fillId="0" borderId="22" xfId="0" applyFont="1" applyBorder="1" applyAlignment="1">
      <alignment horizontal="center" vertical="center"/>
    </xf>
    <xf numFmtId="0" fontId="49" fillId="0" borderId="0" xfId="0" applyFont="1" applyAlignment="1">
      <alignment horizontal="left" vertical="top"/>
    </xf>
    <xf numFmtId="14" fontId="49" fillId="0" borderId="0" xfId="0" applyNumberFormat="1" applyFont="1" applyAlignment="1">
      <alignment vertical="top"/>
    </xf>
    <xf numFmtId="0" fontId="49" fillId="0" borderId="0" xfId="0" applyFont="1" applyAlignment="1">
      <alignment horizontal="left" wrapText="1"/>
    </xf>
    <xf numFmtId="0" fontId="49" fillId="0" borderId="9" xfId="0" applyFont="1" applyBorder="1" applyAlignment="1">
      <alignment horizontal="left" vertical="top"/>
    </xf>
    <xf numFmtId="14" fontId="113" fillId="0" borderId="0" xfId="0" applyNumberFormat="1" applyFont="1" applyBorder="1" applyAlignment="1">
      <alignment vertical="top" shrinkToFit="1"/>
    </xf>
    <xf numFmtId="14" fontId="49" fillId="0" borderId="30" xfId="0" applyNumberFormat="1" applyFont="1" applyBorder="1" applyAlignment="1">
      <alignment vertical="top"/>
    </xf>
    <xf numFmtId="0" fontId="113" fillId="0" borderId="0" xfId="0" applyFont="1" applyBorder="1" applyAlignment="1">
      <alignment horizontal="left" vertical="top" shrinkToFit="1"/>
    </xf>
    <xf numFmtId="0" fontId="113" fillId="0" borderId="30" xfId="0" applyFont="1" applyBorder="1" applyAlignment="1">
      <alignment horizontal="left" vertical="top" shrinkToFit="1"/>
    </xf>
    <xf numFmtId="0" fontId="49" fillId="0" borderId="30" xfId="0" applyFont="1" applyBorder="1" applyAlignment="1">
      <alignment horizontal="left" vertical="top"/>
    </xf>
    <xf numFmtId="0" fontId="53" fillId="0" borderId="30" xfId="0" applyFont="1" applyBorder="1" applyAlignment="1">
      <alignment horizontal="left" vertical="top"/>
    </xf>
    <xf numFmtId="0" fontId="49" fillId="0" borderId="30" xfId="0" applyFont="1" applyBorder="1" applyAlignment="1">
      <alignment horizontal="right" vertical="top"/>
    </xf>
    <xf numFmtId="0" fontId="49" fillId="0" borderId="14" xfId="0" applyFont="1" applyBorder="1" applyAlignment="1">
      <alignment horizontal="left" vertical="top"/>
    </xf>
    <xf numFmtId="0" fontId="49" fillId="0" borderId="48" xfId="0" applyFont="1" applyBorder="1" applyAlignment="1">
      <alignment horizontal="left" vertical="top"/>
    </xf>
    <xf numFmtId="0" fontId="49" fillId="0" borderId="35" xfId="0" applyFont="1" applyBorder="1" applyAlignment="1">
      <alignment horizontal="left" vertical="top"/>
    </xf>
    <xf numFmtId="0" fontId="0" fillId="0" borderId="1" xfId="0" applyBorder="1" applyAlignment="1">
      <alignment horizontal="center" vertical="center"/>
    </xf>
    <xf numFmtId="0" fontId="112" fillId="0" borderId="1" xfId="0" applyFont="1" applyBorder="1" applyAlignment="1">
      <alignment horizontal="center" vertical="center"/>
    </xf>
    <xf numFmtId="0" fontId="0" fillId="0" borderId="1" xfId="0" applyBorder="1" applyAlignment="1">
      <alignment horizontal="center" vertical="center"/>
    </xf>
    <xf numFmtId="0" fontId="112" fillId="0" borderId="22" xfId="0" applyFont="1" applyBorder="1" applyAlignment="1">
      <alignment horizontal="center" vertical="center"/>
    </xf>
    <xf numFmtId="0" fontId="112" fillId="0" borderId="1" xfId="0" applyFont="1" applyBorder="1" applyAlignment="1">
      <alignment horizontal="center" vertical="center"/>
    </xf>
    <xf numFmtId="0" fontId="112" fillId="0" borderId="6" xfId="0" applyFont="1" applyBorder="1" applyAlignment="1">
      <alignment horizontal="center" vertical="center"/>
    </xf>
    <xf numFmtId="0" fontId="112" fillId="0" borderId="16" xfId="0" applyFont="1" applyBorder="1" applyAlignment="1">
      <alignment horizontal="center" vertical="center"/>
    </xf>
    <xf numFmtId="0" fontId="112" fillId="0" borderId="1" xfId="0" applyNumberFormat="1" applyFont="1" applyBorder="1" applyAlignment="1">
      <alignment horizontal="center" vertical="center"/>
    </xf>
    <xf numFmtId="0" fontId="54" fillId="0" borderId="0" xfId="0" applyFont="1" applyFill="1" applyAlignment="1" applyProtection="1">
      <alignment horizontal="justify" vertical="top" wrapText="1"/>
      <protection locked="0"/>
    </xf>
    <xf numFmtId="0" fontId="54" fillId="0" borderId="1" xfId="0" applyFont="1" applyFill="1" applyBorder="1" applyAlignment="1" applyProtection="1">
      <alignment horizontal="justify" vertical="center" wrapText="1"/>
      <protection locked="0"/>
    </xf>
    <xf numFmtId="0" fontId="53" fillId="0" borderId="0" xfId="0" applyFont="1" applyAlignment="1">
      <alignment horizontal="justify" vertical="top" wrapText="1"/>
    </xf>
    <xf numFmtId="0" fontId="106" fillId="0" borderId="0" xfId="0" applyFont="1" applyBorder="1" applyAlignment="1" applyProtection="1">
      <alignment horizontal="left" vertical="top"/>
    </xf>
    <xf numFmtId="0" fontId="81" fillId="0" borderId="0" xfId="0" applyFont="1" applyBorder="1" applyAlignment="1" applyProtection="1">
      <alignment horizontal="left" vertical="top"/>
    </xf>
    <xf numFmtId="0" fontId="81" fillId="0" borderId="0" xfId="0" applyFont="1" applyBorder="1" applyAlignment="1" applyProtection="1">
      <alignment horizontal="right" vertical="top"/>
    </xf>
    <xf numFmtId="0" fontId="106" fillId="0" borderId="0" xfId="0" applyFont="1" applyBorder="1" applyAlignment="1" applyProtection="1">
      <alignment horizontal="right" vertical="top"/>
    </xf>
    <xf numFmtId="0" fontId="106" fillId="0" borderId="0" xfId="0" applyFont="1" applyFill="1" applyBorder="1" applyAlignment="1" applyProtection="1">
      <alignment horizontal="center" vertical="top"/>
    </xf>
    <xf numFmtId="0" fontId="81" fillId="0" borderId="0" xfId="0" applyFont="1" applyBorder="1" applyAlignment="1" applyProtection="1">
      <alignment horizontal="left" vertical="top" shrinkToFit="1"/>
    </xf>
    <xf numFmtId="0" fontId="52" fillId="6" borderId="1" xfId="0" applyFont="1" applyFill="1" applyBorder="1" applyAlignment="1">
      <alignment horizontal="center" vertical="center" wrapText="1"/>
    </xf>
    <xf numFmtId="1" fontId="54" fillId="6" borderId="1" xfId="0" applyNumberFormat="1" applyFont="1" applyFill="1" applyBorder="1" applyAlignment="1" applyProtection="1">
      <alignment horizontal="center" vertical="center" wrapText="1"/>
    </xf>
    <xf numFmtId="0" fontId="84" fillId="0" borderId="1" xfId="0" applyFont="1" applyFill="1" applyBorder="1" applyAlignment="1" applyProtection="1">
      <alignment horizontal="center" vertical="center"/>
      <protection locked="0"/>
    </xf>
    <xf numFmtId="0" fontId="53" fillId="0" borderId="0" xfId="0" applyFont="1" applyAlignment="1">
      <alignment horizontal="justify" vertical="top" wrapText="1"/>
    </xf>
    <xf numFmtId="0" fontId="10" fillId="0" borderId="18" xfId="0" applyFont="1" applyFill="1" applyBorder="1" applyAlignment="1">
      <alignment horizontal="center" vertical="center" wrapText="1"/>
    </xf>
    <xf numFmtId="0" fontId="10" fillId="0" borderId="19" xfId="0" applyFont="1" applyFill="1" applyBorder="1" applyAlignment="1">
      <alignment horizontal="center" vertical="center" wrapText="1"/>
    </xf>
    <xf numFmtId="49" fontId="10" fillId="0" borderId="19" xfId="0" applyNumberFormat="1" applyFont="1" applyFill="1" applyBorder="1" applyAlignment="1">
      <alignment horizontal="center" vertical="center" wrapText="1"/>
    </xf>
    <xf numFmtId="0" fontId="10" fillId="0" borderId="20" xfId="0" applyFont="1" applyFill="1" applyBorder="1" applyAlignment="1">
      <alignment horizontal="center" vertical="center" wrapText="1"/>
    </xf>
    <xf numFmtId="0" fontId="10" fillId="0" borderId="25" xfId="0" applyFont="1" applyBorder="1" applyAlignment="1">
      <alignment vertical="center" wrapText="1"/>
    </xf>
    <xf numFmtId="0" fontId="10" fillId="0" borderId="26" xfId="0" applyFont="1" applyBorder="1" applyAlignment="1">
      <alignment vertical="center" wrapText="1"/>
    </xf>
    <xf numFmtId="0" fontId="10" fillId="0" borderId="24" xfId="0" applyFont="1" applyBorder="1" applyAlignment="1">
      <alignment vertical="center" wrapText="1"/>
    </xf>
    <xf numFmtId="0" fontId="10" fillId="0" borderId="28" xfId="0" applyFont="1" applyBorder="1" applyAlignment="1">
      <alignment vertical="center" wrapText="1"/>
    </xf>
    <xf numFmtId="0" fontId="10" fillId="0" borderId="32" xfId="0" applyFont="1" applyBorder="1" applyAlignment="1">
      <alignment vertical="center" wrapText="1"/>
    </xf>
    <xf numFmtId="0" fontId="10" fillId="0" borderId="33" xfId="0" applyFont="1" applyBorder="1" applyAlignment="1">
      <alignment vertical="center" wrapText="1"/>
    </xf>
    <xf numFmtId="0" fontId="10" fillId="0" borderId="37" xfId="0" applyFont="1" applyBorder="1" applyAlignment="1">
      <alignment vertical="center" wrapText="1"/>
    </xf>
    <xf numFmtId="0" fontId="10" fillId="0" borderId="38" xfId="0" applyFont="1" applyBorder="1" applyAlignment="1">
      <alignment vertical="center" wrapText="1"/>
    </xf>
    <xf numFmtId="0" fontId="68" fillId="0" borderId="0" xfId="0" applyFont="1" applyAlignment="1">
      <alignment wrapText="1"/>
    </xf>
    <xf numFmtId="0" fontId="42" fillId="0" borderId="23" xfId="0" applyFont="1" applyBorder="1" applyAlignment="1">
      <alignment horizontal="left" vertical="center" wrapText="1"/>
    </xf>
    <xf numFmtId="49" fontId="10" fillId="0" borderId="25" xfId="0" applyNumberFormat="1" applyFont="1" applyBorder="1" applyAlignment="1">
      <alignment horizontal="center" vertical="center" wrapText="1"/>
    </xf>
    <xf numFmtId="0" fontId="10" fillId="0" borderId="25" xfId="0" applyFont="1" applyBorder="1" applyAlignment="1">
      <alignment horizontal="center" vertical="center" wrapText="1"/>
    </xf>
    <xf numFmtId="0" fontId="42" fillId="0" borderId="27" xfId="0" applyFont="1" applyBorder="1" applyAlignment="1">
      <alignment horizontal="left" vertical="center" wrapText="1"/>
    </xf>
    <xf numFmtId="49" fontId="10" fillId="0" borderId="24" xfId="0" applyNumberFormat="1" applyFont="1" applyBorder="1" applyAlignment="1">
      <alignment horizontal="center" vertical="center" wrapText="1"/>
    </xf>
    <xf numFmtId="0" fontId="10" fillId="0" borderId="24" xfId="0" applyFont="1" applyBorder="1" applyAlignment="1">
      <alignment horizontal="center" vertical="center" wrapText="1"/>
    </xf>
    <xf numFmtId="0" fontId="42" fillId="0" borderId="29" xfId="0" applyFont="1" applyBorder="1" applyAlignment="1">
      <alignment horizontal="left" vertical="center" wrapText="1"/>
    </xf>
    <xf numFmtId="0" fontId="10" fillId="0" borderId="30" xfId="0" applyFont="1" applyBorder="1" applyAlignment="1">
      <alignment vertical="center" wrapText="1"/>
    </xf>
    <xf numFmtId="49" fontId="10" fillId="0" borderId="30" xfId="0" applyNumberFormat="1" applyFont="1" applyBorder="1" applyAlignment="1">
      <alignment horizontal="center" vertical="center" wrapText="1"/>
    </xf>
    <xf numFmtId="0" fontId="42" fillId="0" borderId="31" xfId="0" applyFont="1" applyBorder="1" applyAlignment="1">
      <alignment horizontal="left" vertical="center" wrapText="1"/>
    </xf>
    <xf numFmtId="0" fontId="10" fillId="0" borderId="0" xfId="0" applyFont="1" applyBorder="1" applyAlignment="1">
      <alignment vertical="center" wrapText="1"/>
    </xf>
    <xf numFmtId="49" fontId="10" fillId="0" borderId="32" xfId="0" applyNumberFormat="1" applyFont="1" applyBorder="1" applyAlignment="1">
      <alignment horizontal="center" vertical="center" wrapText="1"/>
    </xf>
    <xf numFmtId="0" fontId="10" fillId="0" borderId="32" xfId="0" applyFont="1" applyBorder="1" applyAlignment="1">
      <alignment horizontal="center" vertical="center" wrapText="1"/>
    </xf>
    <xf numFmtId="49" fontId="10" fillId="0" borderId="35" xfId="0" applyNumberFormat="1" applyFont="1" applyBorder="1" applyAlignment="1">
      <alignment horizontal="center" vertical="center" wrapText="1"/>
    </xf>
    <xf numFmtId="49" fontId="10" fillId="0" borderId="24" xfId="0" applyNumberFormat="1" applyFont="1" applyBorder="1" applyAlignment="1">
      <alignment vertical="center" wrapText="1"/>
    </xf>
    <xf numFmtId="0" fontId="10" fillId="0" borderId="9" xfId="0" applyFont="1" applyBorder="1" applyAlignment="1">
      <alignment horizontal="center" vertical="center" wrapText="1"/>
    </xf>
    <xf numFmtId="0" fontId="10" fillId="0" borderId="9" xfId="0" applyFont="1" applyBorder="1" applyAlignment="1">
      <alignment vertical="center" wrapText="1"/>
    </xf>
    <xf numFmtId="49" fontId="10" fillId="0" borderId="9" xfId="0" applyNumberFormat="1" applyFont="1" applyBorder="1" applyAlignment="1">
      <alignment horizontal="center" vertical="center" wrapText="1"/>
    </xf>
    <xf numFmtId="0" fontId="10" fillId="0" borderId="30" xfId="0" applyFont="1" applyBorder="1" applyAlignment="1">
      <alignment horizontal="center" vertical="center" wrapText="1"/>
    </xf>
    <xf numFmtId="0" fontId="42" fillId="0" borderId="36" xfId="0" applyFont="1" applyBorder="1" applyAlignment="1">
      <alignment horizontal="left" vertical="center" wrapText="1"/>
    </xf>
    <xf numFmtId="49" fontId="10" fillId="0" borderId="37" xfId="0" applyNumberFormat="1" applyFont="1" applyBorder="1" applyAlignment="1">
      <alignment horizontal="center" vertical="center" wrapText="1"/>
    </xf>
    <xf numFmtId="0" fontId="10" fillId="0" borderId="37" xfId="0" applyFont="1" applyBorder="1" applyAlignment="1">
      <alignment horizontal="center" vertical="center" wrapText="1"/>
    </xf>
    <xf numFmtId="0" fontId="68" fillId="0" borderId="24" xfId="0" applyFont="1" applyBorder="1" applyAlignment="1">
      <alignment wrapText="1"/>
    </xf>
    <xf numFmtId="14" fontId="53" fillId="0" borderId="0" xfId="0" applyNumberFormat="1" applyFont="1" applyAlignment="1">
      <alignment vertical="top"/>
    </xf>
    <xf numFmtId="0" fontId="114" fillId="5" borderId="0" xfId="0" applyFont="1" applyFill="1" applyAlignment="1" applyProtection="1">
      <alignment vertical="top"/>
    </xf>
    <xf numFmtId="14" fontId="50" fillId="0" borderId="0" xfId="0" applyNumberFormat="1" applyFont="1" applyAlignment="1" applyProtection="1">
      <alignment vertical="top" shrinkToFit="1"/>
      <protection locked="0"/>
    </xf>
    <xf numFmtId="0" fontId="0" fillId="0" borderId="0" xfId="0" applyAlignment="1">
      <alignment horizontal="justify" wrapText="1"/>
    </xf>
    <xf numFmtId="0" fontId="0" fillId="0" borderId="0" xfId="0" applyAlignment="1"/>
    <xf numFmtId="0" fontId="115" fillId="5" borderId="0" xfId="0" applyFont="1" applyFill="1" applyBorder="1" applyAlignment="1">
      <alignment horizontal="justify"/>
    </xf>
    <xf numFmtId="0" fontId="52" fillId="5" borderId="0" xfId="0" applyFont="1" applyFill="1" applyBorder="1" applyAlignment="1">
      <alignment horizontal="left" vertical="center" wrapText="1" shrinkToFit="1"/>
    </xf>
    <xf numFmtId="0" fontId="61" fillId="5" borderId="0" xfId="0" applyNumberFormat="1" applyFont="1" applyFill="1" applyBorder="1" applyAlignment="1">
      <alignment horizontal="center" vertical="center" wrapText="1" shrinkToFit="1"/>
    </xf>
    <xf numFmtId="0" fontId="61" fillId="5" borderId="0" xfId="0" applyFont="1" applyFill="1" applyBorder="1" applyAlignment="1">
      <alignment horizontal="center" vertical="center" wrapText="1" shrinkToFit="1"/>
    </xf>
    <xf numFmtId="0" fontId="96" fillId="0" borderId="0" xfId="0" applyFont="1" applyAlignment="1">
      <alignment shrinkToFit="1"/>
    </xf>
    <xf numFmtId="0" fontId="54" fillId="0" borderId="0" xfId="0" applyFont="1" applyAlignment="1"/>
    <xf numFmtId="0" fontId="83" fillId="0" borderId="0" xfId="0" applyFont="1" applyAlignment="1">
      <alignment horizontal="justify" vertical="center" wrapText="1"/>
    </xf>
    <xf numFmtId="167" fontId="0" fillId="0" borderId="0" xfId="0" applyNumberFormat="1"/>
    <xf numFmtId="0" fontId="116" fillId="0" borderId="0" xfId="0" applyFont="1" applyAlignment="1">
      <alignment horizontal="fill"/>
    </xf>
    <xf numFmtId="0" fontId="53" fillId="0" borderId="0" xfId="0" applyFont="1" applyAlignment="1">
      <alignment horizontal="justify" vertical="top" wrapText="1"/>
    </xf>
    <xf numFmtId="0" fontId="84" fillId="0" borderId="48" xfId="0" applyFont="1" applyBorder="1"/>
    <xf numFmtId="0" fontId="53" fillId="0" borderId="0" xfId="0" applyFont="1" applyAlignment="1">
      <alignment horizontal="justify" vertical="top" wrapText="1"/>
    </xf>
    <xf numFmtId="0" fontId="53" fillId="0" borderId="0" xfId="0" applyFont="1" applyAlignment="1">
      <alignment horizontal="justify" vertical="top" wrapText="1"/>
    </xf>
    <xf numFmtId="0" fontId="0" fillId="0" borderId="0" xfId="0" applyAlignment="1">
      <alignment wrapText="1"/>
    </xf>
    <xf numFmtId="0" fontId="53" fillId="0" borderId="0" xfId="0" applyFont="1" applyAlignment="1">
      <alignment wrapText="1" shrinkToFit="1"/>
    </xf>
    <xf numFmtId="0" fontId="53" fillId="0" borderId="0" xfId="0" applyFont="1" applyAlignment="1"/>
    <xf numFmtId="0" fontId="0" fillId="0" borderId="0" xfId="0" applyAlignment="1">
      <alignment vertical="top"/>
    </xf>
    <xf numFmtId="0" fontId="53" fillId="0" borderId="1" xfId="0" applyFont="1" applyFill="1" applyBorder="1" applyAlignment="1" applyProtection="1">
      <alignment horizontal="center" vertical="center"/>
      <protection locked="0"/>
    </xf>
    <xf numFmtId="0" fontId="53" fillId="0" borderId="0" xfId="0" applyFont="1" applyAlignment="1">
      <alignment horizontal="justify" vertical="top" wrapText="1"/>
    </xf>
    <xf numFmtId="22" fontId="53" fillId="0" borderId="0" xfId="0" applyNumberFormat="1" applyFont="1" applyAlignment="1">
      <alignment shrinkToFit="1"/>
    </xf>
    <xf numFmtId="0" fontId="0" fillId="0" borderId="0" xfId="0" applyAlignment="1">
      <alignment horizontal="left" vertical="top"/>
    </xf>
    <xf numFmtId="0" fontId="83" fillId="0" borderId="0" xfId="0" applyFont="1" applyFill="1" applyAlignment="1" applyProtection="1">
      <alignment wrapText="1"/>
    </xf>
    <xf numFmtId="0" fontId="54" fillId="0" borderId="1" xfId="0" applyFont="1" applyFill="1" applyBorder="1" applyAlignment="1" applyProtection="1">
      <alignment horizontal="center" vertical="center"/>
      <protection locked="0"/>
    </xf>
    <xf numFmtId="0" fontId="83" fillId="0" borderId="0" xfId="0" applyFont="1" applyBorder="1" applyAlignment="1">
      <alignment horizontal="center" vertical="center"/>
    </xf>
    <xf numFmtId="0" fontId="83" fillId="0" borderId="0" xfId="0" applyFont="1" applyBorder="1" applyAlignment="1"/>
    <xf numFmtId="0" fontId="83" fillId="0" borderId="34" xfId="0" applyFont="1" applyBorder="1" applyAlignment="1">
      <alignment horizontal="left" vertical="top" wrapText="1"/>
    </xf>
    <xf numFmtId="0" fontId="0" fillId="0" borderId="0" xfId="0" applyAlignment="1">
      <alignment shrinkToFit="1"/>
    </xf>
    <xf numFmtId="0" fontId="0" fillId="0" borderId="0" xfId="0" applyAlignment="1"/>
    <xf numFmtId="0" fontId="53" fillId="0" borderId="0" xfId="0" applyFont="1" applyAlignment="1">
      <alignment horizontal="justify" vertical="top" wrapText="1"/>
    </xf>
    <xf numFmtId="0" fontId="0" fillId="0" borderId="0" xfId="0" applyAlignment="1">
      <alignment shrinkToFit="1"/>
    </xf>
    <xf numFmtId="14" fontId="0" fillId="0" borderId="0" xfId="0" applyNumberFormat="1" applyAlignment="1">
      <alignment shrinkToFit="1"/>
    </xf>
    <xf numFmtId="0" fontId="87" fillId="0" borderId="0" xfId="0" applyFont="1" applyAlignment="1">
      <alignment horizontal="center"/>
    </xf>
    <xf numFmtId="0" fontId="87" fillId="0" borderId="0" xfId="0" applyFont="1" applyAlignment="1">
      <alignment horizontal="center" vertical="center"/>
    </xf>
    <xf numFmtId="0" fontId="0" fillId="0" borderId="0" xfId="0" applyAlignment="1">
      <alignment wrapText="1"/>
    </xf>
    <xf numFmtId="22" fontId="53" fillId="0" borderId="0" xfId="0" applyNumberFormat="1" applyFont="1" applyAlignment="1">
      <alignment horizontal="center" vertical="center" shrinkToFit="1"/>
    </xf>
    <xf numFmtId="0" fontId="53" fillId="0" borderId="0" xfId="0" applyFont="1" applyAlignment="1">
      <alignment horizontal="justify" vertical="top" wrapText="1"/>
    </xf>
    <xf numFmtId="0" fontId="53" fillId="0" borderId="0" xfId="0" applyFont="1" applyFill="1" applyBorder="1" applyAlignment="1" applyProtection="1">
      <alignment horizontal="left" vertical="top" wrapText="1" shrinkToFit="1"/>
      <protection locked="0"/>
    </xf>
    <xf numFmtId="0" fontId="0" fillId="0" borderId="0" xfId="0" applyFont="1" applyFill="1" applyAlignment="1" applyProtection="1">
      <alignment horizontal="left" vertical="top" wrapText="1"/>
      <protection locked="0"/>
    </xf>
    <xf numFmtId="0" fontId="0" fillId="10" borderId="55" xfId="0" applyFont="1" applyFill="1" applyBorder="1"/>
    <xf numFmtId="0" fontId="0" fillId="0" borderId="56" xfId="0" applyFont="1" applyBorder="1"/>
    <xf numFmtId="0" fontId="0" fillId="10" borderId="56" xfId="0" applyFont="1" applyFill="1" applyBorder="1"/>
    <xf numFmtId="0" fontId="48" fillId="0" borderId="0" xfId="0" applyFont="1" applyBorder="1"/>
    <xf numFmtId="0" fontId="0" fillId="10" borderId="57" xfId="0" applyFont="1" applyFill="1" applyBorder="1"/>
    <xf numFmtId="0" fontId="73" fillId="0" borderId="0" xfId="0" applyFont="1" applyAlignment="1">
      <alignment horizontal="center" vertical="center"/>
    </xf>
    <xf numFmtId="0" fontId="53" fillId="0" borderId="0" xfId="0" applyFont="1" applyFill="1" applyAlignment="1" applyProtection="1">
      <alignment horizontal="justify" vertical="top" wrapText="1" shrinkToFit="1"/>
      <protection locked="0"/>
    </xf>
    <xf numFmtId="0" fontId="1" fillId="0" borderId="0" xfId="0" applyFont="1" applyFill="1" applyAlignment="1" applyProtection="1">
      <alignment horizontal="justify" vertical="top" wrapText="1" shrinkToFit="1"/>
      <protection locked="0"/>
    </xf>
    <xf numFmtId="0" fontId="52" fillId="2" borderId="1" xfId="0" applyFont="1" applyFill="1" applyBorder="1" applyAlignment="1">
      <alignment horizontal="right" vertical="center" wrapText="1" indent="1"/>
    </xf>
    <xf numFmtId="0" fontId="52" fillId="11" borderId="1" xfId="0" applyFont="1" applyFill="1" applyBorder="1" applyAlignment="1">
      <alignment horizontal="right" vertical="center" wrapText="1" indent="1"/>
    </xf>
    <xf numFmtId="0" fontId="52" fillId="12" borderId="1" xfId="0" applyFont="1" applyFill="1" applyBorder="1" applyAlignment="1">
      <alignment horizontal="right" vertical="center" wrapText="1" indent="1"/>
    </xf>
    <xf numFmtId="0" fontId="75" fillId="13" borderId="1" xfId="0" applyFont="1" applyFill="1" applyBorder="1" applyAlignment="1">
      <alignment horizontal="center" vertical="center" wrapText="1"/>
    </xf>
    <xf numFmtId="0" fontId="52" fillId="4" borderId="1" xfId="0" applyFont="1" applyFill="1" applyBorder="1" applyAlignment="1">
      <alignment horizontal="right" vertical="top" wrapText="1"/>
    </xf>
    <xf numFmtId="2" fontId="54" fillId="0" borderId="1" xfId="0" applyNumberFormat="1" applyFont="1" applyFill="1" applyBorder="1" applyAlignment="1" applyProtection="1">
      <alignment horizontal="center" vertical="center"/>
      <protection locked="0"/>
    </xf>
    <xf numFmtId="0" fontId="53" fillId="0" borderId="0" xfId="0" applyFont="1" applyAlignment="1">
      <alignment vertical="top" wrapText="1"/>
    </xf>
    <xf numFmtId="0" fontId="0" fillId="0" borderId="0" xfId="0" applyAlignment="1">
      <alignment vertical="top" wrapText="1"/>
    </xf>
    <xf numFmtId="167" fontId="49" fillId="0" borderId="0" xfId="0" applyNumberFormat="1" applyFont="1" applyBorder="1" applyAlignment="1">
      <alignment horizontal="left" vertical="top"/>
    </xf>
    <xf numFmtId="0" fontId="83" fillId="0" borderId="0" xfId="0" applyNumberFormat="1" applyFont="1" applyAlignment="1">
      <alignment shrinkToFit="1"/>
    </xf>
    <xf numFmtId="0" fontId="78" fillId="0" borderId="0" xfId="0" applyFont="1" applyAlignment="1">
      <alignment horizontal="right"/>
    </xf>
    <xf numFmtId="0" fontId="78" fillId="0" borderId="0" xfId="0" applyFont="1" applyAlignment="1">
      <alignment horizontal="left" vertical="center"/>
    </xf>
    <xf numFmtId="0" fontId="78" fillId="0" borderId="0" xfId="0" applyFont="1" applyAlignment="1"/>
    <xf numFmtId="0" fontId="78" fillId="0" borderId="0" xfId="0" applyFont="1" applyAlignment="1">
      <alignment horizontal="right" vertical="center"/>
    </xf>
    <xf numFmtId="0" fontId="0" fillId="0" borderId="0" xfId="0" applyAlignment="1">
      <alignment shrinkToFit="1"/>
    </xf>
    <xf numFmtId="0" fontId="53" fillId="0" borderId="0" xfId="0" applyFont="1" applyAlignment="1">
      <alignment horizontal="justify" vertical="top" wrapText="1"/>
    </xf>
    <xf numFmtId="0" fontId="53" fillId="0" borderId="0" xfId="0" applyFont="1" applyAlignment="1">
      <alignment vertical="top"/>
    </xf>
    <xf numFmtId="0" fontId="49" fillId="0" borderId="0" xfId="0" applyFont="1" applyAlignment="1">
      <alignment vertical="top"/>
    </xf>
    <xf numFmtId="0" fontId="83" fillId="0" borderId="0" xfId="0" applyFont="1" applyAlignment="1">
      <alignment horizontal="justify" vertical="center" wrapText="1"/>
    </xf>
    <xf numFmtId="0" fontId="53" fillId="0" borderId="0" xfId="0" applyFont="1" applyAlignment="1">
      <alignment horizontal="justify" vertical="top" wrapText="1"/>
    </xf>
    <xf numFmtId="0" fontId="53" fillId="0" borderId="0" xfId="0" applyFont="1" applyAlignment="1">
      <alignment shrinkToFit="1"/>
    </xf>
    <xf numFmtId="0" fontId="53" fillId="0" borderId="0" xfId="0" applyFont="1" applyAlignment="1">
      <alignment wrapText="1"/>
    </xf>
    <xf numFmtId="0" fontId="0" fillId="0" borderId="0" xfId="0" applyAlignment="1">
      <alignment vertical="top"/>
    </xf>
    <xf numFmtId="0" fontId="53" fillId="0" borderId="0" xfId="0" applyFont="1" applyAlignment="1">
      <alignment vertical="top"/>
    </xf>
    <xf numFmtId="0" fontId="53" fillId="0" borderId="0" xfId="0" applyFont="1" applyAlignment="1"/>
    <xf numFmtId="14" fontId="49" fillId="0" borderId="0" xfId="0" applyNumberFormat="1" applyFont="1" applyBorder="1" applyAlignment="1">
      <alignment horizontal="right" vertical="top" shrinkToFit="1"/>
    </xf>
    <xf numFmtId="0" fontId="81" fillId="0" borderId="0" xfId="0" applyFont="1" applyBorder="1" applyAlignment="1" applyProtection="1">
      <alignment horizontal="left" vertical="top" shrinkToFit="1"/>
    </xf>
    <xf numFmtId="0" fontId="81" fillId="0" borderId="0" xfId="0" applyFont="1" applyBorder="1" applyAlignment="1" applyProtection="1">
      <alignment horizontal="justify" vertical="top" wrapText="1"/>
    </xf>
    <xf numFmtId="0" fontId="53" fillId="0" borderId="0" xfId="0" applyFont="1" applyAlignment="1">
      <alignment vertical="top"/>
    </xf>
    <xf numFmtId="0" fontId="0" fillId="0" borderId="0" xfId="0" applyAlignment="1">
      <alignment horizontal="left" vertical="top"/>
    </xf>
    <xf numFmtId="0" fontId="84" fillId="0" borderId="0" xfId="0" applyFont="1" applyBorder="1" applyAlignment="1">
      <alignment vertical="top"/>
    </xf>
    <xf numFmtId="0" fontId="83" fillId="0" borderId="0" xfId="0" applyFont="1" applyAlignment="1">
      <alignment horizontal="justify" vertical="center" wrapText="1"/>
    </xf>
    <xf numFmtId="0" fontId="83" fillId="0" borderId="0" xfId="0" applyFont="1" applyFill="1" applyBorder="1" applyAlignment="1" applyProtection="1">
      <alignment horizontal="justify" vertical="center" wrapText="1"/>
      <protection locked="0"/>
    </xf>
    <xf numFmtId="0" fontId="83" fillId="0" borderId="0" xfId="0" applyFont="1" applyFill="1" applyAlignment="1" applyProtection="1">
      <alignment wrapText="1"/>
    </xf>
    <xf numFmtId="0" fontId="53" fillId="0" borderId="0" xfId="0" applyFont="1" applyAlignment="1">
      <alignment shrinkToFit="1"/>
    </xf>
    <xf numFmtId="0" fontId="75" fillId="0" borderId="0" xfId="0" applyFont="1" applyAlignment="1">
      <alignment horizontal="center"/>
    </xf>
    <xf numFmtId="0" fontId="71" fillId="0" borderId="0" xfId="0" applyFont="1" applyAlignment="1">
      <alignment horizontal="right"/>
    </xf>
    <xf numFmtId="0" fontId="71" fillId="0" borderId="0" xfId="0" applyFont="1"/>
    <xf numFmtId="14" fontId="75" fillId="0" borderId="0" xfId="0" applyNumberFormat="1" applyFont="1"/>
    <xf numFmtId="14" fontId="53" fillId="0" borderId="0" xfId="0" applyNumberFormat="1" applyFont="1" applyAlignment="1">
      <alignment shrinkToFit="1"/>
    </xf>
    <xf numFmtId="0" fontId="83" fillId="0" borderId="0" xfId="0" applyFont="1" applyBorder="1" applyAlignment="1">
      <alignment horizontal="left" vertical="top" wrapText="1"/>
    </xf>
    <xf numFmtId="0" fontId="48" fillId="0" borderId="0" xfId="0" applyFont="1" applyBorder="1" applyAlignment="1">
      <alignment horizontal="left" vertical="top" wrapText="1"/>
    </xf>
    <xf numFmtId="0" fontId="49" fillId="0" borderId="1" xfId="0" applyFont="1" applyFill="1" applyBorder="1" applyAlignment="1" applyProtection="1">
      <alignment horizontal="center" vertical="center" wrapText="1" shrinkToFit="1"/>
      <protection locked="0"/>
    </xf>
    <xf numFmtId="0" fontId="71" fillId="14" borderId="1" xfId="0" applyFont="1" applyFill="1" applyBorder="1" applyAlignment="1">
      <alignment horizontal="center" vertical="center" wrapText="1"/>
    </xf>
    <xf numFmtId="0" fontId="51" fillId="15" borderId="1" xfId="0" applyFont="1" applyFill="1" applyBorder="1" applyAlignment="1">
      <alignment horizontal="center" vertical="center" wrapText="1" shrinkToFit="1"/>
    </xf>
    <xf numFmtId="0" fontId="53" fillId="0" borderId="0" xfId="0" applyFont="1" applyAlignment="1">
      <alignment vertical="top"/>
    </xf>
    <xf numFmtId="0" fontId="76" fillId="0" borderId="0" xfId="0" applyFont="1" applyBorder="1" applyAlignment="1" applyProtection="1">
      <alignment horizontal="left" vertical="top"/>
    </xf>
    <xf numFmtId="0" fontId="0" fillId="0" borderId="0" xfId="0" applyAlignment="1">
      <alignment wrapText="1"/>
    </xf>
    <xf numFmtId="0" fontId="0" fillId="0" borderId="0" xfId="0" applyAlignment="1">
      <alignment shrinkToFit="1"/>
    </xf>
    <xf numFmtId="0" fontId="0" fillId="0" borderId="0" xfId="0" applyAlignment="1"/>
    <xf numFmtId="0" fontId="53" fillId="0" borderId="0" xfId="0" applyFont="1" applyAlignment="1">
      <alignment wrapText="1"/>
    </xf>
    <xf numFmtId="0" fontId="53" fillId="0" borderId="0" xfId="0" applyFont="1" applyAlignment="1"/>
    <xf numFmtId="0" fontId="53" fillId="0" borderId="0" xfId="0" applyFont="1" applyAlignment="1">
      <alignment wrapText="1" shrinkToFit="1"/>
    </xf>
    <xf numFmtId="0" fontId="53" fillId="0" borderId="0" xfId="0" applyFont="1" applyAlignment="1">
      <alignment vertical="top"/>
    </xf>
    <xf numFmtId="0" fontId="0" fillId="0" borderId="0" xfId="0" applyAlignment="1">
      <alignment shrinkToFit="1"/>
    </xf>
    <xf numFmtId="0" fontId="0" fillId="0" borderId="0" xfId="0" applyAlignment="1">
      <alignment horizontal="center" vertical="top" wrapText="1"/>
    </xf>
    <xf numFmtId="0" fontId="0" fillId="0" borderId="0" xfId="0" applyAlignment="1">
      <alignment wrapText="1"/>
    </xf>
    <xf numFmtId="0" fontId="53" fillId="0" borderId="0" xfId="0" applyFont="1" applyAlignment="1">
      <alignment shrinkToFit="1"/>
    </xf>
    <xf numFmtId="0" fontId="0" fillId="0" borderId="0" xfId="0" applyAlignment="1">
      <alignment shrinkToFit="1"/>
    </xf>
    <xf numFmtId="0" fontId="0" fillId="0" borderId="0" xfId="0" applyAlignment="1">
      <alignment horizontal="center" vertical="center" wrapText="1"/>
    </xf>
    <xf numFmtId="0" fontId="0" fillId="0" borderId="0" xfId="0" applyAlignment="1">
      <alignment horizontal="center" vertical="top" wrapText="1"/>
    </xf>
    <xf numFmtId="0" fontId="0" fillId="0" borderId="0" xfId="0" applyAlignment="1"/>
    <xf numFmtId="167" fontId="0" fillId="0" borderId="0" xfId="0" applyNumberFormat="1" applyAlignment="1">
      <alignment horizontal="center" vertical="top" wrapText="1"/>
    </xf>
    <xf numFmtId="170" fontId="0" fillId="0" borderId="0" xfId="0" applyNumberFormat="1" applyAlignment="1">
      <alignment vertical="top" shrinkToFit="1"/>
    </xf>
    <xf numFmtId="169" fontId="0" fillId="0" borderId="0" xfId="0" applyNumberFormat="1" applyAlignment="1">
      <alignment horizontal="center" vertical="top" shrinkToFit="1"/>
    </xf>
    <xf numFmtId="0" fontId="0" fillId="0" borderId="0" xfId="0" applyFont="1" applyAlignment="1">
      <alignment wrapText="1"/>
    </xf>
    <xf numFmtId="0" fontId="0" fillId="0" borderId="0" xfId="0" applyAlignment="1">
      <alignment horizontal="left" vertical="top"/>
    </xf>
    <xf numFmtId="0" fontId="83" fillId="0" borderId="0" xfId="0" applyFont="1" applyFill="1" applyAlignment="1" applyProtection="1">
      <alignment wrapText="1"/>
    </xf>
    <xf numFmtId="0" fontId="83" fillId="0" borderId="0" xfId="0" applyFont="1" applyFill="1" applyBorder="1" applyAlignment="1" applyProtection="1">
      <alignment horizontal="justify" vertical="center" wrapText="1"/>
      <protection locked="0"/>
    </xf>
    <xf numFmtId="0" fontId="83" fillId="0" borderId="0" xfId="0" applyFont="1" applyAlignment="1">
      <alignment horizontal="justify" vertical="center" wrapText="1"/>
    </xf>
    <xf numFmtId="0" fontId="84" fillId="0" borderId="0" xfId="0" applyFont="1" applyBorder="1" applyAlignment="1">
      <alignment vertical="top"/>
    </xf>
    <xf numFmtId="0" fontId="0" fillId="0" borderId="0" xfId="0" applyAlignment="1">
      <alignment horizontal="center" vertical="top" wrapText="1"/>
    </xf>
    <xf numFmtId="0" fontId="53" fillId="0" borderId="0" xfId="0" applyFont="1" applyAlignment="1">
      <alignment wrapText="1"/>
    </xf>
    <xf numFmtId="0" fontId="53" fillId="0" borderId="0" xfId="0" applyFont="1" applyAlignment="1"/>
    <xf numFmtId="0" fontId="0" fillId="0" borderId="0" xfId="0" applyAlignment="1">
      <alignment horizontal="left" vertical="top" wrapText="1"/>
    </xf>
    <xf numFmtId="164" fontId="50" fillId="0" borderId="1" xfId="0" applyNumberFormat="1" applyFont="1" applyFill="1" applyBorder="1" applyAlignment="1" applyProtection="1">
      <alignment horizontal="left" vertical="center" wrapText="1" indent="1"/>
      <protection locked="0"/>
    </xf>
    <xf numFmtId="0" fontId="0" fillId="0" borderId="0" xfId="0" applyAlignment="1">
      <alignment horizontal="center" vertical="top" wrapText="1"/>
    </xf>
    <xf numFmtId="0" fontId="0" fillId="0" borderId="0" xfId="0" applyAlignment="1">
      <alignment horizontal="center" vertical="top" wrapText="1"/>
    </xf>
    <xf numFmtId="0" fontId="54" fillId="4" borderId="1" xfId="0" applyFont="1" applyFill="1" applyBorder="1" applyAlignment="1">
      <alignment horizontal="center" vertical="center" wrapText="1"/>
    </xf>
    <xf numFmtId="0" fontId="73" fillId="0" borderId="1" xfId="0" applyFont="1" applyFill="1" applyBorder="1" applyAlignment="1">
      <alignment wrapText="1"/>
    </xf>
    <xf numFmtId="0" fontId="117" fillId="0" borderId="1" xfId="0" applyFont="1" applyFill="1" applyBorder="1" applyAlignment="1" applyProtection="1">
      <alignment horizontal="center" vertical="center"/>
      <protection locked="0"/>
    </xf>
    <xf numFmtId="0" fontId="118" fillId="0" borderId="1" xfId="0" applyFont="1" applyFill="1" applyBorder="1" applyAlignment="1"/>
    <xf numFmtId="0" fontId="50" fillId="4" borderId="1" xfId="0" applyFont="1" applyFill="1" applyBorder="1" applyAlignment="1">
      <alignment horizontal="center" vertical="center"/>
    </xf>
    <xf numFmtId="0" fontId="99" fillId="4" borderId="1" xfId="0" applyFont="1" applyFill="1" applyBorder="1" applyAlignment="1">
      <alignment horizontal="center" vertical="center"/>
    </xf>
    <xf numFmtId="0" fontId="54" fillId="0" borderId="1" xfId="0" applyFont="1" applyFill="1" applyBorder="1" applyAlignment="1" applyProtection="1">
      <alignment horizontal="center" vertical="center"/>
      <protection locked="0"/>
    </xf>
    <xf numFmtId="0" fontId="73" fillId="0" borderId="1" xfId="0" applyFont="1" applyFill="1" applyBorder="1" applyAlignment="1" applyProtection="1">
      <alignment horizontal="center" vertical="center"/>
      <protection locked="0"/>
    </xf>
    <xf numFmtId="0" fontId="53" fillId="0" borderId="1" xfId="0" applyFont="1" applyFill="1" applyBorder="1" applyAlignment="1" applyProtection="1">
      <alignment horizontal="justify" vertical="top" wrapText="1"/>
      <protection locked="0"/>
    </xf>
    <xf numFmtId="0" fontId="52" fillId="3" borderId="6" xfId="0" applyFont="1" applyFill="1" applyBorder="1" applyAlignment="1">
      <alignment horizontal="right" vertical="center" wrapText="1" indent="1"/>
    </xf>
    <xf numFmtId="0" fontId="0" fillId="3" borderId="46" xfId="0" applyFont="1" applyFill="1" applyBorder="1" applyAlignment="1">
      <alignment horizontal="right" wrapText="1" indent="1"/>
    </xf>
    <xf numFmtId="0" fontId="54" fillId="0" borderId="6" xfId="0" applyFont="1" applyFill="1" applyBorder="1" applyAlignment="1" applyProtection="1">
      <alignment horizontal="justify" vertical="center" wrapText="1"/>
      <protection locked="0"/>
    </xf>
    <xf numFmtId="0" fontId="54" fillId="0" borderId="45" xfId="0" applyFont="1" applyFill="1" applyBorder="1" applyAlignment="1" applyProtection="1">
      <alignment horizontal="justify" vertical="center" wrapText="1"/>
      <protection locked="0"/>
    </xf>
    <xf numFmtId="0" fontId="54" fillId="0" borderId="46" xfId="0" applyFont="1" applyFill="1" applyBorder="1" applyAlignment="1" applyProtection="1">
      <alignment horizontal="justify" vertical="center" wrapText="1"/>
      <protection locked="0"/>
    </xf>
    <xf numFmtId="0" fontId="53" fillId="0" borderId="6" xfId="0" applyFont="1" applyFill="1" applyBorder="1" applyAlignment="1" applyProtection="1">
      <alignment horizontal="justify" vertical="center" wrapText="1"/>
      <protection locked="0"/>
    </xf>
    <xf numFmtId="0" fontId="0" fillId="0" borderId="45" xfId="0" applyFont="1" applyFill="1" applyBorder="1" applyAlignment="1" applyProtection="1">
      <alignment horizontal="justify" wrapText="1"/>
      <protection locked="0"/>
    </xf>
    <xf numFmtId="0" fontId="0" fillId="0" borderId="46" xfId="0" applyFont="1" applyFill="1" applyBorder="1" applyAlignment="1" applyProtection="1">
      <alignment horizontal="justify" wrapText="1"/>
      <protection locked="0"/>
    </xf>
    <xf numFmtId="0" fontId="52" fillId="3" borderId="1" xfId="0" applyFont="1" applyFill="1" applyBorder="1" applyAlignment="1">
      <alignment horizontal="right" vertical="center" wrapText="1"/>
    </xf>
    <xf numFmtId="0" fontId="0" fillId="0" borderId="1" xfId="0" applyFill="1" applyBorder="1" applyAlignment="1">
      <alignment wrapText="1"/>
    </xf>
    <xf numFmtId="0" fontId="50" fillId="0" borderId="10" xfId="0" applyFont="1" applyFill="1" applyBorder="1" applyAlignment="1" applyProtection="1">
      <alignment horizontal="center" vertical="center" wrapText="1" shrinkToFit="1"/>
      <protection locked="0"/>
    </xf>
    <xf numFmtId="0" fontId="50" fillId="0" borderId="34" xfId="0" applyFont="1" applyFill="1" applyBorder="1" applyAlignment="1" applyProtection="1">
      <alignment horizontal="center" vertical="center" wrapText="1" shrinkToFit="1"/>
      <protection locked="0"/>
    </xf>
    <xf numFmtId="0" fontId="50" fillId="0" borderId="47" xfId="0" applyFont="1" applyFill="1" applyBorder="1" applyAlignment="1" applyProtection="1">
      <alignment horizontal="center" vertical="center" wrapText="1" shrinkToFit="1"/>
      <protection locked="0"/>
    </xf>
    <xf numFmtId="0" fontId="50" fillId="0" borderId="14" xfId="0" applyFont="1" applyFill="1" applyBorder="1" applyAlignment="1" applyProtection="1">
      <alignment horizontal="center" vertical="center" wrapText="1" shrinkToFit="1"/>
      <protection locked="0"/>
    </xf>
    <xf numFmtId="0" fontId="50" fillId="0" borderId="48" xfId="0" applyFont="1" applyFill="1" applyBorder="1" applyAlignment="1" applyProtection="1">
      <alignment horizontal="center" vertical="center" wrapText="1" shrinkToFit="1"/>
      <protection locked="0"/>
    </xf>
    <xf numFmtId="0" fontId="50" fillId="0" borderId="35" xfId="0" applyFont="1" applyFill="1" applyBorder="1" applyAlignment="1" applyProtection="1">
      <alignment horizontal="center" vertical="center" wrapText="1" shrinkToFit="1"/>
      <protection locked="0"/>
    </xf>
    <xf numFmtId="0" fontId="81" fillId="0" borderId="0" xfId="0" applyFont="1" applyBorder="1" applyAlignment="1" applyProtection="1">
      <alignment horizontal="left" vertical="top" wrapText="1"/>
    </xf>
    <xf numFmtId="0" fontId="81" fillId="0" borderId="0" xfId="0" applyFont="1" applyAlignment="1" applyProtection="1">
      <alignment horizontal="left" vertical="top"/>
    </xf>
    <xf numFmtId="0" fontId="81" fillId="0" borderId="0" xfId="0" applyFont="1" applyBorder="1" applyAlignment="1" applyProtection="1">
      <alignment horizontal="left" vertical="top" shrinkToFit="1"/>
    </xf>
    <xf numFmtId="0" fontId="81" fillId="0" borderId="0" xfId="0" applyFont="1" applyBorder="1" applyAlignment="1" applyProtection="1">
      <alignment horizontal="justify" vertical="top" wrapText="1"/>
    </xf>
    <xf numFmtId="0" fontId="81" fillId="0" borderId="0" xfId="0" applyFont="1" applyAlignment="1" applyProtection="1">
      <alignment horizontal="justify" vertical="top"/>
    </xf>
    <xf numFmtId="0" fontId="81" fillId="0" borderId="0" xfId="0" applyFont="1" applyFill="1" applyBorder="1" applyAlignment="1" applyProtection="1">
      <alignment horizontal="justify" vertical="center" wrapText="1"/>
      <protection locked="0"/>
    </xf>
    <xf numFmtId="0" fontId="0" fillId="0" borderId="0" xfId="0" applyFont="1" applyFill="1" applyAlignment="1" applyProtection="1">
      <alignment horizontal="justify" vertical="center" wrapText="1"/>
      <protection locked="0"/>
    </xf>
    <xf numFmtId="0" fontId="81" fillId="0" borderId="0" xfId="0" applyFont="1" applyFill="1" applyBorder="1" applyAlignment="1" applyProtection="1">
      <alignment horizontal="justify" vertical="top" wrapText="1"/>
      <protection locked="0"/>
    </xf>
    <xf numFmtId="0" fontId="0" fillId="0" borderId="0" xfId="0" applyFont="1" applyFill="1" applyAlignment="1" applyProtection="1">
      <alignment horizontal="justify" vertical="top" wrapText="1"/>
      <protection locked="0"/>
    </xf>
    <xf numFmtId="0" fontId="81" fillId="0" borderId="0" xfId="0" applyFont="1" applyAlignment="1" applyProtection="1">
      <alignment horizontal="left" vertical="top" shrinkToFit="1"/>
    </xf>
    <xf numFmtId="0" fontId="80" fillId="0" borderId="0" xfId="0" applyFont="1" applyAlignment="1" applyProtection="1">
      <alignment horizontal="left" vertical="top"/>
    </xf>
    <xf numFmtId="0" fontId="81" fillId="0" borderId="0" xfId="0" applyFont="1" applyBorder="1" applyAlignment="1" applyProtection="1">
      <alignment horizontal="left" vertical="top"/>
    </xf>
    <xf numFmtId="0" fontId="81" fillId="0" borderId="0" xfId="0" applyFont="1" applyBorder="1" applyAlignment="1" applyProtection="1">
      <alignment horizontal="left" vertical="top" wrapText="1" shrinkToFit="1"/>
    </xf>
    <xf numFmtId="0" fontId="81" fillId="0" borderId="0" xfId="0" applyFont="1" applyBorder="1" applyAlignment="1" applyProtection="1">
      <alignment horizontal="justify" vertical="top" wrapText="1" shrinkToFit="1"/>
    </xf>
    <xf numFmtId="0" fontId="0" fillId="0" borderId="0" xfId="0" applyAlignment="1">
      <alignment horizontal="justify" vertical="top" wrapText="1"/>
    </xf>
    <xf numFmtId="0" fontId="81" fillId="0" borderId="0" xfId="0" applyFont="1" applyBorder="1" applyAlignment="1" applyProtection="1">
      <alignment horizontal="justify" vertical="top"/>
    </xf>
    <xf numFmtId="165" fontId="81" fillId="0" borderId="0" xfId="0" applyNumberFormat="1" applyFont="1" applyBorder="1" applyAlignment="1" applyProtection="1">
      <alignment horizontal="left" vertical="top" shrinkToFit="1"/>
    </xf>
    <xf numFmtId="0" fontId="0" fillId="0" borderId="0" xfId="0" applyAlignment="1">
      <alignment horizontal="left" vertical="top" shrinkToFit="1"/>
    </xf>
    <xf numFmtId="14" fontId="81" fillId="0" borderId="0" xfId="0" applyNumberFormat="1" applyFont="1" applyBorder="1" applyAlignment="1" applyProtection="1">
      <alignment horizontal="left" vertical="top"/>
    </xf>
    <xf numFmtId="0" fontId="0" fillId="0" borderId="0" xfId="0" applyAlignment="1">
      <alignment horizontal="left" vertical="top"/>
    </xf>
    <xf numFmtId="14" fontId="81" fillId="0" borderId="0" xfId="0" applyNumberFormat="1" applyFont="1" applyBorder="1" applyAlignment="1" applyProtection="1">
      <alignment horizontal="right" vertical="top" shrinkToFit="1"/>
    </xf>
    <xf numFmtId="0" fontId="0" fillId="0" borderId="0" xfId="0" applyAlignment="1">
      <alignment vertical="top" shrinkToFit="1"/>
    </xf>
    <xf numFmtId="0" fontId="81" fillId="0" borderId="0" xfId="0" applyFont="1" applyAlignment="1" applyProtection="1">
      <alignment horizontal="justify" vertical="top" wrapText="1"/>
    </xf>
    <xf numFmtId="0" fontId="80" fillId="0" borderId="0" xfId="0" applyFont="1" applyAlignment="1">
      <alignment horizontal="left" vertical="top" shrinkToFit="1"/>
    </xf>
    <xf numFmtId="0" fontId="80" fillId="0" borderId="0" xfId="0" applyFont="1" applyAlignment="1" applyProtection="1">
      <alignment horizontal="left" vertical="top" shrinkToFit="1"/>
    </xf>
    <xf numFmtId="0" fontId="53" fillId="0" borderId="0" xfId="0" applyFont="1" applyFill="1" applyAlignment="1" applyProtection="1">
      <alignment horizontal="justify" vertical="top"/>
      <protection locked="0"/>
    </xf>
    <xf numFmtId="0" fontId="0" fillId="0" borderId="0" xfId="0" applyAlignment="1" applyProtection="1">
      <alignment horizontal="justify" vertical="top"/>
      <protection locked="0"/>
    </xf>
    <xf numFmtId="1" fontId="53" fillId="0" borderId="0" xfId="0" applyNumberFormat="1" applyFont="1" applyAlignment="1">
      <alignment vertical="top" wrapText="1"/>
    </xf>
    <xf numFmtId="0" fontId="0" fillId="0" borderId="0" xfId="0" applyAlignment="1">
      <alignment vertical="top" wrapText="1"/>
    </xf>
    <xf numFmtId="0" fontId="52" fillId="0" borderId="0" xfId="0" applyFont="1" applyAlignment="1">
      <alignment vertical="top" wrapText="1" shrinkToFit="1"/>
    </xf>
    <xf numFmtId="0" fontId="53" fillId="0" borderId="0" xfId="0" applyFont="1" applyBorder="1" applyAlignment="1">
      <alignment horizontal="justify" vertical="top" wrapText="1" shrinkToFit="1"/>
    </xf>
    <xf numFmtId="0" fontId="53" fillId="0" borderId="0" xfId="0" applyFont="1" applyAlignment="1">
      <alignment horizontal="justify" vertical="top" wrapText="1"/>
    </xf>
    <xf numFmtId="22" fontId="75" fillId="0" borderId="0" xfId="0" applyNumberFormat="1" applyFont="1" applyAlignment="1" applyProtection="1">
      <alignment horizontal="left" vertical="center" shrinkToFit="1"/>
      <protection locked="0"/>
    </xf>
    <xf numFmtId="0" fontId="101" fillId="0" borderId="0" xfId="0" applyNumberFormat="1" applyFont="1" applyAlignment="1">
      <alignment horizontal="left" vertical="center" shrinkToFit="1"/>
    </xf>
    <xf numFmtId="0" fontId="53" fillId="0" borderId="0" xfId="0" applyFont="1" applyAlignment="1" applyProtection="1">
      <alignment vertical="top" shrinkToFit="1"/>
      <protection locked="0"/>
    </xf>
    <xf numFmtId="0" fontId="0" fillId="0" borderId="0" xfId="0" applyAlignment="1" applyProtection="1">
      <alignment vertical="top" shrinkToFit="1"/>
      <protection locked="0"/>
    </xf>
    <xf numFmtId="0" fontId="0" fillId="0" borderId="0" xfId="0" applyFont="1" applyFill="1" applyAlignment="1" applyProtection="1">
      <alignment horizontal="justify" vertical="top"/>
      <protection locked="0"/>
    </xf>
    <xf numFmtId="0" fontId="53" fillId="0" borderId="0" xfId="0" applyFont="1" applyFill="1" applyAlignment="1" applyProtection="1">
      <alignment horizontal="justify" vertical="top" wrapText="1" shrinkToFit="1"/>
      <protection locked="0"/>
    </xf>
    <xf numFmtId="0" fontId="1" fillId="0" borderId="0" xfId="0" applyFont="1" applyFill="1" applyAlignment="1" applyProtection="1">
      <alignment horizontal="justify" vertical="top" wrapText="1" shrinkToFit="1"/>
      <protection locked="0"/>
    </xf>
    <xf numFmtId="0" fontId="53" fillId="0" borderId="0" xfId="0" applyFont="1" applyAlignment="1">
      <alignment horizontal="justify" vertical="top" wrapText="1" shrinkToFit="1"/>
    </xf>
    <xf numFmtId="0" fontId="0" fillId="0" borderId="0" xfId="0" applyAlignment="1"/>
    <xf numFmtId="0" fontId="0" fillId="0" borderId="0" xfId="0" applyAlignment="1">
      <alignment shrinkToFit="1"/>
    </xf>
    <xf numFmtId="0" fontId="0" fillId="0" borderId="0" xfId="0" applyAlignment="1">
      <alignment horizontal="center" vertical="center" wrapText="1"/>
    </xf>
    <xf numFmtId="0" fontId="53" fillId="0" borderId="0" xfId="0" applyFont="1" applyAlignment="1">
      <alignment shrinkToFit="1"/>
    </xf>
    <xf numFmtId="0" fontId="54" fillId="0" borderId="0" xfId="0" applyFont="1" applyAlignment="1">
      <alignment wrapText="1"/>
    </xf>
    <xf numFmtId="0" fontId="0" fillId="0" borderId="0" xfId="0" applyAlignment="1">
      <alignment wrapText="1"/>
    </xf>
    <xf numFmtId="0" fontId="54" fillId="0" borderId="0" xfId="0" applyFont="1" applyAlignment="1">
      <alignment shrinkToFit="1"/>
    </xf>
    <xf numFmtId="0" fontId="53" fillId="0" borderId="0" xfId="0" applyFont="1" applyAlignment="1">
      <alignment wrapText="1"/>
    </xf>
    <xf numFmtId="0" fontId="0" fillId="0" borderId="0" xfId="0" applyAlignment="1">
      <alignment vertical="top"/>
    </xf>
    <xf numFmtId="0" fontId="0" fillId="0" borderId="0" xfId="0" applyAlignment="1">
      <alignment horizontal="center" vertical="top" wrapText="1" shrinkToFit="1"/>
    </xf>
    <xf numFmtId="168" fontId="53" fillId="0" borderId="0" xfId="0" applyNumberFormat="1" applyFont="1" applyAlignment="1">
      <alignment horizontal="center" vertical="center" shrinkToFit="1"/>
    </xf>
    <xf numFmtId="168" fontId="0" fillId="0" borderId="0" xfId="0" applyNumberFormat="1" applyFont="1" applyAlignment="1">
      <alignment horizontal="center" vertical="center" shrinkToFit="1"/>
    </xf>
    <xf numFmtId="0" fontId="54" fillId="0" borderId="0" xfId="0" applyFont="1" applyAlignment="1">
      <alignment horizontal="justify" vertical="top" wrapText="1"/>
    </xf>
    <xf numFmtId="0" fontId="1" fillId="0" borderId="0" xfId="0" applyFont="1" applyAlignment="1">
      <alignment wrapText="1"/>
    </xf>
    <xf numFmtId="0" fontId="50" fillId="0" borderId="0" xfId="0" applyFont="1" applyAlignment="1">
      <alignment horizontal="justify" vertical="top" wrapText="1"/>
    </xf>
    <xf numFmtId="0" fontId="62" fillId="0" borderId="0" xfId="0" applyFont="1" applyAlignment="1">
      <alignment horizontal="left" shrinkToFit="1"/>
    </xf>
    <xf numFmtId="0" fontId="57" fillId="0" borderId="0" xfId="0" applyFont="1" applyAlignment="1">
      <alignment horizontal="center" shrinkToFit="1"/>
    </xf>
    <xf numFmtId="0" fontId="0" fillId="0" borderId="0" xfId="0" applyFont="1" applyAlignment="1">
      <alignment shrinkToFit="1"/>
    </xf>
    <xf numFmtId="0" fontId="54" fillId="0" borderId="0" xfId="0" applyFont="1" applyAlignment="1">
      <alignment horizontal="fill"/>
    </xf>
    <xf numFmtId="0" fontId="0" fillId="0" borderId="0" xfId="0" applyAlignment="1">
      <alignment horizontal="fill"/>
    </xf>
    <xf numFmtId="0" fontId="61" fillId="0" borderId="0" xfId="0" applyFont="1" applyAlignment="1">
      <alignment horizontal="justify" vertical="center" wrapText="1"/>
    </xf>
    <xf numFmtId="0" fontId="87" fillId="0" borderId="0" xfId="0" applyFont="1" applyAlignment="1">
      <alignment horizontal="justify" vertical="center" wrapText="1"/>
    </xf>
    <xf numFmtId="0" fontId="61" fillId="0" borderId="0" xfId="0" applyFont="1" applyAlignment="1">
      <alignment horizontal="justify" vertical="top" wrapText="1"/>
    </xf>
    <xf numFmtId="0" fontId="87" fillId="0" borderId="0" xfId="0" applyFont="1" applyAlignment="1">
      <alignment horizontal="justify" vertical="top" wrapText="1"/>
    </xf>
    <xf numFmtId="0" fontId="54" fillId="0" borderId="0" xfId="0" applyFont="1" applyAlignment="1">
      <alignment horizontal="right" vertical="center" shrinkToFit="1"/>
    </xf>
    <xf numFmtId="168" fontId="54" fillId="0" borderId="0" xfId="0" applyNumberFormat="1" applyFont="1" applyAlignment="1">
      <alignment horizontal="center" vertical="top" shrinkToFit="1"/>
    </xf>
    <xf numFmtId="168" fontId="0" fillId="0" borderId="0" xfId="0" applyNumberFormat="1" applyAlignment="1">
      <alignment horizontal="center" vertical="top" shrinkToFit="1"/>
    </xf>
    <xf numFmtId="0" fontId="57" fillId="0" borderId="0" xfId="0" applyFont="1" applyAlignment="1">
      <alignment vertical="center" shrinkToFit="1"/>
    </xf>
    <xf numFmtId="0" fontId="0" fillId="0" borderId="0" xfId="0" applyFont="1" applyAlignment="1">
      <alignment vertical="center" shrinkToFit="1"/>
    </xf>
    <xf numFmtId="0" fontId="54" fillId="0" borderId="0" xfId="0" applyFont="1" applyAlignment="1">
      <alignment vertical="center"/>
    </xf>
    <xf numFmtId="0" fontId="0" fillId="0" borderId="0" xfId="0" applyAlignment="1">
      <alignment vertical="center"/>
    </xf>
    <xf numFmtId="0" fontId="55" fillId="0" borderId="0" xfId="0" applyFont="1" applyAlignment="1">
      <alignment horizontal="center" vertical="center" wrapText="1" shrinkToFit="1"/>
    </xf>
    <xf numFmtId="0" fontId="53" fillId="0" borderId="45" xfId="0" applyFont="1" applyBorder="1" applyAlignment="1">
      <alignment horizontal="justify" vertical="top" wrapText="1"/>
    </xf>
    <xf numFmtId="0" fontId="0" fillId="0" borderId="45" xfId="0" applyFont="1" applyBorder="1" applyAlignment="1">
      <alignment horizontal="justify" vertical="top" wrapText="1"/>
    </xf>
    <xf numFmtId="0" fontId="0" fillId="0" borderId="46" xfId="0" applyFont="1" applyBorder="1" applyAlignment="1">
      <alignment horizontal="justify" vertical="top" wrapText="1"/>
    </xf>
    <xf numFmtId="0" fontId="53" fillId="0" borderId="34" xfId="0" applyFont="1" applyBorder="1" applyAlignment="1">
      <alignment horizontal="justify" vertical="top" wrapText="1"/>
    </xf>
    <xf numFmtId="0" fontId="53" fillId="0" borderId="47" xfId="0" applyFont="1" applyBorder="1" applyAlignment="1">
      <alignment horizontal="justify" vertical="top" wrapText="1"/>
    </xf>
    <xf numFmtId="0" fontId="53" fillId="0" borderId="48" xfId="0" applyFont="1" applyBorder="1" applyAlignment="1">
      <alignment horizontal="justify" vertical="top" wrapText="1" shrinkToFit="1"/>
    </xf>
    <xf numFmtId="0" fontId="53" fillId="0" borderId="35" xfId="0" applyFont="1" applyBorder="1" applyAlignment="1">
      <alignment horizontal="justify" vertical="top" wrapText="1" shrinkToFit="1"/>
    </xf>
    <xf numFmtId="0" fontId="53" fillId="0" borderId="48" xfId="0" applyFont="1" applyBorder="1" applyAlignment="1">
      <alignment vertical="top" shrinkToFit="1"/>
    </xf>
    <xf numFmtId="0" fontId="0" fillId="0" borderId="48" xfId="0" applyFont="1" applyBorder="1" applyAlignment="1">
      <alignment vertical="top" shrinkToFit="1"/>
    </xf>
    <xf numFmtId="0" fontId="53" fillId="0" borderId="48" xfId="0" applyFont="1" applyBorder="1" applyAlignment="1">
      <alignment horizontal="justify" vertical="top" wrapText="1"/>
    </xf>
    <xf numFmtId="0" fontId="53" fillId="0" borderId="35" xfId="0" applyFont="1" applyBorder="1" applyAlignment="1">
      <alignment horizontal="justify" vertical="top" wrapText="1"/>
    </xf>
    <xf numFmtId="0" fontId="53" fillId="0" borderId="0" xfId="0" applyFont="1" applyBorder="1" applyAlignment="1" applyProtection="1">
      <alignment horizontal="justify" vertical="top" wrapText="1"/>
    </xf>
    <xf numFmtId="0" fontId="53" fillId="0" borderId="30" xfId="0" applyFont="1" applyBorder="1" applyAlignment="1" applyProtection="1">
      <alignment horizontal="justify" vertical="top" wrapText="1"/>
    </xf>
    <xf numFmtId="0" fontId="53" fillId="0" borderId="0" xfId="0" applyFont="1" applyBorder="1" applyAlignment="1">
      <alignment vertical="top" wrapText="1"/>
    </xf>
    <xf numFmtId="0" fontId="53" fillId="0" borderId="0" xfId="0" applyFont="1" applyBorder="1" applyAlignment="1">
      <alignment horizontal="justify" vertical="top" wrapText="1"/>
    </xf>
    <xf numFmtId="0" fontId="53" fillId="0" borderId="0" xfId="0" applyFont="1" applyAlignment="1">
      <alignment vertical="top" wrapText="1"/>
    </xf>
    <xf numFmtId="0" fontId="53" fillId="0" borderId="0" xfId="0" applyFont="1" applyBorder="1" applyAlignment="1">
      <alignment vertical="top" shrinkToFit="1"/>
    </xf>
    <xf numFmtId="0" fontId="53" fillId="0" borderId="0" xfId="0" applyFont="1" applyAlignment="1">
      <alignment vertical="top" shrinkToFit="1"/>
    </xf>
    <xf numFmtId="0" fontId="0" fillId="0" borderId="0" xfId="0" applyFont="1" applyAlignment="1">
      <alignment vertical="top" shrinkToFit="1"/>
    </xf>
    <xf numFmtId="0" fontId="53" fillId="0" borderId="0" xfId="0" applyFont="1" applyBorder="1" applyAlignment="1">
      <alignment horizontal="left" vertical="top" shrinkToFit="1"/>
    </xf>
    <xf numFmtId="14" fontId="53" fillId="0" borderId="0" xfId="0" applyNumberFormat="1" applyFont="1" applyBorder="1" applyAlignment="1">
      <alignment horizontal="left" vertical="top" shrinkToFit="1"/>
    </xf>
    <xf numFmtId="0" fontId="0" fillId="0" borderId="0" xfId="0" applyFont="1" applyAlignment="1">
      <alignment horizontal="left" vertical="top" shrinkToFit="1"/>
    </xf>
    <xf numFmtId="0" fontId="53" fillId="0" borderId="0" xfId="0" applyFont="1" applyFill="1" applyAlignment="1" applyProtection="1">
      <alignment vertical="top" wrapText="1"/>
      <protection locked="0"/>
    </xf>
    <xf numFmtId="0" fontId="0" fillId="0" borderId="0" xfId="0" applyFont="1" applyFill="1" applyAlignment="1" applyProtection="1">
      <alignment vertical="top" wrapText="1"/>
      <protection locked="0"/>
    </xf>
    <xf numFmtId="0" fontId="53" fillId="0" borderId="0" xfId="0" applyFont="1" applyFill="1" applyAlignment="1" applyProtection="1">
      <alignment horizontal="left" vertical="top" wrapText="1"/>
      <protection locked="0"/>
    </xf>
    <xf numFmtId="0" fontId="53" fillId="0" borderId="45" xfId="0" applyFont="1" applyBorder="1" applyAlignment="1">
      <alignment horizontal="justify" vertical="top"/>
    </xf>
    <xf numFmtId="0" fontId="53" fillId="0" borderId="46" xfId="0" applyFont="1" applyBorder="1" applyAlignment="1">
      <alignment horizontal="justify" vertical="top"/>
    </xf>
    <xf numFmtId="0" fontId="0" fillId="0" borderId="45" xfId="0" applyFont="1" applyBorder="1" applyAlignment="1">
      <alignment horizontal="justify" vertical="top"/>
    </xf>
    <xf numFmtId="0" fontId="0" fillId="0" borderId="46" xfId="0" applyFont="1" applyBorder="1" applyAlignment="1">
      <alignment horizontal="justify" vertical="top"/>
    </xf>
    <xf numFmtId="14" fontId="53" fillId="0" borderId="45" xfId="0" applyNumberFormat="1" applyFont="1" applyBorder="1" applyAlignment="1">
      <alignment horizontal="left" vertical="top"/>
    </xf>
    <xf numFmtId="0" fontId="53" fillId="0" borderId="45" xfId="0" applyFont="1" applyBorder="1" applyAlignment="1" applyProtection="1">
      <alignment vertical="top"/>
    </xf>
    <xf numFmtId="0" fontId="0" fillId="0" borderId="45" xfId="0" applyFont="1" applyBorder="1" applyAlignment="1" applyProtection="1">
      <alignment vertical="top"/>
    </xf>
    <xf numFmtId="0" fontId="0" fillId="0" borderId="46" xfId="0" applyFont="1" applyBorder="1" applyAlignment="1" applyProtection="1">
      <alignment vertical="top"/>
    </xf>
    <xf numFmtId="0" fontId="53" fillId="0" borderId="45" xfId="0" applyFont="1" applyBorder="1" applyAlignment="1" applyProtection="1">
      <alignment vertical="top" shrinkToFit="1"/>
    </xf>
    <xf numFmtId="0" fontId="0" fillId="0" borderId="45" xfId="0" applyFont="1" applyBorder="1" applyAlignment="1" applyProtection="1">
      <alignment vertical="top" shrinkToFit="1"/>
    </xf>
    <xf numFmtId="0" fontId="53" fillId="0" borderId="45" xfId="0" applyFont="1" applyFill="1" applyBorder="1" applyAlignment="1" applyProtection="1">
      <alignment vertical="top" shrinkToFit="1"/>
      <protection locked="0"/>
    </xf>
    <xf numFmtId="0" fontId="0" fillId="0" borderId="45" xfId="0" applyFont="1" applyFill="1" applyBorder="1" applyAlignment="1" applyProtection="1">
      <alignment vertical="top" shrinkToFit="1"/>
      <protection locked="0"/>
    </xf>
    <xf numFmtId="0" fontId="0" fillId="0" borderId="46" xfId="0" applyFont="1" applyFill="1" applyBorder="1" applyAlignment="1" applyProtection="1">
      <alignment vertical="top" shrinkToFit="1"/>
      <protection locked="0"/>
    </xf>
    <xf numFmtId="0" fontId="53" fillId="0" borderId="45" xfId="0" applyFont="1" applyBorder="1" applyAlignment="1">
      <alignment horizontal="left" vertical="top" shrinkToFit="1"/>
    </xf>
    <xf numFmtId="0" fontId="53" fillId="0" borderId="30" xfId="0" applyFont="1" applyBorder="1" applyAlignment="1">
      <alignment horizontal="justify" vertical="top" wrapText="1" shrinkToFit="1"/>
    </xf>
    <xf numFmtId="0" fontId="53" fillId="0" borderId="30" xfId="0" applyFont="1" applyBorder="1" applyAlignment="1">
      <alignment horizontal="justify" vertical="top" wrapText="1"/>
    </xf>
    <xf numFmtId="164" fontId="53" fillId="0" borderId="45" xfId="0" applyNumberFormat="1" applyFont="1" applyBorder="1" applyAlignment="1">
      <alignment horizontal="center" vertical="top" shrinkToFit="1"/>
    </xf>
    <xf numFmtId="0" fontId="0" fillId="0" borderId="45" xfId="0" applyFont="1" applyBorder="1" applyAlignment="1">
      <alignment horizontal="center" vertical="top"/>
    </xf>
    <xf numFmtId="0" fontId="71" fillId="0" borderId="25" xfId="0" applyFont="1" applyBorder="1" applyAlignment="1">
      <alignment horizontal="right" vertical="center" wrapText="1"/>
    </xf>
    <xf numFmtId="0" fontId="0" fillId="0" borderId="24" xfId="0" applyBorder="1" applyAlignment="1">
      <alignment horizontal="right" vertical="center" wrapText="1"/>
    </xf>
    <xf numFmtId="0" fontId="0" fillId="0" borderId="32" xfId="0" applyBorder="1" applyAlignment="1">
      <alignment horizontal="right" vertical="center" wrapText="1"/>
    </xf>
    <xf numFmtId="0" fontId="0" fillId="0" borderId="0" xfId="0" applyFont="1" applyBorder="1" applyAlignment="1">
      <alignment horizontal="justify" vertical="top" wrapText="1"/>
    </xf>
    <xf numFmtId="0" fontId="0" fillId="0" borderId="30" xfId="0" applyFont="1" applyBorder="1" applyAlignment="1">
      <alignment horizontal="justify" vertical="top" wrapText="1"/>
    </xf>
    <xf numFmtId="0" fontId="53" fillId="0" borderId="30" xfId="0" applyFont="1" applyBorder="1" applyAlignment="1">
      <alignment vertical="top" shrinkToFit="1"/>
    </xf>
    <xf numFmtId="0" fontId="49" fillId="0" borderId="0" xfId="0" applyFont="1" applyBorder="1" applyAlignment="1">
      <alignment vertical="top" shrinkToFit="1"/>
    </xf>
    <xf numFmtId="0" fontId="49" fillId="0" borderId="0" xfId="0" applyFont="1" applyBorder="1" applyAlignment="1">
      <alignment horizontal="left" vertical="center" shrinkToFit="1"/>
    </xf>
    <xf numFmtId="0" fontId="53" fillId="0" borderId="0" xfId="0" applyFont="1" applyAlignment="1">
      <alignment horizontal="left" vertical="center" shrinkToFit="1"/>
    </xf>
    <xf numFmtId="0" fontId="75" fillId="0" borderId="0" xfId="0" applyFont="1" applyAlignment="1">
      <alignment horizontal="left" vertical="top" wrapText="1"/>
    </xf>
    <xf numFmtId="0" fontId="49" fillId="0" borderId="0" xfId="0" applyFont="1" applyAlignment="1">
      <alignment horizontal="left" vertical="top" wrapText="1"/>
    </xf>
    <xf numFmtId="0" fontId="101" fillId="0" borderId="0" xfId="0" applyFont="1" applyAlignment="1">
      <alignment horizontal="left" vertical="top" wrapText="1"/>
    </xf>
    <xf numFmtId="0" fontId="75" fillId="0" borderId="0" xfId="0" applyFont="1" applyAlignment="1">
      <alignment vertical="top" wrapText="1" shrinkToFit="1"/>
    </xf>
    <xf numFmtId="0" fontId="0" fillId="0" borderId="0" xfId="0" applyAlignment="1">
      <alignment vertical="top" wrapText="1" shrinkToFit="1"/>
    </xf>
    <xf numFmtId="0" fontId="75" fillId="0" borderId="0" xfId="0" applyFont="1" applyAlignment="1">
      <alignment vertical="top" wrapText="1"/>
    </xf>
    <xf numFmtId="0" fontId="51" fillId="0" borderId="0" xfId="0" applyFont="1" applyAlignment="1" applyProtection="1">
      <alignment wrapText="1"/>
    </xf>
    <xf numFmtId="0" fontId="49" fillId="0" borderId="0" xfId="0" applyFont="1" applyAlignment="1">
      <alignment vertical="top" wrapText="1"/>
    </xf>
    <xf numFmtId="0" fontId="0" fillId="0" borderId="0" xfId="0" applyAlignment="1">
      <alignment horizontal="left" vertical="top" wrapText="1"/>
    </xf>
    <xf numFmtId="0" fontId="75" fillId="0" borderId="0" xfId="0" applyFont="1" applyAlignment="1">
      <alignment wrapText="1"/>
    </xf>
    <xf numFmtId="0" fontId="53" fillId="0" borderId="0" xfId="0" applyFont="1" applyAlignment="1"/>
    <xf numFmtId="0" fontId="52" fillId="0" borderId="0" xfId="0" applyFont="1" applyAlignment="1"/>
    <xf numFmtId="0" fontId="48" fillId="0" borderId="0" xfId="0" applyFont="1" applyAlignment="1"/>
    <xf numFmtId="0" fontId="97" fillId="0" borderId="0" xfId="0" applyFont="1" applyAlignment="1">
      <alignment vertical="top" wrapText="1"/>
    </xf>
    <xf numFmtId="0" fontId="75" fillId="0" borderId="0" xfId="0" applyFont="1" applyFill="1" applyAlignment="1" applyProtection="1">
      <alignment horizontal="justify" vertical="top" wrapText="1"/>
      <protection locked="0"/>
    </xf>
    <xf numFmtId="0" fontId="75" fillId="0" borderId="0" xfId="0" applyFont="1" applyFill="1" applyAlignment="1" applyProtection="1">
      <alignment vertical="top" wrapText="1"/>
      <protection locked="0"/>
    </xf>
    <xf numFmtId="0" fontId="101" fillId="0" borderId="0" xfId="0" applyFont="1" applyAlignment="1">
      <alignment vertical="top" wrapText="1"/>
    </xf>
    <xf numFmtId="0" fontId="0" fillId="0" borderId="0" xfId="0" applyFont="1" applyAlignment="1">
      <alignment horizontal="justify" vertical="top" wrapText="1" shrinkToFit="1"/>
    </xf>
    <xf numFmtId="0" fontId="53" fillId="0" borderId="0" xfId="0" applyFont="1" applyAlignment="1">
      <alignment vertical="top"/>
    </xf>
    <xf numFmtId="0" fontId="52" fillId="0" borderId="0" xfId="0" applyFont="1" applyAlignment="1">
      <alignment horizontal="left" shrinkToFit="1"/>
    </xf>
    <xf numFmtId="0" fontId="53" fillId="0" borderId="0" xfId="0" applyFont="1" applyAlignment="1" applyProtection="1">
      <alignment horizontal="left" vertical="top" wrapText="1"/>
      <protection locked="0"/>
    </xf>
    <xf numFmtId="0" fontId="53" fillId="0" borderId="0" xfId="0" applyFont="1" applyAlignment="1" applyProtection="1">
      <alignment horizontal="justify" vertical="top" wrapText="1" shrinkToFit="1"/>
      <protection locked="0"/>
    </xf>
    <xf numFmtId="0" fontId="53" fillId="0" borderId="0" xfId="0" applyFont="1" applyBorder="1" applyAlignment="1">
      <alignment horizontal="left" vertical="top" wrapText="1" shrinkToFit="1"/>
    </xf>
    <xf numFmtId="0" fontId="53" fillId="0" borderId="0" xfId="0" applyFont="1" applyAlignment="1">
      <alignment horizontal="left" wrapText="1" shrinkToFit="1"/>
    </xf>
    <xf numFmtId="0" fontId="53" fillId="0" borderId="0" xfId="0" applyFont="1" applyAlignment="1">
      <alignment horizontal="left" wrapText="1"/>
    </xf>
    <xf numFmtId="0" fontId="53" fillId="0" borderId="0" xfId="0" applyFont="1" applyAlignment="1">
      <alignment wrapText="1" shrinkToFit="1"/>
    </xf>
    <xf numFmtId="0" fontId="53" fillId="0" borderId="0" xfId="0" applyFont="1" applyBorder="1" applyAlignment="1" applyProtection="1">
      <alignment horizontal="left" vertical="top" wrapText="1" shrinkToFit="1"/>
      <protection locked="0"/>
    </xf>
    <xf numFmtId="0" fontId="53" fillId="0" borderId="0" xfId="0" applyFont="1" applyAlignment="1" applyProtection="1">
      <alignment horizontal="left" wrapText="1"/>
      <protection locked="0"/>
    </xf>
    <xf numFmtId="0" fontId="83" fillId="0" borderId="0" xfId="0" applyFont="1" applyFill="1" applyAlignment="1" applyProtection="1">
      <alignment wrapText="1"/>
    </xf>
    <xf numFmtId="0" fontId="83" fillId="0" borderId="0" xfId="0" applyFont="1" applyFill="1" applyBorder="1" applyAlignment="1" applyProtection="1">
      <alignment horizontal="justify" vertical="center" wrapText="1"/>
      <protection locked="0"/>
    </xf>
    <xf numFmtId="0" fontId="119" fillId="0" borderId="0" xfId="0" applyFont="1" applyFill="1" applyAlignment="1" applyProtection="1">
      <alignment horizontal="justify" vertical="center" wrapText="1"/>
      <protection locked="0"/>
    </xf>
    <xf numFmtId="0" fontId="84" fillId="0" borderId="0" xfId="0" applyFont="1" applyAlignment="1" applyProtection="1">
      <alignment horizontal="left" vertical="top"/>
    </xf>
    <xf numFmtId="0" fontId="119" fillId="0" borderId="0" xfId="0" applyFont="1" applyAlignment="1" applyProtection="1">
      <alignment horizontal="left" vertical="top"/>
    </xf>
    <xf numFmtId="0" fontId="83" fillId="0" borderId="0" xfId="0" applyFont="1" applyAlignment="1">
      <alignment horizontal="left" vertical="top" wrapText="1"/>
    </xf>
    <xf numFmtId="0" fontId="83" fillId="0" borderId="0" xfId="0" applyFont="1" applyFill="1" applyAlignment="1" applyProtection="1">
      <alignment horizontal="justify" vertical="center" wrapText="1"/>
      <protection locked="0"/>
    </xf>
    <xf numFmtId="0" fontId="83" fillId="0" borderId="1" xfId="0" applyFont="1" applyBorder="1" applyAlignment="1">
      <alignment horizontal="center" vertical="center"/>
    </xf>
    <xf numFmtId="0" fontId="83" fillId="0" borderId="1" xfId="0" applyFont="1" applyBorder="1" applyAlignment="1"/>
    <xf numFmtId="0" fontId="78" fillId="0" borderId="1" xfId="0" applyFont="1" applyBorder="1" applyAlignment="1">
      <alignment horizontal="center" vertical="center" wrapText="1"/>
    </xf>
    <xf numFmtId="0" fontId="78" fillId="0" borderId="1" xfId="0" applyFont="1" applyBorder="1" applyAlignment="1">
      <alignment vertical="center"/>
    </xf>
    <xf numFmtId="0" fontId="84" fillId="0" borderId="0" xfId="0" applyFont="1" applyFill="1" applyAlignment="1" applyProtection="1">
      <alignment horizontal="justify" vertical="top" wrapText="1"/>
      <protection locked="0"/>
    </xf>
    <xf numFmtId="0" fontId="83" fillId="0" borderId="0" xfId="0" applyFont="1" applyAlignment="1" applyProtection="1">
      <alignment horizontal="justify" vertical="top" wrapText="1"/>
    </xf>
    <xf numFmtId="0" fontId="119" fillId="0" borderId="0" xfId="0" applyFont="1" applyAlignment="1" applyProtection="1">
      <alignment horizontal="justify" vertical="top" wrapText="1"/>
    </xf>
    <xf numFmtId="0" fontId="0" fillId="0" borderId="1" xfId="0" applyBorder="1" applyAlignment="1"/>
    <xf numFmtId="0" fontId="78" fillId="0" borderId="6" xfId="0" applyFont="1" applyBorder="1" applyAlignment="1">
      <alignment horizontal="center" vertical="center" wrapText="1"/>
    </xf>
    <xf numFmtId="0" fontId="0" fillId="0" borderId="45" xfId="0" applyBorder="1" applyAlignment="1">
      <alignment vertical="center"/>
    </xf>
    <xf numFmtId="0" fontId="0" fillId="0" borderId="46" xfId="0" applyBorder="1" applyAlignment="1">
      <alignment vertical="center"/>
    </xf>
    <xf numFmtId="14" fontId="83" fillId="0" borderId="48" xfId="0" applyNumberFormat="1" applyFont="1" applyBorder="1" applyAlignment="1">
      <alignment horizontal="left" shrinkToFit="1"/>
    </xf>
    <xf numFmtId="0" fontId="119" fillId="0" borderId="48" xfId="0" applyFont="1" applyBorder="1" applyAlignment="1">
      <alignment horizontal="left"/>
    </xf>
    <xf numFmtId="14" fontId="83" fillId="0" borderId="45" xfId="0" applyNumberFormat="1" applyFont="1" applyBorder="1" applyAlignment="1">
      <alignment horizontal="left" wrapText="1" shrinkToFit="1"/>
    </xf>
    <xf numFmtId="0" fontId="119" fillId="0" borderId="45" xfId="0" applyFont="1" applyBorder="1" applyAlignment="1">
      <alignment horizontal="left"/>
    </xf>
    <xf numFmtId="14" fontId="83" fillId="0" borderId="45" xfId="0" applyNumberFormat="1" applyFont="1" applyBorder="1" applyAlignment="1">
      <alignment horizontal="left" shrinkToFit="1"/>
    </xf>
    <xf numFmtId="0" fontId="83" fillId="0" borderId="0" xfId="0" applyFont="1" applyFill="1" applyBorder="1" applyAlignment="1" applyProtection="1">
      <alignment horizontal="justify" vertical="top" wrapText="1"/>
      <protection locked="0"/>
    </xf>
    <xf numFmtId="0" fontId="119" fillId="0" borderId="0" xfId="0" applyFont="1" applyFill="1" applyAlignment="1" applyProtection="1">
      <alignment horizontal="justify" vertical="top" wrapText="1"/>
      <protection locked="0"/>
    </xf>
    <xf numFmtId="14" fontId="84" fillId="0" borderId="0" xfId="0" applyNumberFormat="1" applyFont="1" applyAlignment="1">
      <alignment horizontal="center" shrinkToFit="1"/>
    </xf>
    <xf numFmtId="0" fontId="119" fillId="0" borderId="0" xfId="0" applyFont="1" applyAlignment="1">
      <alignment shrinkToFit="1"/>
    </xf>
    <xf numFmtId="0" fontId="83" fillId="0" borderId="0" xfId="0" applyFont="1" applyAlignment="1" applyProtection="1">
      <alignment shrinkToFit="1"/>
      <protection locked="0"/>
    </xf>
    <xf numFmtId="0" fontId="0" fillId="0" borderId="0" xfId="0" applyAlignment="1" applyProtection="1">
      <alignment shrinkToFit="1"/>
      <protection locked="0"/>
    </xf>
    <xf numFmtId="0" fontId="84" fillId="0" borderId="34" xfId="0" applyFont="1" applyBorder="1" applyAlignment="1">
      <alignment horizontal="left" vertical="top" wrapText="1"/>
    </xf>
    <xf numFmtId="0" fontId="48" fillId="0" borderId="34" xfId="0" applyFont="1" applyBorder="1" applyAlignment="1">
      <alignment horizontal="left" vertical="top" wrapText="1"/>
    </xf>
    <xf numFmtId="0" fontId="83" fillId="0" borderId="0" xfId="0" applyFont="1" applyAlignment="1"/>
    <xf numFmtId="14" fontId="83" fillId="0" borderId="0" xfId="0" applyNumberFormat="1" applyFont="1" applyFill="1" applyAlignment="1" applyProtection="1">
      <alignment horizontal="justify" shrinkToFit="1"/>
      <protection locked="0"/>
    </xf>
    <xf numFmtId="0" fontId="83" fillId="0" borderId="0" xfId="0" applyFont="1" applyAlignment="1">
      <alignment vertical="center" wrapText="1"/>
    </xf>
    <xf numFmtId="0" fontId="83" fillId="0" borderId="0" xfId="0" applyFont="1" applyAlignment="1">
      <alignment horizontal="left"/>
    </xf>
    <xf numFmtId="0" fontId="83" fillId="0" borderId="0" xfId="0" applyFont="1" applyAlignment="1">
      <alignment shrinkToFit="1"/>
    </xf>
    <xf numFmtId="0" fontId="83" fillId="0" borderId="0" xfId="0" applyFont="1" applyFill="1" applyAlignment="1" applyProtection="1">
      <alignment horizontal="justify" vertical="top" wrapText="1"/>
      <protection locked="0"/>
    </xf>
    <xf numFmtId="0" fontId="83" fillId="0" borderId="0" xfId="0" applyFont="1" applyAlignment="1">
      <alignment horizontal="justify" vertical="center" wrapText="1"/>
    </xf>
    <xf numFmtId="0" fontId="83" fillId="0" borderId="0" xfId="0" applyFont="1" applyBorder="1" applyAlignment="1" applyProtection="1">
      <alignment horizontal="justify" vertical="center" wrapText="1" readingOrder="1"/>
    </xf>
    <xf numFmtId="14" fontId="83" fillId="0" borderId="0" xfId="0" applyNumberFormat="1" applyFont="1" applyBorder="1" applyAlignment="1">
      <alignment horizontal="right" shrinkToFit="1"/>
    </xf>
    <xf numFmtId="0" fontId="83" fillId="0" borderId="0" xfId="0" applyFont="1" applyBorder="1" applyAlignment="1">
      <alignment vertical="center" wrapText="1" shrinkToFit="1"/>
    </xf>
    <xf numFmtId="14" fontId="83" fillId="0" borderId="0" xfId="0" applyNumberFormat="1" applyFont="1" applyAlignment="1">
      <alignment horizontal="left" shrinkToFit="1"/>
    </xf>
    <xf numFmtId="0" fontId="83" fillId="0" borderId="0" xfId="0" applyFont="1" applyAlignment="1">
      <alignment horizontal="left" shrinkToFit="1"/>
    </xf>
    <xf numFmtId="0" fontId="83" fillId="0" borderId="0" xfId="0" applyFont="1" applyBorder="1" applyAlignment="1">
      <alignment horizontal="justify" vertical="top" wrapText="1"/>
    </xf>
    <xf numFmtId="0" fontId="0" fillId="0" borderId="0" xfId="0" applyAlignment="1">
      <alignment horizontal="justify" wrapText="1"/>
    </xf>
    <xf numFmtId="0" fontId="83" fillId="0" borderId="0" xfId="0" applyFont="1" applyBorder="1" applyAlignment="1">
      <alignment vertical="top" wrapText="1"/>
    </xf>
    <xf numFmtId="0" fontId="83" fillId="0" borderId="0" xfId="0" applyFont="1" applyBorder="1" applyAlignment="1">
      <alignment horizontal="justify" vertical="center" wrapText="1"/>
    </xf>
    <xf numFmtId="167" fontId="83" fillId="0" borderId="0" xfId="0" applyNumberFormat="1" applyFont="1" applyAlignment="1">
      <alignment horizontal="left" vertical="top"/>
    </xf>
    <xf numFmtId="167" fontId="0" fillId="0" borderId="0" xfId="0" applyNumberFormat="1" applyAlignment="1">
      <alignment horizontal="left" vertical="top"/>
    </xf>
    <xf numFmtId="0" fontId="83" fillId="0" borderId="0" xfId="0" applyFont="1" applyAlignment="1">
      <alignment horizontal="center" vertical="center"/>
    </xf>
    <xf numFmtId="0" fontId="84" fillId="0" borderId="0" xfId="0" applyFont="1" applyBorder="1" applyAlignment="1">
      <alignment vertical="top"/>
    </xf>
    <xf numFmtId="0" fontId="84" fillId="0" borderId="0" xfId="0" applyFont="1" applyAlignment="1">
      <alignment horizontal="justify" vertical="center" wrapText="1"/>
    </xf>
    <xf numFmtId="0" fontId="0" fillId="0" borderId="0" xfId="0" applyAlignment="1">
      <alignment horizontal="justify" vertical="center" wrapText="1"/>
    </xf>
    <xf numFmtId="0" fontId="83" fillId="0" borderId="0" xfId="0" applyFont="1" applyBorder="1" applyAlignment="1">
      <alignment vertical="top" shrinkToFit="1"/>
    </xf>
    <xf numFmtId="0" fontId="83" fillId="0" borderId="0" xfId="0" applyFont="1" applyBorder="1" applyAlignment="1">
      <alignment horizontal="justify" vertical="center" wrapText="1" shrinkToFit="1"/>
    </xf>
    <xf numFmtId="0" fontId="83" fillId="0" borderId="0" xfId="0" applyFont="1" applyBorder="1" applyAlignment="1">
      <alignment horizontal="left" vertical="top" shrinkToFit="1"/>
    </xf>
    <xf numFmtId="0" fontId="116" fillId="0" borderId="1" xfId="0" applyFont="1" applyBorder="1" applyAlignment="1">
      <alignment vertical="center"/>
    </xf>
    <xf numFmtId="0" fontId="116" fillId="0" borderId="1" xfId="0" applyFont="1" applyBorder="1" applyAlignment="1">
      <alignment horizontal="center" vertical="center" wrapText="1"/>
    </xf>
    <xf numFmtId="0" fontId="78" fillId="0" borderId="1" xfId="0" applyFont="1" applyBorder="1" applyAlignment="1">
      <alignment horizontal="center" vertical="center" wrapText="1" shrinkToFit="1"/>
    </xf>
    <xf numFmtId="0" fontId="0" fillId="0" borderId="1" xfId="0" applyBorder="1" applyAlignment="1">
      <alignment horizontal="center" vertical="center"/>
    </xf>
    <xf numFmtId="0" fontId="84" fillId="0" borderId="0" xfId="0" applyFont="1" applyBorder="1" applyAlignment="1">
      <alignment horizontal="left" vertical="top" wrapText="1"/>
    </xf>
    <xf numFmtId="0" fontId="83" fillId="0" borderId="0" xfId="0" applyFont="1" applyBorder="1" applyAlignment="1">
      <alignment horizontal="left" vertical="top" wrapText="1"/>
    </xf>
    <xf numFmtId="0" fontId="0" fillId="0" borderId="0" xfId="0" applyFont="1" applyAlignment="1">
      <alignment horizontal="left" vertical="top" wrapText="1"/>
    </xf>
    <xf numFmtId="0" fontId="83" fillId="0" borderId="0" xfId="0" applyFont="1" applyAlignment="1">
      <alignment vertical="top" wrapText="1"/>
    </xf>
    <xf numFmtId="0" fontId="0" fillId="0" borderId="1" xfId="0" applyBorder="1" applyAlignment="1">
      <alignment horizontal="center" vertical="center" wrapText="1"/>
    </xf>
    <xf numFmtId="0" fontId="83" fillId="0" borderId="1" xfId="0" applyFont="1" applyBorder="1" applyAlignment="1">
      <alignment horizontal="center" vertical="center" wrapText="1"/>
    </xf>
    <xf numFmtId="0" fontId="0" fillId="0" borderId="1" xfId="0" applyBorder="1" applyAlignment="1">
      <alignment horizontal="center" wrapText="1"/>
    </xf>
    <xf numFmtId="0" fontId="84" fillId="0" borderId="0" xfId="0" applyFont="1" applyFill="1" applyAlignment="1" applyProtection="1">
      <protection locked="0"/>
    </xf>
    <xf numFmtId="0" fontId="83" fillId="0" borderId="0" xfId="0" applyFont="1" applyFill="1" applyAlignment="1" applyProtection="1">
      <protection locked="0"/>
    </xf>
    <xf numFmtId="0" fontId="83" fillId="0" borderId="6" xfId="0" applyFont="1" applyBorder="1" applyAlignment="1">
      <alignment horizontal="center" vertical="center"/>
    </xf>
    <xf numFmtId="0" fontId="0" fillId="0" borderId="45" xfId="0" applyBorder="1" applyAlignment="1"/>
    <xf numFmtId="0" fontId="0" fillId="0" borderId="46" xfId="0" applyBorder="1" applyAlignment="1"/>
    <xf numFmtId="0" fontId="83" fillId="0" borderId="0" xfId="0" applyFont="1" applyAlignment="1" applyProtection="1">
      <alignment horizontal="left" vertical="top" wrapText="1"/>
    </xf>
    <xf numFmtId="0" fontId="119" fillId="0" borderId="0" xfId="0" applyFont="1" applyAlignment="1">
      <alignment vertical="top" wrapText="1"/>
    </xf>
    <xf numFmtId="0" fontId="83" fillId="0" borderId="0" xfId="0" applyFont="1" applyAlignment="1" applyProtection="1">
      <alignment horizontal="left" shrinkToFit="1"/>
    </xf>
    <xf numFmtId="0" fontId="0" fillId="0" borderId="1" xfId="0" applyBorder="1" applyAlignment="1">
      <alignment vertical="center"/>
    </xf>
    <xf numFmtId="14" fontId="78" fillId="0" borderId="0" xfId="0" applyNumberFormat="1" applyFont="1" applyAlignment="1">
      <alignment horizontal="left" vertical="center" shrinkToFit="1"/>
    </xf>
    <xf numFmtId="0" fontId="0" fillId="0" borderId="0" xfId="0" applyAlignment="1">
      <alignment horizontal="left" vertical="center"/>
    </xf>
    <xf numFmtId="0" fontId="0" fillId="0" borderId="0" xfId="0" applyAlignment="1">
      <alignment horizontal="center" vertical="top" wrapText="1"/>
    </xf>
    <xf numFmtId="0" fontId="53" fillId="0" borderId="0" xfId="0" applyFont="1" applyAlignment="1" applyProtection="1">
      <alignment horizontal="justify" wrapText="1"/>
    </xf>
    <xf numFmtId="0" fontId="54" fillId="0" borderId="0" xfId="0" applyFont="1" applyAlignment="1">
      <alignment horizontal="center" shrinkToFit="1"/>
    </xf>
    <xf numFmtId="0" fontId="54" fillId="0" borderId="0" xfId="0" applyFont="1" applyAlignment="1">
      <alignment horizontal="justify" wrapText="1"/>
    </xf>
    <xf numFmtId="0" fontId="53" fillId="0" borderId="0" xfId="0" applyFont="1" applyAlignment="1">
      <alignment horizontal="justify" wrapText="1"/>
    </xf>
    <xf numFmtId="0" fontId="53" fillId="0" borderId="0" xfId="0" applyFont="1" applyBorder="1" applyAlignment="1">
      <alignment vertical="top" wrapText="1" shrinkToFit="1"/>
    </xf>
    <xf numFmtId="0" fontId="53" fillId="0" borderId="0" xfId="0" applyFont="1" applyBorder="1" applyAlignment="1">
      <alignment horizontal="justify" vertical="top" shrinkToFit="1"/>
    </xf>
    <xf numFmtId="0" fontId="53" fillId="0" borderId="0" xfId="0" applyFont="1" applyAlignment="1">
      <alignment horizontal="justify"/>
    </xf>
    <xf numFmtId="0" fontId="53" fillId="0" borderId="0" xfId="0" applyFont="1" applyAlignment="1">
      <alignment vertical="center" wrapText="1"/>
    </xf>
    <xf numFmtId="0" fontId="56" fillId="0" borderId="0" xfId="0" applyFont="1" applyFill="1" applyAlignment="1" applyProtection="1">
      <alignment shrinkToFit="1"/>
      <protection locked="0"/>
    </xf>
    <xf numFmtId="0" fontId="0" fillId="0" borderId="0" xfId="0" applyFill="1" applyAlignment="1" applyProtection="1">
      <alignment shrinkToFit="1"/>
      <protection locked="0"/>
    </xf>
    <xf numFmtId="0" fontId="55" fillId="0" borderId="0" xfId="0" applyFont="1" applyFill="1" applyAlignment="1" applyProtection="1">
      <protection locked="0"/>
    </xf>
    <xf numFmtId="0" fontId="0" fillId="0" borderId="0" xfId="0" applyFill="1" applyAlignment="1" applyProtection="1">
      <protection locked="0"/>
    </xf>
    <xf numFmtId="0" fontId="3" fillId="0" borderId="0" xfId="0" applyFont="1" applyFill="1" applyAlignment="1" applyProtection="1">
      <protection locked="0"/>
    </xf>
    <xf numFmtId="0" fontId="54" fillId="0" borderId="0" xfId="0" applyFont="1" applyFill="1" applyBorder="1" applyAlignment="1" applyProtection="1">
      <alignment wrapText="1"/>
      <protection locked="0"/>
    </xf>
    <xf numFmtId="0" fontId="0" fillId="0" borderId="0" xfId="0" applyFill="1" applyAlignment="1" applyProtection="1">
      <alignment wrapText="1"/>
      <protection locked="0"/>
    </xf>
    <xf numFmtId="0" fontId="54" fillId="0" borderId="0" xfId="0" applyFont="1" applyFill="1" applyAlignment="1" applyProtection="1">
      <alignment wrapText="1"/>
      <protection locked="0"/>
    </xf>
    <xf numFmtId="0" fontId="54" fillId="0" borderId="0" xfId="0" applyFont="1" applyFill="1" applyAlignment="1" applyProtection="1">
      <alignment horizontal="justify" wrapText="1"/>
      <protection locked="0"/>
    </xf>
    <xf numFmtId="0" fontId="0" fillId="0" borderId="0" xfId="0" applyFill="1" applyAlignment="1" applyProtection="1">
      <alignment horizontal="justify" wrapText="1"/>
      <protection locked="0"/>
    </xf>
    <xf numFmtId="0" fontId="54" fillId="0" borderId="0" xfId="0" applyFont="1" applyBorder="1" applyAlignment="1">
      <alignment vertical="top" wrapText="1" shrinkToFit="1"/>
    </xf>
    <xf numFmtId="0" fontId="54" fillId="0" borderId="0" xfId="0" applyFont="1" applyAlignment="1">
      <alignment wrapText="1" shrinkToFit="1"/>
    </xf>
    <xf numFmtId="14" fontId="50" fillId="0" borderId="0" xfId="0" applyNumberFormat="1" applyFont="1" applyAlignment="1">
      <alignment horizontal="left" vertical="center" shrinkToFit="1"/>
    </xf>
    <xf numFmtId="0" fontId="48" fillId="0" borderId="0" xfId="0" applyFont="1" applyAlignment="1">
      <alignment horizontal="left" vertical="center"/>
    </xf>
    <xf numFmtId="14" fontId="54" fillId="0" borderId="0" xfId="0" applyNumberFormat="1" applyFont="1" applyBorder="1" applyAlignment="1">
      <alignment horizontal="right" shrinkToFit="1"/>
    </xf>
    <xf numFmtId="0" fontId="54" fillId="0" borderId="0" xfId="0" applyFont="1" applyAlignment="1">
      <alignment horizontal="left" vertical="center" wrapText="1"/>
    </xf>
    <xf numFmtId="0" fontId="54" fillId="0" borderId="0" xfId="0" applyFont="1" applyBorder="1" applyAlignment="1">
      <alignment horizontal="left" vertical="center" wrapText="1" shrinkToFit="1"/>
    </xf>
    <xf numFmtId="0" fontId="54" fillId="0" borderId="0" xfId="0" applyFont="1" applyBorder="1" applyAlignment="1">
      <alignment horizontal="left" vertical="center" wrapText="1"/>
    </xf>
    <xf numFmtId="0" fontId="54" fillId="0" borderId="0" xfId="0" applyFont="1" applyBorder="1" applyAlignment="1">
      <alignment horizontal="left" vertical="center" shrinkToFit="1"/>
    </xf>
    <xf numFmtId="0" fontId="54" fillId="0" borderId="0" xfId="0" applyFont="1" applyAlignment="1">
      <alignment horizontal="left" vertical="center" shrinkToFit="1"/>
    </xf>
    <xf numFmtId="0" fontId="54" fillId="0" borderId="0" xfId="0" applyFont="1" applyBorder="1" applyAlignment="1">
      <alignment horizontal="justify" vertical="center" wrapText="1"/>
    </xf>
    <xf numFmtId="0" fontId="53" fillId="0" borderId="0" xfId="0" applyFont="1" applyAlignment="1">
      <alignment horizontal="justify" vertical="center" wrapText="1"/>
    </xf>
    <xf numFmtId="0" fontId="53" fillId="0" borderId="0" xfId="0" applyFont="1" applyAlignment="1">
      <alignment horizontal="left" vertical="center" wrapText="1"/>
    </xf>
    <xf numFmtId="0" fontId="50" fillId="0" borderId="0" xfId="0" applyFont="1" applyFill="1" applyAlignment="1" applyProtection="1">
      <alignment horizontal="left" shrinkToFit="1"/>
      <protection locked="0"/>
    </xf>
    <xf numFmtId="0" fontId="54" fillId="0" borderId="0" xfId="0" applyFont="1" applyFill="1" applyAlignment="1" applyProtection="1">
      <alignment shrinkToFit="1"/>
      <protection locked="0"/>
    </xf>
    <xf numFmtId="0" fontId="50" fillId="0" borderId="0" xfId="0" applyFont="1" applyAlignment="1">
      <alignment horizontal="left" shrinkToFit="1"/>
    </xf>
    <xf numFmtId="0" fontId="54" fillId="0" borderId="0" xfId="0" applyFont="1" applyFill="1" applyAlignment="1" applyProtection="1">
      <alignment horizontal="justify" vertical="top" wrapText="1"/>
      <protection locked="0"/>
    </xf>
    <xf numFmtId="0" fontId="53" fillId="0" borderId="0" xfId="0" applyFont="1" applyFill="1" applyAlignment="1" applyProtection="1">
      <alignment horizontal="justify" wrapText="1"/>
      <protection locked="0"/>
    </xf>
    <xf numFmtId="0" fontId="54" fillId="0" borderId="0" xfId="0" applyFont="1" applyFill="1" applyAlignment="1" applyProtection="1">
      <alignment horizontal="justify" vertical="center" wrapText="1" shrinkToFit="1"/>
      <protection locked="0"/>
    </xf>
    <xf numFmtId="0" fontId="53" fillId="0" borderId="0" xfId="0" applyFont="1" applyFill="1" applyAlignment="1" applyProtection="1">
      <alignment horizontal="justify" vertical="center" wrapText="1"/>
      <protection locked="0"/>
    </xf>
    <xf numFmtId="0" fontId="54" fillId="0" borderId="0" xfId="0" applyFont="1" applyBorder="1" applyAlignment="1">
      <alignment horizontal="justify" vertical="center" wrapText="1" shrinkToFit="1"/>
    </xf>
    <xf numFmtId="0" fontId="54" fillId="0" borderId="0" xfId="0" applyFont="1" applyAlignment="1">
      <alignment horizontal="justify" vertical="center" wrapText="1" shrinkToFit="1"/>
    </xf>
    <xf numFmtId="0" fontId="53" fillId="0" borderId="0" xfId="0" applyFont="1" applyAlignment="1">
      <alignment horizontal="justify" vertical="center"/>
    </xf>
    <xf numFmtId="0" fontId="54" fillId="0" borderId="0" xfId="0" applyFont="1" applyFill="1" applyBorder="1" applyAlignment="1" applyProtection="1">
      <alignment horizontal="justify" vertical="center" wrapText="1" shrinkToFit="1"/>
      <protection locked="0"/>
    </xf>
    <xf numFmtId="0" fontId="54" fillId="0" borderId="0" xfId="0" applyFont="1" applyFill="1" applyAlignment="1" applyProtection="1">
      <alignment horizontal="justify" vertical="center" wrapText="1"/>
      <protection locked="0"/>
    </xf>
    <xf numFmtId="0" fontId="54" fillId="0" borderId="0" xfId="0" applyFont="1" applyFill="1" applyAlignment="1" applyProtection="1">
      <alignment horizontal="justify" vertical="top" wrapText="1" shrinkToFit="1"/>
      <protection locked="0"/>
    </xf>
    <xf numFmtId="0" fontId="54" fillId="0" borderId="0" xfId="0" applyFont="1" applyBorder="1" applyAlignment="1">
      <alignment horizontal="justify" vertical="top" wrapText="1" shrinkToFit="1"/>
    </xf>
    <xf numFmtId="0" fontId="54" fillId="0" borderId="0" xfId="0" applyFont="1" applyAlignment="1">
      <alignment horizontal="justify" wrapText="1" shrinkToFit="1"/>
    </xf>
    <xf numFmtId="0" fontId="54" fillId="0" borderId="0" xfId="0" applyFont="1" applyFill="1" applyBorder="1" applyAlignment="1" applyProtection="1">
      <alignment horizontal="justify" vertical="top" wrapText="1" shrinkToFit="1"/>
      <protection locked="0"/>
    </xf>
    <xf numFmtId="0" fontId="50" fillId="0" borderId="0" xfId="0" applyFont="1" applyFill="1" applyAlignment="1" applyProtection="1">
      <alignment horizontal="justify" vertical="top" wrapText="1"/>
      <protection locked="0"/>
    </xf>
    <xf numFmtId="0" fontId="48" fillId="0" borderId="0" xfId="0" applyFont="1" applyFill="1" applyAlignment="1" applyProtection="1">
      <alignment horizontal="justify" vertical="top" wrapText="1"/>
      <protection locked="0"/>
    </xf>
    <xf numFmtId="0" fontId="52" fillId="0" borderId="44" xfId="0" applyFont="1" applyFill="1" applyBorder="1" applyAlignment="1" applyProtection="1">
      <alignment vertical="top" shrinkToFit="1"/>
      <protection locked="0"/>
    </xf>
    <xf numFmtId="0" fontId="52" fillId="0" borderId="42" xfId="0" applyFont="1" applyFill="1" applyBorder="1" applyAlignment="1" applyProtection="1">
      <alignment vertical="top" shrinkToFit="1"/>
      <protection locked="0"/>
    </xf>
    <xf numFmtId="0" fontId="53" fillId="0" borderId="44" xfId="0" applyFont="1" applyFill="1" applyBorder="1" applyAlignment="1" applyProtection="1">
      <alignment horizontal="justify" vertical="top" wrapText="1"/>
      <protection locked="0"/>
    </xf>
    <xf numFmtId="0" fontId="53" fillId="0" borderId="42" xfId="0" applyFont="1" applyFill="1" applyBorder="1" applyAlignment="1" applyProtection="1">
      <alignment horizontal="justify" vertical="top" wrapText="1"/>
      <protection locked="0"/>
    </xf>
    <xf numFmtId="0" fontId="50" fillId="0" borderId="44" xfId="0" applyFont="1" applyFill="1" applyBorder="1" applyAlignment="1" applyProtection="1">
      <alignment vertical="top" shrinkToFit="1"/>
      <protection locked="0"/>
    </xf>
    <xf numFmtId="0" fontId="50" fillId="0" borderId="42" xfId="0" applyFont="1" applyFill="1" applyBorder="1" applyAlignment="1" applyProtection="1">
      <alignment vertical="top" shrinkToFit="1"/>
      <protection locked="0"/>
    </xf>
    <xf numFmtId="0" fontId="54" fillId="0" borderId="44" xfId="0" applyFont="1" applyFill="1" applyBorder="1" applyAlignment="1" applyProtection="1">
      <alignment vertical="top" wrapText="1"/>
      <protection locked="0"/>
    </xf>
    <xf numFmtId="0" fontId="54" fillId="0" borderId="42" xfId="0" applyFont="1" applyFill="1" applyBorder="1" applyAlignment="1" applyProtection="1">
      <alignment vertical="top" wrapText="1"/>
      <protection locked="0"/>
    </xf>
    <xf numFmtId="0" fontId="54" fillId="0" borderId="44" xfId="0" applyFont="1" applyFill="1" applyBorder="1" applyAlignment="1" applyProtection="1">
      <alignment horizontal="justify" vertical="top" wrapText="1"/>
      <protection locked="0"/>
    </xf>
    <xf numFmtId="0" fontId="54" fillId="0" borderId="42" xfId="0" applyFont="1" applyFill="1" applyBorder="1" applyAlignment="1" applyProtection="1">
      <alignment horizontal="justify" vertical="top" wrapText="1"/>
      <protection locked="0"/>
    </xf>
    <xf numFmtId="0" fontId="0" fillId="0" borderId="0" xfId="0" applyFill="1" applyAlignment="1" applyProtection="1">
      <alignment horizontal="justify" vertical="top" wrapText="1"/>
      <protection locked="0"/>
    </xf>
    <xf numFmtId="0" fontId="120" fillId="5" borderId="0" xfId="0" applyFont="1" applyFill="1" applyAlignment="1">
      <alignment horizontal="left" vertical="top" shrinkToFit="1"/>
    </xf>
    <xf numFmtId="0" fontId="121" fillId="5" borderId="0" xfId="0" applyFont="1" applyFill="1" applyAlignment="1">
      <alignment vertical="top" shrinkToFit="1"/>
    </xf>
    <xf numFmtId="0" fontId="9" fillId="0" borderId="0" xfId="0" applyFont="1" applyAlignment="1">
      <alignment horizontal="center" vertical="center"/>
    </xf>
    <xf numFmtId="14" fontId="65" fillId="0" borderId="0" xfId="0" applyNumberFormat="1" applyFont="1" applyAlignment="1" applyProtection="1">
      <alignment horizontal="center" shrinkToFit="1"/>
    </xf>
    <xf numFmtId="0" fontId="119" fillId="0" borderId="0" xfId="0" applyFont="1" applyAlignment="1">
      <alignment horizontal="center" shrinkToFit="1"/>
    </xf>
    <xf numFmtId="14" fontId="65" fillId="0" borderId="0" xfId="0" applyNumberFormat="1" applyFont="1" applyAlignment="1">
      <alignment shrinkToFit="1"/>
    </xf>
    <xf numFmtId="0" fontId="122" fillId="0" borderId="0" xfId="0" applyFont="1" applyAlignment="1">
      <alignment horizontal="center" textRotation="90"/>
    </xf>
    <xf numFmtId="0" fontId="65" fillId="0" borderId="0" xfId="0" applyFont="1" applyAlignment="1">
      <alignment shrinkToFit="1"/>
    </xf>
    <xf numFmtId="0" fontId="65" fillId="0" borderId="0" xfId="0" applyFont="1" applyAlignment="1">
      <alignment horizontal="center" shrinkToFit="1"/>
    </xf>
    <xf numFmtId="0" fontId="62" fillId="0" borderId="0" xfId="0" applyFont="1" applyBorder="1" applyAlignment="1">
      <alignment horizontal="justify" vertical="top" wrapText="1"/>
    </xf>
    <xf numFmtId="0" fontId="65" fillId="0" borderId="0" xfId="0" applyFont="1" applyFill="1" applyAlignment="1" applyProtection="1">
      <alignment horizontal="justify" shrinkToFit="1"/>
      <protection locked="0"/>
    </xf>
    <xf numFmtId="0" fontId="123" fillId="0" borderId="0" xfId="0" applyFont="1" applyFill="1" applyAlignment="1" applyProtection="1">
      <alignment horizontal="justify" shrinkToFit="1"/>
      <protection locked="0"/>
    </xf>
    <xf numFmtId="0" fontId="83" fillId="0" borderId="0" xfId="0" applyFont="1" applyFill="1" applyAlignment="1" applyProtection="1">
      <alignment horizontal="justify" shrinkToFit="1"/>
      <protection locked="0"/>
    </xf>
    <xf numFmtId="0" fontId="119" fillId="0" borderId="0" xfId="0" applyFont="1" applyFill="1" applyAlignment="1" applyProtection="1">
      <alignment horizontal="justify" shrinkToFit="1"/>
      <protection locked="0"/>
    </xf>
    <xf numFmtId="0" fontId="61" fillId="0" borderId="0" xfId="0" applyFont="1" applyBorder="1" applyAlignment="1">
      <alignment horizontal="justify" vertical="top" wrapText="1" shrinkToFit="1"/>
    </xf>
    <xf numFmtId="0" fontId="54" fillId="0" borderId="0" xfId="0" applyFont="1" applyAlignment="1">
      <alignment horizontal="left" shrinkToFit="1"/>
    </xf>
    <xf numFmtId="0" fontId="55" fillId="0" borderId="0" xfId="0" applyFont="1" applyAlignment="1">
      <alignment horizontal="center" shrinkToFit="1"/>
    </xf>
    <xf numFmtId="0" fontId="54" fillId="0" borderId="30" xfId="0" applyFont="1" applyBorder="1" applyAlignment="1">
      <alignment horizontal="justify" vertical="center" wrapText="1" shrinkToFit="1"/>
    </xf>
    <xf numFmtId="0" fontId="54" fillId="0" borderId="0" xfId="0" applyFont="1" applyAlignment="1">
      <alignment horizontal="justify" vertical="center" wrapText="1"/>
    </xf>
    <xf numFmtId="0" fontId="0" fillId="0" borderId="0" xfId="0" applyFont="1" applyAlignment="1"/>
    <xf numFmtId="0" fontId="62" fillId="0" borderId="0" xfId="0" applyFont="1" applyAlignment="1">
      <alignment horizontal="justify" wrapText="1" shrinkToFit="1"/>
    </xf>
    <xf numFmtId="0" fontId="53" fillId="0" borderId="0" xfId="0" applyFont="1" applyAlignment="1">
      <alignment horizontal="justify" wrapText="1" shrinkToFit="1"/>
    </xf>
    <xf numFmtId="0" fontId="62" fillId="0" borderId="0" xfId="0" applyFont="1" applyAlignment="1">
      <alignment shrinkToFit="1"/>
    </xf>
    <xf numFmtId="0" fontId="61" fillId="0" borderId="0" xfId="0" applyFont="1" applyFill="1" applyAlignment="1" applyProtection="1">
      <alignment shrinkToFit="1"/>
    </xf>
    <xf numFmtId="0" fontId="53" fillId="0" borderId="0" xfId="0" applyFont="1" applyFill="1" applyAlignment="1" applyProtection="1">
      <alignment shrinkToFit="1"/>
    </xf>
    <xf numFmtId="14" fontId="61" fillId="0" borderId="0" xfId="0" applyNumberFormat="1" applyFont="1" applyAlignment="1" applyProtection="1">
      <alignment shrinkToFit="1"/>
    </xf>
    <xf numFmtId="0" fontId="53" fillId="0" borderId="0" xfId="0" applyFont="1" applyAlignment="1" applyProtection="1">
      <alignment shrinkToFit="1"/>
    </xf>
    <xf numFmtId="0" fontId="61" fillId="0" borderId="0" xfId="0" applyFont="1" applyAlignment="1" applyProtection="1">
      <alignment horizontal="justify" wrapText="1" shrinkToFit="1"/>
    </xf>
    <xf numFmtId="0" fontId="61" fillId="0" borderId="0" xfId="0" applyFont="1" applyAlignment="1" applyProtection="1">
      <alignment shrinkToFit="1"/>
    </xf>
    <xf numFmtId="0" fontId="53" fillId="0" borderId="0" xfId="0" applyFont="1" applyAlignment="1">
      <alignment horizontal="left" shrinkToFit="1"/>
    </xf>
    <xf numFmtId="0" fontId="61" fillId="0" borderId="0" xfId="0" applyFont="1" applyAlignment="1">
      <alignment wrapText="1"/>
    </xf>
    <xf numFmtId="0" fontId="62" fillId="0" borderId="0" xfId="0" applyFont="1" applyBorder="1" applyAlignment="1">
      <alignment vertical="top" wrapText="1" shrinkToFit="1"/>
    </xf>
    <xf numFmtId="0" fontId="62" fillId="0" borderId="0" xfId="0" applyFont="1" applyAlignment="1"/>
    <xf numFmtId="0" fontId="62" fillId="0" borderId="0" xfId="0" applyFont="1" applyAlignment="1">
      <alignment wrapText="1"/>
    </xf>
    <xf numFmtId="0" fontId="61" fillId="0" borderId="0" xfId="0" applyFont="1" applyAlignment="1">
      <alignment vertical="top" wrapText="1" shrinkToFit="1"/>
    </xf>
    <xf numFmtId="0" fontId="61" fillId="0" borderId="0" xfId="0" applyFont="1" applyAlignment="1">
      <alignment vertical="top"/>
    </xf>
    <xf numFmtId="0" fontId="78" fillId="0" borderId="0" xfId="0" applyFont="1" applyFill="1" applyAlignment="1" applyProtection="1">
      <protection locked="0"/>
    </xf>
    <xf numFmtId="0" fontId="53" fillId="0" borderId="23" xfId="0" applyFont="1" applyBorder="1" applyAlignment="1">
      <alignment horizontal="left" vertical="center" wrapText="1" shrinkToFit="1"/>
    </xf>
    <xf numFmtId="0" fontId="0" fillId="0" borderId="27" xfId="0" applyBorder="1" applyAlignment="1">
      <alignment horizontal="left" vertical="center" wrapText="1" shrinkToFit="1"/>
    </xf>
    <xf numFmtId="0" fontId="0" fillId="0" borderId="31" xfId="0" applyBorder="1" applyAlignment="1">
      <alignment horizontal="left" vertical="center" wrapText="1" shrinkToFit="1"/>
    </xf>
    <xf numFmtId="0" fontId="73" fillId="0" borderId="0" xfId="0" applyFont="1" applyAlignment="1" applyProtection="1">
      <alignment shrinkToFit="1"/>
      <protection locked="0"/>
    </xf>
    <xf numFmtId="0" fontId="0" fillId="0" borderId="25" xfId="0" applyFill="1" applyBorder="1" applyAlignment="1" applyProtection="1"/>
    <xf numFmtId="0" fontId="0" fillId="0" borderId="24" xfId="0" applyFill="1" applyBorder="1" applyAlignment="1" applyProtection="1"/>
    <xf numFmtId="0" fontId="0" fillId="0" borderId="32" xfId="0" applyFill="1" applyBorder="1" applyAlignment="1" applyProtection="1"/>
    <xf numFmtId="0" fontId="0" fillId="0" borderId="25" xfId="0" applyBorder="1" applyAlignment="1" applyProtection="1"/>
    <xf numFmtId="0" fontId="0" fillId="0" borderId="24" xfId="0" applyBorder="1" applyAlignment="1" applyProtection="1"/>
    <xf numFmtId="0" fontId="0" fillId="0" borderId="32" xfId="0" applyBorder="1" applyAlignment="1" applyProtection="1"/>
    <xf numFmtId="0" fontId="124" fillId="0" borderId="25" xfId="0" applyFont="1" applyFill="1" applyBorder="1" applyAlignment="1" applyProtection="1">
      <alignment horizontal="center" vertical="center"/>
      <protection locked="0"/>
    </xf>
    <xf numFmtId="0" fontId="87" fillId="0" borderId="24" xfId="0" applyFont="1" applyFill="1" applyBorder="1" applyAlignment="1" applyProtection="1">
      <alignment horizontal="center" vertical="center"/>
      <protection locked="0"/>
    </xf>
    <xf numFmtId="0" fontId="87" fillId="0" borderId="32" xfId="0" applyFont="1" applyFill="1" applyBorder="1" applyAlignment="1" applyProtection="1">
      <alignment horizontal="center" vertical="center"/>
      <protection locked="0"/>
    </xf>
    <xf numFmtId="0" fontId="48" fillId="0" borderId="25" xfId="0" applyFont="1" applyBorder="1" applyAlignment="1" applyProtection="1">
      <alignment horizontal="center" vertical="center"/>
    </xf>
    <xf numFmtId="0" fontId="0" fillId="0" borderId="24" xfId="0" applyBorder="1" applyAlignment="1" applyProtection="1">
      <alignment horizontal="center" vertical="center"/>
    </xf>
    <xf numFmtId="0" fontId="0" fillId="0" borderId="32" xfId="0" applyBorder="1" applyAlignment="1" applyProtection="1">
      <alignment horizontal="center" vertical="center"/>
    </xf>
    <xf numFmtId="2" fontId="124" fillId="0" borderId="25" xfId="0" applyNumberFormat="1" applyFont="1" applyBorder="1" applyAlignment="1" applyProtection="1">
      <alignment horizontal="center" vertical="center"/>
    </xf>
    <xf numFmtId="2" fontId="124" fillId="0" borderId="24" xfId="0" applyNumberFormat="1" applyFont="1" applyBorder="1" applyAlignment="1" applyProtection="1">
      <alignment horizontal="center" vertical="center"/>
    </xf>
    <xf numFmtId="2" fontId="124" fillId="0" borderId="32" xfId="0" applyNumberFormat="1" applyFont="1" applyBorder="1" applyAlignment="1" applyProtection="1">
      <alignment horizontal="center" vertical="center"/>
    </xf>
    <xf numFmtId="0" fontId="124" fillId="0" borderId="25" xfId="0" applyFont="1" applyFill="1" applyBorder="1" applyAlignment="1" applyProtection="1">
      <alignment horizontal="center" vertical="center"/>
    </xf>
    <xf numFmtId="0" fontId="87" fillId="0" borderId="24" xfId="0" applyFont="1" applyFill="1" applyBorder="1" applyAlignment="1" applyProtection="1">
      <alignment horizontal="center" vertical="center"/>
    </xf>
    <xf numFmtId="0" fontId="87" fillId="0" borderId="32" xfId="0" applyFont="1" applyFill="1" applyBorder="1" applyAlignment="1" applyProtection="1">
      <alignment horizontal="center" vertical="center"/>
    </xf>
    <xf numFmtId="0" fontId="0" fillId="0" borderId="6" xfId="0" applyBorder="1" applyAlignment="1">
      <alignment horizontal="center" vertical="center" wrapText="1"/>
    </xf>
    <xf numFmtId="0" fontId="0" fillId="0" borderId="46" xfId="0" applyBorder="1" applyAlignment="1">
      <alignment horizontal="center" vertical="center" wrapText="1"/>
    </xf>
    <xf numFmtId="0" fontId="102" fillId="0" borderId="1" xfId="0" applyFont="1" applyBorder="1" applyAlignment="1">
      <alignment horizontal="justify" vertical="center" wrapText="1"/>
    </xf>
    <xf numFmtId="0" fontId="0" fillId="0" borderId="1" xfId="0" applyBorder="1" applyAlignment="1">
      <alignment horizontal="justify" vertical="center" wrapText="1"/>
    </xf>
    <xf numFmtId="0" fontId="51" fillId="0" borderId="0" xfId="0" applyFont="1" applyAlignment="1">
      <alignment horizontal="justify" vertical="top" wrapText="1"/>
    </xf>
    <xf numFmtId="0" fontId="97" fillId="0" borderId="0" xfId="0" applyFont="1" applyAlignment="1">
      <alignment horizontal="justify" vertical="top" wrapText="1"/>
    </xf>
    <xf numFmtId="0" fontId="97" fillId="0" borderId="0" xfId="0" applyFont="1" applyAlignment="1">
      <alignment wrapText="1"/>
    </xf>
    <xf numFmtId="0" fontId="51" fillId="0" borderId="0" xfId="0" applyFont="1" applyAlignment="1">
      <alignment horizontal="justify" wrapText="1"/>
    </xf>
    <xf numFmtId="0" fontId="95" fillId="0" borderId="6" xfId="0" applyFont="1" applyBorder="1" applyAlignment="1">
      <alignment horizontal="center" vertical="top" wrapText="1"/>
    </xf>
    <xf numFmtId="0" fontId="95" fillId="0" borderId="46" xfId="0" applyFont="1" applyBorder="1" applyAlignment="1">
      <alignment horizontal="center" vertical="top" wrapText="1"/>
    </xf>
    <xf numFmtId="0" fontId="68" fillId="0" borderId="1" xfId="0" applyFont="1" applyBorder="1" applyAlignment="1">
      <alignment horizontal="justify" vertical="center" wrapText="1"/>
    </xf>
    <xf numFmtId="0" fontId="0" fillId="0" borderId="1" xfId="0" applyFont="1" applyBorder="1" applyAlignment="1">
      <alignment horizontal="justify" vertical="center" wrapText="1"/>
    </xf>
    <xf numFmtId="0" fontId="102" fillId="0" borderId="6" xfId="0" applyFont="1" applyBorder="1" applyAlignment="1">
      <alignment horizontal="justify" vertical="center" wrapText="1"/>
    </xf>
    <xf numFmtId="0" fontId="102" fillId="0" borderId="45" xfId="0" applyFont="1" applyBorder="1" applyAlignment="1">
      <alignment horizontal="justify" vertical="center" wrapText="1"/>
    </xf>
    <xf numFmtId="0" fontId="0" fillId="0" borderId="45" xfId="0" applyBorder="1" applyAlignment="1">
      <alignment horizontal="justify" vertical="center" wrapText="1"/>
    </xf>
    <xf numFmtId="0" fontId="0" fillId="0" borderId="46" xfId="0" applyBorder="1" applyAlignment="1">
      <alignment horizontal="justify" vertical="center" wrapText="1"/>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98" fillId="0" borderId="0" xfId="0" applyFont="1" applyAlignment="1">
      <alignment horizontal="justify" wrapText="1"/>
    </xf>
    <xf numFmtId="0" fontId="73" fillId="0" borderId="0" xfId="0" applyFont="1" applyAlignment="1">
      <alignment horizontal="justify" wrapText="1"/>
    </xf>
    <xf numFmtId="0" fontId="101" fillId="0" borderId="10" xfId="0" applyFont="1" applyBorder="1" applyAlignment="1">
      <alignment horizontal="center" vertical="center" wrapText="1"/>
    </xf>
    <xf numFmtId="0" fontId="101" fillId="0" borderId="34" xfId="0" applyFont="1" applyBorder="1" applyAlignment="1">
      <alignment horizontal="center" vertical="center" wrapText="1"/>
    </xf>
    <xf numFmtId="0" fontId="101" fillId="0" borderId="47" xfId="0" applyFont="1" applyBorder="1" applyAlignment="1">
      <alignment horizontal="center" vertical="center" wrapText="1"/>
    </xf>
    <xf numFmtId="0" fontId="101" fillId="0" borderId="14" xfId="0" applyFont="1" applyBorder="1" applyAlignment="1">
      <alignment horizontal="center" vertical="center" wrapText="1"/>
    </xf>
    <xf numFmtId="0" fontId="101" fillId="0" borderId="48" xfId="0" applyFont="1" applyBorder="1" applyAlignment="1">
      <alignment horizontal="center" vertical="center" wrapText="1"/>
    </xf>
    <xf numFmtId="0" fontId="101" fillId="0" borderId="35" xfId="0" applyFont="1" applyBorder="1" applyAlignment="1">
      <alignment horizontal="center" vertical="center" wrapText="1"/>
    </xf>
    <xf numFmtId="0" fontId="101" fillId="0" borderId="6" xfId="0" applyFont="1" applyBorder="1" applyAlignment="1">
      <alignment horizontal="center" vertical="center"/>
    </xf>
    <xf numFmtId="0" fontId="101" fillId="0" borderId="45" xfId="0" applyFont="1" applyBorder="1" applyAlignment="1">
      <alignment horizontal="center" vertical="center"/>
    </xf>
    <xf numFmtId="0" fontId="101" fillId="0" borderId="46" xfId="0" applyFont="1" applyBorder="1" applyAlignment="1">
      <alignment horizontal="center" vertical="center"/>
    </xf>
    <xf numFmtId="0" fontId="98" fillId="0" borderId="0" xfId="0" applyFont="1" applyAlignment="1">
      <alignment horizontal="justify" vertical="top" wrapText="1"/>
    </xf>
    <xf numFmtId="0" fontId="73" fillId="0" borderId="0" xfId="0" applyFont="1" applyAlignment="1">
      <alignment horizontal="justify" vertical="top" wrapText="1"/>
    </xf>
    <xf numFmtId="0" fontId="73" fillId="0" borderId="0" xfId="0" applyFont="1" applyFill="1" applyAlignment="1" applyProtection="1">
      <alignment horizontal="justify" vertical="top" wrapText="1"/>
      <protection locked="0"/>
    </xf>
    <xf numFmtId="0" fontId="0" fillId="0" borderId="34" xfId="0" applyBorder="1" applyAlignment="1">
      <alignment horizontal="justify" wrapText="1"/>
    </xf>
    <xf numFmtId="0" fontId="81" fillId="0" borderId="0" xfId="0" applyFont="1" applyAlignment="1"/>
    <xf numFmtId="0" fontId="81" fillId="0" borderId="0" xfId="0" applyFont="1" applyAlignment="1">
      <alignment horizontal="justify" vertical="center" wrapText="1"/>
    </xf>
    <xf numFmtId="0" fontId="81" fillId="0" borderId="0" xfId="0" applyFont="1" applyFill="1" applyAlignment="1" applyProtection="1">
      <alignment shrinkToFit="1"/>
      <protection locked="0"/>
    </xf>
    <xf numFmtId="0" fontId="81" fillId="0" borderId="0" xfId="0" applyFont="1" applyBorder="1" applyAlignment="1">
      <alignment horizontal="justify" vertical="center" wrapText="1" shrinkToFit="1"/>
    </xf>
    <xf numFmtId="0" fontId="81" fillId="0" borderId="0" xfId="0" applyFont="1" applyBorder="1" applyAlignment="1">
      <alignment vertical="top" wrapText="1"/>
    </xf>
    <xf numFmtId="0" fontId="81" fillId="0" borderId="0" xfId="0" applyFont="1" applyBorder="1" applyAlignment="1">
      <alignment horizontal="left" vertical="top" shrinkToFit="1"/>
    </xf>
    <xf numFmtId="0" fontId="81" fillId="0" borderId="0" xfId="0" applyFont="1" applyAlignment="1">
      <alignment shrinkToFit="1"/>
    </xf>
    <xf numFmtId="0" fontId="81" fillId="0" borderId="0" xfId="0" applyFont="1" applyBorder="1" applyAlignment="1">
      <alignment vertical="top" shrinkToFit="1"/>
    </xf>
    <xf numFmtId="0" fontId="81" fillId="0" borderId="0" xfId="0" applyFont="1" applyBorder="1" applyAlignment="1" applyProtection="1">
      <alignment horizontal="justify" vertical="center" wrapText="1" readingOrder="1"/>
    </xf>
    <xf numFmtId="14" fontId="107" fillId="0" borderId="0" xfId="0" applyNumberFormat="1" applyFont="1" applyAlignment="1">
      <alignment horizontal="left" shrinkToFit="1"/>
    </xf>
    <xf numFmtId="0" fontId="81" fillId="0" borderId="0" xfId="0" applyFont="1" applyAlignment="1">
      <alignment vertical="top" wrapText="1"/>
    </xf>
    <xf numFmtId="0" fontId="81" fillId="0" borderId="0" xfId="0" applyFont="1" applyBorder="1" applyAlignment="1">
      <alignment horizontal="justify" vertical="center" wrapText="1"/>
    </xf>
    <xf numFmtId="164" fontId="81" fillId="0" borderId="0" xfId="0" applyNumberFormat="1" applyFont="1" applyAlignment="1" applyProtection="1">
      <alignment horizontal="left" shrinkToFit="1"/>
    </xf>
    <xf numFmtId="0" fontId="81" fillId="0" borderId="0" xfId="0" applyFont="1" applyAlignment="1">
      <alignment horizontal="right" shrinkToFit="1"/>
    </xf>
    <xf numFmtId="14" fontId="81" fillId="0" borderId="0" xfId="0" applyNumberFormat="1" applyFont="1" applyAlignment="1">
      <alignment shrinkToFit="1"/>
    </xf>
    <xf numFmtId="0" fontId="107" fillId="0" borderId="0" xfId="0" applyFont="1" applyFill="1" applyAlignment="1" applyProtection="1">
      <alignment shrinkToFit="1"/>
      <protection locked="0"/>
    </xf>
    <xf numFmtId="0" fontId="81" fillId="0" borderId="0" xfId="0" applyFont="1" applyFill="1" applyAlignment="1" applyProtection="1">
      <alignment horizontal="justify" vertical="top" wrapText="1"/>
      <protection locked="0"/>
    </xf>
    <xf numFmtId="0" fontId="106" fillId="0" borderId="0" xfId="0" applyFont="1" applyFill="1" applyAlignment="1" applyProtection="1">
      <alignment horizontal="justify" vertical="top" wrapText="1"/>
      <protection locked="0"/>
    </xf>
    <xf numFmtId="0" fontId="81" fillId="0" borderId="0" xfId="0" applyFont="1" applyAlignment="1">
      <alignment vertical="center" wrapText="1"/>
    </xf>
    <xf numFmtId="0" fontId="81" fillId="0" borderId="0" xfId="0" applyFont="1" applyBorder="1" applyAlignment="1">
      <alignment vertical="center" wrapText="1" shrinkToFit="1"/>
    </xf>
    <xf numFmtId="14" fontId="81" fillId="0" borderId="0" xfId="0" applyNumberFormat="1" applyFont="1" applyAlignment="1">
      <alignment horizontal="left" shrinkToFit="1"/>
    </xf>
    <xf numFmtId="0" fontId="81" fillId="0" borderId="0" xfId="0" applyFont="1" applyAlignment="1">
      <alignment horizontal="left" shrinkToFit="1"/>
    </xf>
    <xf numFmtId="0" fontId="106" fillId="0" borderId="0" xfId="0" applyFont="1" applyAlignment="1">
      <alignment shrinkToFit="1"/>
    </xf>
    <xf numFmtId="14" fontId="81" fillId="0" borderId="0" xfId="0" applyNumberFormat="1" applyFont="1" applyBorder="1" applyAlignment="1">
      <alignment horizontal="right" shrinkToFit="1"/>
    </xf>
    <xf numFmtId="0" fontId="81" fillId="0" borderId="0" xfId="0" applyFont="1" applyAlignment="1">
      <alignment horizontal="left"/>
    </xf>
    <xf numFmtId="0" fontId="125" fillId="0" borderId="0" xfId="0" applyFont="1" applyFill="1" applyAlignment="1" applyProtection="1">
      <alignment horizontal="justify"/>
      <protection locked="0"/>
    </xf>
    <xf numFmtId="0" fontId="126" fillId="0" borderId="0" xfId="0" applyFont="1" applyFill="1" applyAlignment="1" applyProtection="1">
      <alignment horizontal="justify"/>
      <protection locked="0"/>
    </xf>
    <xf numFmtId="0" fontId="53" fillId="0" borderId="0" xfId="0" applyFont="1" applyFill="1" applyBorder="1" applyAlignment="1" applyProtection="1">
      <alignment horizontal="left" vertical="top" wrapText="1" shrinkToFit="1"/>
      <protection locked="0"/>
    </xf>
    <xf numFmtId="0" fontId="53" fillId="0" borderId="0" xfId="0" applyFont="1" applyFill="1" applyAlignment="1" applyProtection="1">
      <alignment horizontal="left" wrapText="1"/>
      <protection locked="0"/>
    </xf>
    <xf numFmtId="0" fontId="53" fillId="0" borderId="0" xfId="0" applyNumberFormat="1" applyFont="1" applyFill="1" applyAlignment="1" applyProtection="1">
      <alignment wrapText="1"/>
      <protection locked="0"/>
    </xf>
    <xf numFmtId="0" fontId="52" fillId="0" borderId="0" xfId="0" applyFont="1" applyFill="1" applyAlignment="1" applyProtection="1">
      <alignment horizontal="left" shrinkToFit="1"/>
      <protection locked="0"/>
    </xf>
    <xf numFmtId="0" fontId="53" fillId="0" borderId="0" xfId="0" applyFont="1" applyFill="1" applyAlignment="1" applyProtection="1">
      <alignment shrinkToFit="1"/>
      <protection locked="0"/>
    </xf>
    <xf numFmtId="0" fontId="0" fillId="0" borderId="0" xfId="0" applyAlignment="1" applyProtection="1">
      <alignment horizontal="justify" wrapText="1"/>
      <protection locked="0"/>
    </xf>
    <xf numFmtId="0" fontId="57" fillId="0" borderId="0" xfId="0" applyFont="1" applyAlignment="1">
      <alignment horizontal="justify"/>
    </xf>
    <xf numFmtId="14" fontId="57" fillId="0" borderId="0" xfId="0" applyNumberFormat="1" applyFont="1" applyAlignment="1">
      <alignment horizontal="left"/>
    </xf>
    <xf numFmtId="0" fontId="57" fillId="0" borderId="0" xfId="0" applyFont="1" applyAlignment="1">
      <alignment horizontal="left"/>
    </xf>
    <xf numFmtId="0" fontId="57" fillId="0" borderId="0" xfId="0" applyFont="1" applyAlignment="1" applyProtection="1">
      <alignment horizontal="justify" wrapText="1"/>
      <protection locked="0"/>
    </xf>
    <xf numFmtId="0" fontId="57" fillId="0" borderId="0" xfId="0" applyFont="1" applyAlignment="1">
      <alignment horizontal="justify" wrapText="1"/>
    </xf>
    <xf numFmtId="0" fontId="57" fillId="0" borderId="0" xfId="0" applyFont="1" applyAlignment="1"/>
    <xf numFmtId="164" fontId="57" fillId="0" borderId="0" xfId="0" applyNumberFormat="1" applyFont="1" applyAlignment="1">
      <alignment horizontal="left"/>
    </xf>
    <xf numFmtId="0" fontId="53" fillId="0" borderId="0" xfId="0" applyFont="1" applyAlignment="1">
      <alignment vertical="center" shrinkToFit="1"/>
    </xf>
    <xf numFmtId="0" fontId="53" fillId="0" borderId="0" xfId="0" applyFont="1" applyAlignment="1" applyProtection="1">
      <alignment shrinkToFit="1"/>
      <protection locked="0"/>
    </xf>
    <xf numFmtId="0" fontId="110" fillId="0" borderId="0" xfId="0" applyFont="1" applyFill="1" applyAlignment="1" applyProtection="1">
      <alignment shrinkToFit="1"/>
      <protection locked="0"/>
    </xf>
    <xf numFmtId="0" fontId="0" fillId="0" borderId="0" xfId="0" applyFont="1" applyFill="1" applyAlignment="1" applyProtection="1">
      <alignment shrinkToFit="1"/>
      <protection locked="0"/>
    </xf>
    <xf numFmtId="0" fontId="110" fillId="0" borderId="0" xfId="0" applyFont="1" applyAlignment="1">
      <alignment horizontal="justify" vertical="center" wrapText="1"/>
    </xf>
    <xf numFmtId="0" fontId="90" fillId="0" borderId="0" xfId="0" applyFont="1" applyFill="1" applyAlignment="1" applyProtection="1">
      <alignment shrinkToFit="1"/>
      <protection locked="0"/>
    </xf>
    <xf numFmtId="0" fontId="90" fillId="0" borderId="0" xfId="0" applyFont="1" applyAlignment="1">
      <alignment horizontal="left" wrapText="1"/>
    </xf>
    <xf numFmtId="0" fontId="89" fillId="0" borderId="1" xfId="0" applyFont="1" applyBorder="1" applyAlignment="1">
      <alignment horizontal="justify" vertical="top" wrapText="1"/>
    </xf>
    <xf numFmtId="0" fontId="0" fillId="0" borderId="1" xfId="0" applyBorder="1" applyAlignment="1">
      <alignment wrapText="1"/>
    </xf>
    <xf numFmtId="0" fontId="127" fillId="0" borderId="1" xfId="0" applyFont="1" applyBorder="1" applyAlignment="1">
      <alignment horizontal="center" vertical="top" wrapText="1"/>
    </xf>
    <xf numFmtId="0" fontId="90" fillId="0" borderId="0" xfId="0" applyFont="1" applyAlignment="1">
      <alignment horizontal="center" shrinkToFit="1"/>
    </xf>
    <xf numFmtId="0" fontId="110" fillId="0" borderId="0" xfId="0" applyFont="1" applyAlignment="1">
      <alignment horizontal="left" shrinkToFit="1"/>
    </xf>
    <xf numFmtId="0" fontId="53" fillId="0" borderId="0" xfId="0" applyFont="1" applyAlignment="1" applyProtection="1">
      <alignment horizontal="justify" wrapText="1"/>
      <protection locked="0"/>
    </xf>
    <xf numFmtId="0" fontId="54" fillId="0" borderId="0" xfId="0" applyFont="1" applyAlignment="1" applyProtection="1">
      <alignment wrapText="1"/>
      <protection locked="0"/>
    </xf>
    <xf numFmtId="0" fontId="54" fillId="0" borderId="0" xfId="0" applyFont="1" applyAlignment="1" applyProtection="1">
      <alignment horizontal="justify" wrapText="1"/>
      <protection locked="0"/>
    </xf>
    <xf numFmtId="0" fontId="112" fillId="5" borderId="52" xfId="0" applyFont="1" applyFill="1" applyBorder="1" applyAlignment="1">
      <alignment vertical="top" wrapText="1"/>
    </xf>
    <xf numFmtId="0" fontId="0" fillId="5" borderId="53" xfId="0" applyFill="1" applyBorder="1" applyAlignment="1">
      <alignment vertical="top" wrapText="1"/>
    </xf>
    <xf numFmtId="0" fontId="0" fillId="5" borderId="54" xfId="0" applyFill="1" applyBorder="1" applyAlignment="1"/>
    <xf numFmtId="0" fontId="0" fillId="5" borderId="21" xfId="0" applyFill="1" applyBorder="1" applyAlignment="1">
      <alignment vertical="top" wrapText="1"/>
    </xf>
    <xf numFmtId="0" fontId="0" fillId="5" borderId="1" xfId="0" applyFill="1" applyBorder="1" applyAlignment="1">
      <alignment vertical="top" wrapText="1"/>
    </xf>
    <xf numFmtId="0" fontId="0" fillId="5" borderId="22" xfId="0" applyFill="1" applyBorder="1" applyAlignment="1"/>
    <xf numFmtId="0" fontId="112" fillId="0" borderId="21" xfId="0" applyFont="1" applyBorder="1" applyAlignment="1"/>
    <xf numFmtId="0" fontId="112" fillId="0" borderId="22" xfId="0" applyFont="1" applyBorder="1" applyAlignment="1">
      <alignment horizontal="center" vertical="center"/>
    </xf>
    <xf numFmtId="0" fontId="0" fillId="0" borderId="22" xfId="0" applyBorder="1" applyAlignment="1">
      <alignment horizontal="center" vertical="center"/>
    </xf>
    <xf numFmtId="0" fontId="40" fillId="6" borderId="51" xfId="0" applyFont="1" applyFill="1" applyBorder="1" applyAlignment="1">
      <alignment horizontal="center" vertical="center" wrapText="1" readingOrder="1"/>
    </xf>
    <xf numFmtId="0" fontId="112" fillId="6" borderId="49" xfId="0" applyFont="1" applyFill="1" applyBorder="1" applyAlignment="1">
      <alignment horizontal="center" vertical="center" readingOrder="1"/>
    </xf>
    <xf numFmtId="0" fontId="40" fillId="6" borderId="1" xfId="0" applyFont="1" applyFill="1" applyBorder="1" applyAlignment="1">
      <alignment horizontal="center" vertical="center" wrapText="1" readingOrder="1"/>
    </xf>
    <xf numFmtId="0" fontId="112" fillId="6" borderId="22" xfId="0" applyFont="1" applyFill="1" applyBorder="1" applyAlignment="1">
      <alignment horizontal="center" vertical="center"/>
    </xf>
    <xf numFmtId="0" fontId="128" fillId="0" borderId="51" xfId="0" applyFont="1" applyBorder="1" applyAlignment="1">
      <alignment horizontal="left" vertical="center" wrapText="1"/>
    </xf>
    <xf numFmtId="0" fontId="128" fillId="0" borderId="49" xfId="0" applyFont="1" applyBorder="1" applyAlignment="1">
      <alignment horizontal="left" vertical="center" wrapText="1"/>
    </xf>
    <xf numFmtId="166" fontId="112" fillId="0" borderId="51" xfId="0" applyNumberFormat="1" applyFont="1" applyBorder="1" applyAlignment="1">
      <alignment horizontal="center" vertical="center"/>
    </xf>
    <xf numFmtId="166" fontId="112" fillId="0" borderId="49" xfId="0" applyNumberFormat="1" applyFont="1" applyBorder="1" applyAlignment="1">
      <alignment horizontal="center" vertical="center"/>
    </xf>
    <xf numFmtId="166" fontId="112" fillId="0" borderId="50" xfId="0" applyNumberFormat="1" applyFont="1" applyBorder="1" applyAlignment="1">
      <alignment horizontal="center" vertical="center"/>
    </xf>
    <xf numFmtId="0" fontId="112" fillId="5" borderId="52" xfId="0" applyFont="1" applyFill="1" applyBorder="1" applyAlignment="1">
      <alignment horizontal="center"/>
    </xf>
    <xf numFmtId="0" fontId="112" fillId="0" borderId="53" xfId="0" applyFont="1" applyBorder="1" applyAlignment="1">
      <alignment horizontal="center"/>
    </xf>
    <xf numFmtId="0" fontId="112" fillId="0" borderId="54" xfId="0" applyFont="1" applyBorder="1" applyAlignment="1">
      <alignment horizontal="center"/>
    </xf>
    <xf numFmtId="0" fontId="112" fillId="5" borderId="52" xfId="0" applyFont="1" applyFill="1" applyBorder="1" applyAlignment="1">
      <alignment horizontal="center" vertical="center"/>
    </xf>
    <xf numFmtId="0" fontId="112" fillId="5" borderId="53" xfId="0" applyFont="1" applyFill="1" applyBorder="1" applyAlignment="1"/>
    <xf numFmtId="0" fontId="112" fillId="5" borderId="54" xfId="0" applyFont="1" applyFill="1" applyBorder="1" applyAlignment="1"/>
    <xf numFmtId="0" fontId="112" fillId="0" borderId="51" xfId="0" applyFont="1" applyBorder="1" applyAlignment="1"/>
    <xf numFmtId="0" fontId="112" fillId="0" borderId="49" xfId="0" applyFont="1" applyBorder="1" applyAlignment="1"/>
    <xf numFmtId="0" fontId="112" fillId="0" borderId="50" xfId="0" applyFont="1" applyBorder="1" applyAlignment="1"/>
    <xf numFmtId="0" fontId="112" fillId="5" borderId="52" xfId="0" applyFont="1" applyFill="1" applyBorder="1" applyAlignment="1">
      <alignment horizontal="center" vertical="center" wrapText="1"/>
    </xf>
    <xf numFmtId="0" fontId="112" fillId="0" borderId="53" xfId="0" applyFont="1" applyBorder="1" applyAlignment="1"/>
    <xf numFmtId="0" fontId="112" fillId="0" borderId="54" xfId="0" applyFont="1" applyBorder="1" applyAlignment="1"/>
    <xf numFmtId="1" fontId="39" fillId="6" borderId="51" xfId="0" applyNumberFormat="1" applyFont="1" applyFill="1" applyBorder="1" applyAlignment="1">
      <alignment horizontal="center" vertical="center"/>
    </xf>
    <xf numFmtId="1" fontId="112" fillId="0" borderId="49" xfId="0" applyNumberFormat="1" applyFont="1" applyBorder="1" applyAlignment="1"/>
    <xf numFmtId="1" fontId="112" fillId="0" borderId="50" xfId="0" applyNumberFormat="1" applyFont="1" applyBorder="1" applyAlignment="1"/>
    <xf numFmtId="0" fontId="112" fillId="5" borderId="21" xfId="0" applyFont="1" applyFill="1" applyBorder="1" applyAlignment="1">
      <alignment horizontal="center" vertical="center"/>
    </xf>
    <xf numFmtId="0" fontId="112" fillId="5" borderId="51" xfId="0" applyFont="1" applyFill="1" applyBorder="1" applyAlignment="1">
      <alignment horizontal="center" vertical="center"/>
    </xf>
    <xf numFmtId="0" fontId="112" fillId="5" borderId="1" xfId="0" applyFont="1" applyFill="1" applyBorder="1" applyAlignment="1">
      <alignment horizontal="center" vertical="center"/>
    </xf>
    <xf numFmtId="0" fontId="112" fillId="5" borderId="22" xfId="0" applyFont="1" applyFill="1" applyBorder="1" applyAlignment="1">
      <alignment horizontal="center" vertical="center"/>
    </xf>
    <xf numFmtId="0" fontId="112" fillId="0" borderId="6" xfId="0" applyFont="1" applyBorder="1" applyAlignment="1">
      <alignment horizontal="center" vertical="center"/>
    </xf>
    <xf numFmtId="0" fontId="0" fillId="0" borderId="6" xfId="0" applyBorder="1" applyAlignment="1"/>
    <xf numFmtId="0" fontId="128" fillId="0" borderId="21" xfId="0" applyFont="1" applyBorder="1" applyAlignment="1">
      <alignment horizontal="left" vertical="center" wrapText="1"/>
    </xf>
    <xf numFmtId="0" fontId="128" fillId="0" borderId="1" xfId="0" applyFont="1" applyBorder="1" applyAlignment="1">
      <alignment horizontal="left" vertical="center" wrapText="1"/>
    </xf>
    <xf numFmtId="0" fontId="0" fillId="0" borderId="21" xfId="0" applyBorder="1" applyAlignment="1"/>
    <xf numFmtId="0" fontId="112" fillId="5" borderId="1" xfId="0" applyFont="1" applyFill="1" applyBorder="1" applyAlignment="1">
      <alignment horizontal="center" vertical="center" wrapText="1"/>
    </xf>
    <xf numFmtId="0" fontId="0" fillId="0" borderId="22" xfId="0" applyBorder="1" applyAlignment="1"/>
    <xf numFmtId="0" fontId="112" fillId="5" borderId="53" xfId="0" applyFont="1" applyFill="1" applyBorder="1" applyAlignment="1">
      <alignment horizontal="center" vertical="center"/>
    </xf>
    <xf numFmtId="0" fontId="112" fillId="5" borderId="54" xfId="0" applyFont="1" applyFill="1" applyBorder="1" applyAlignment="1">
      <alignment horizontal="center" vertical="center"/>
    </xf>
    <xf numFmtId="0" fontId="128" fillId="0" borderId="1" xfId="0" applyFont="1" applyBorder="1" applyAlignment="1">
      <alignment horizontal="justify" vertical="center" wrapText="1"/>
    </xf>
    <xf numFmtId="0" fontId="112" fillId="0" borderId="1" xfId="0" applyFont="1" applyBorder="1" applyAlignment="1"/>
    <xf numFmtId="0" fontId="112" fillId="0" borderId="1" xfId="0" applyFont="1" applyBorder="1" applyAlignment="1">
      <alignment horizontal="center" vertical="center"/>
    </xf>
    <xf numFmtId="0" fontId="132" fillId="0" borderId="22" xfId="0" applyFont="1" applyBorder="1" applyAlignment="1">
      <alignment horizontal="center" vertical="center" wrapText="1"/>
    </xf>
    <xf numFmtId="0" fontId="132" fillId="0" borderId="22" xfId="0" applyFont="1" applyBorder="1" applyAlignment="1">
      <alignment horizontal="center"/>
    </xf>
    <xf numFmtId="0" fontId="132" fillId="0" borderId="22" xfId="0" applyFont="1" applyBorder="1" applyAlignment="1"/>
    <xf numFmtId="0" fontId="0" fillId="0" borderId="26" xfId="0" applyBorder="1" applyAlignment="1"/>
    <xf numFmtId="10" fontId="133" fillId="0" borderId="52" xfId="0" applyNumberFormat="1" applyFont="1" applyBorder="1" applyAlignment="1">
      <alignment horizontal="center" vertical="center"/>
    </xf>
    <xf numFmtId="10" fontId="129" fillId="0" borderId="53" xfId="0" applyNumberFormat="1" applyFont="1" applyBorder="1" applyAlignment="1"/>
    <xf numFmtId="10" fontId="129" fillId="0" borderId="54" xfId="0" applyNumberFormat="1" applyFont="1" applyBorder="1" applyAlignment="1"/>
    <xf numFmtId="10" fontId="129" fillId="0" borderId="21" xfId="0" applyNumberFormat="1" applyFont="1" applyBorder="1" applyAlignment="1"/>
    <xf numFmtId="10" fontId="129" fillId="0" borderId="1" xfId="0" applyNumberFormat="1" applyFont="1" applyBorder="1" applyAlignment="1"/>
    <xf numFmtId="10" fontId="129" fillId="0" borderId="22" xfId="0" applyNumberFormat="1" applyFont="1" applyBorder="1" applyAlignment="1"/>
    <xf numFmtId="0" fontId="48" fillId="0" borderId="21" xfId="0" applyFont="1" applyBorder="1" applyAlignment="1"/>
    <xf numFmtId="0" fontId="48" fillId="0" borderId="1" xfId="0" applyFont="1" applyBorder="1" applyAlignment="1"/>
    <xf numFmtId="0" fontId="48" fillId="0" borderId="22" xfId="0" applyFont="1" applyBorder="1" applyAlignment="1"/>
    <xf numFmtId="0" fontId="48" fillId="0" borderId="51" xfId="0" applyFont="1" applyBorder="1" applyAlignment="1"/>
    <xf numFmtId="0" fontId="48" fillId="0" borderId="49" xfId="0" applyFont="1" applyBorder="1" applyAlignment="1"/>
    <xf numFmtId="0" fontId="48" fillId="0" borderId="50" xfId="0" applyFont="1" applyBorder="1" applyAlignment="1"/>
    <xf numFmtId="0" fontId="112" fillId="5" borderId="21" xfId="0" applyFont="1" applyFill="1" applyBorder="1" applyAlignment="1">
      <alignment horizontal="center" vertical="center" wrapText="1"/>
    </xf>
    <xf numFmtId="0" fontId="112" fillId="0" borderId="21" xfId="0" applyFont="1" applyBorder="1" applyAlignment="1">
      <alignment vertical="top" wrapText="1"/>
    </xf>
    <xf numFmtId="0" fontId="0" fillId="0" borderId="1" xfId="0" applyBorder="1" applyAlignment="1">
      <alignment vertical="top"/>
    </xf>
    <xf numFmtId="0" fontId="0" fillId="0" borderId="21" xfId="0" applyBorder="1" applyAlignment="1">
      <alignment vertical="top"/>
    </xf>
    <xf numFmtId="166" fontId="129" fillId="0" borderId="21" xfId="0" applyNumberFormat="1" applyFont="1" applyBorder="1" applyAlignment="1">
      <alignment horizontal="left" vertical="top" wrapText="1"/>
    </xf>
    <xf numFmtId="166" fontId="129" fillId="0" borderId="1" xfId="0" applyNumberFormat="1" applyFont="1" applyBorder="1" applyAlignment="1">
      <alignment horizontal="left" vertical="top" wrapText="1"/>
    </xf>
    <xf numFmtId="166" fontId="129" fillId="0" borderId="6" xfId="0" applyNumberFormat="1" applyFont="1" applyBorder="1" applyAlignment="1">
      <alignment horizontal="left" vertical="top" wrapText="1"/>
    </xf>
    <xf numFmtId="0" fontId="48" fillId="0" borderId="51" xfId="0" applyFont="1" applyBorder="1" applyAlignment="1">
      <alignment horizontal="left" vertical="top" wrapText="1"/>
    </xf>
    <xf numFmtId="0" fontId="48" fillId="0" borderId="49" xfId="0" applyFont="1" applyBorder="1" applyAlignment="1">
      <alignment horizontal="left" vertical="top" wrapText="1"/>
    </xf>
    <xf numFmtId="0" fontId="48" fillId="0" borderId="16" xfId="0" applyFont="1" applyBorder="1" applyAlignment="1">
      <alignment horizontal="left" vertical="top" wrapText="1"/>
    </xf>
    <xf numFmtId="10" fontId="130" fillId="0" borderId="52" xfId="0" applyNumberFormat="1" applyFont="1" applyBorder="1" applyAlignment="1">
      <alignment horizontal="center" vertical="center"/>
    </xf>
    <xf numFmtId="10" fontId="131" fillId="0" borderId="54" xfId="0" applyNumberFormat="1" applyFont="1" applyBorder="1" applyAlignment="1"/>
    <xf numFmtId="10" fontId="131" fillId="0" borderId="51" xfId="0" applyNumberFormat="1" applyFont="1" applyBorder="1" applyAlignment="1"/>
    <xf numFmtId="10" fontId="131" fillId="0" borderId="50" xfId="0" applyNumberFormat="1" applyFont="1" applyBorder="1" applyAlignment="1"/>
    <xf numFmtId="2" fontId="112" fillId="0" borderId="52" xfId="0" applyNumberFormat="1" applyFont="1" applyBorder="1" applyAlignment="1">
      <alignment horizontal="center" vertical="center"/>
    </xf>
    <xf numFmtId="2" fontId="112" fillId="0" borderId="53" xfId="0" applyNumberFormat="1" applyFont="1" applyBorder="1" applyAlignment="1">
      <alignment horizontal="center" vertical="center"/>
    </xf>
    <xf numFmtId="2" fontId="112" fillId="0" borderId="54" xfId="0" applyNumberFormat="1" applyFont="1" applyBorder="1" applyAlignment="1">
      <alignment horizontal="center" vertical="center"/>
    </xf>
    <xf numFmtId="0" fontId="40" fillId="5" borderId="21" xfId="0" applyFont="1" applyFill="1" applyBorder="1" applyAlignment="1">
      <alignment horizontal="center" vertical="center" wrapText="1" readingOrder="1"/>
    </xf>
    <xf numFmtId="0" fontId="112" fillId="5" borderId="1" xfId="0" applyFont="1" applyFill="1" applyBorder="1" applyAlignment="1">
      <alignment horizontal="center" vertical="center" readingOrder="1"/>
    </xf>
    <xf numFmtId="0" fontId="40" fillId="5" borderId="1" xfId="0" applyFont="1" applyFill="1" applyBorder="1" applyAlignment="1">
      <alignment horizontal="center" vertical="center" wrapText="1" readingOrder="1"/>
    </xf>
    <xf numFmtId="0" fontId="40" fillId="6" borderId="21" xfId="0" applyFont="1" applyFill="1" applyBorder="1" applyAlignment="1">
      <alignment horizontal="center" vertical="center" wrapText="1" readingOrder="1"/>
    </xf>
    <xf numFmtId="0" fontId="112" fillId="6" borderId="1" xfId="0" applyFont="1" applyFill="1" applyBorder="1" applyAlignment="1">
      <alignment horizontal="center" vertical="center" readingOrder="1"/>
    </xf>
    <xf numFmtId="0" fontId="40" fillId="6" borderId="49" xfId="0" applyFont="1" applyFill="1" applyBorder="1" applyAlignment="1">
      <alignment horizontal="center" vertical="center" wrapText="1" readingOrder="1"/>
    </xf>
    <xf numFmtId="0" fontId="112" fillId="6" borderId="50" xfId="0" applyFont="1" applyFill="1" applyBorder="1" applyAlignment="1">
      <alignment horizontal="center" vertical="center"/>
    </xf>
    <xf numFmtId="0" fontId="0" fillId="0" borderId="25" xfId="0" applyBorder="1" applyAlignment="1">
      <alignment vertical="top"/>
    </xf>
    <xf numFmtId="0" fontId="0" fillId="0" borderId="26" xfId="0" applyBorder="1" applyAlignment="1">
      <alignment horizontal="center" vertical="center"/>
    </xf>
    <xf numFmtId="0" fontId="38" fillId="0" borderId="21" xfId="0" applyFont="1" applyBorder="1" applyAlignment="1">
      <alignment horizontal="left" vertical="top" wrapText="1"/>
    </xf>
    <xf numFmtId="0" fontId="0" fillId="0" borderId="1" xfId="0" applyBorder="1" applyAlignment="1">
      <alignment horizontal="left" vertical="top"/>
    </xf>
    <xf numFmtId="0" fontId="0" fillId="0" borderId="21" xfId="0" applyBorder="1" applyAlignment="1">
      <alignment horizontal="left" vertical="top"/>
    </xf>
    <xf numFmtId="0" fontId="0" fillId="0" borderId="25" xfId="0" applyBorder="1" applyAlignment="1">
      <alignment horizontal="left" vertical="top"/>
    </xf>
    <xf numFmtId="0" fontId="112" fillId="0" borderId="22" xfId="0" applyFont="1" applyBorder="1" applyAlignment="1">
      <alignment horizontal="center" vertical="center" wrapText="1"/>
    </xf>
    <xf numFmtId="0" fontId="0" fillId="0" borderId="25" xfId="0" applyBorder="1" applyAlignment="1"/>
    <xf numFmtId="0" fontId="112" fillId="5" borderId="52" xfId="0" applyFont="1" applyFill="1" applyBorder="1" applyAlignment="1">
      <alignment horizontal="center" vertical="center" readingOrder="1"/>
    </xf>
    <xf numFmtId="2" fontId="112" fillId="0" borderId="51" xfId="0" applyNumberFormat="1" applyFont="1" applyBorder="1" applyAlignment="1">
      <alignment horizontal="center" vertical="center"/>
    </xf>
    <xf numFmtId="2" fontId="112" fillId="0" borderId="49" xfId="0" applyNumberFormat="1" applyFont="1" applyBorder="1" applyAlignment="1">
      <alignment horizontal="center" vertical="center"/>
    </xf>
    <xf numFmtId="2" fontId="112" fillId="0" borderId="50" xfId="0" applyNumberFormat="1" applyFont="1" applyBorder="1" applyAlignment="1">
      <alignment horizontal="center" vertical="center"/>
    </xf>
    <xf numFmtId="0" fontId="112" fillId="0" borderId="6" xfId="0" applyFont="1" applyBorder="1" applyAlignment="1"/>
    <xf numFmtId="0" fontId="38" fillId="0" borderId="21" xfId="0" applyFont="1" applyBorder="1" applyAlignment="1"/>
    <xf numFmtId="0" fontId="0" fillId="0" borderId="1" xfId="0" applyFont="1" applyBorder="1" applyAlignment="1"/>
    <xf numFmtId="0" fontId="38" fillId="0" borderId="21" xfId="0" applyFont="1" applyBorder="1" applyAlignment="1">
      <alignment vertical="top" wrapText="1"/>
    </xf>
    <xf numFmtId="0" fontId="113" fillId="0" borderId="9" xfId="0" applyFont="1" applyBorder="1" applyAlignment="1" applyProtection="1">
      <alignment horizontal="left" vertical="center"/>
    </xf>
    <xf numFmtId="0" fontId="113" fillId="0" borderId="0" xfId="0" applyFont="1" applyBorder="1" applyAlignment="1" applyProtection="1">
      <alignment horizontal="left" vertical="center"/>
    </xf>
    <xf numFmtId="0" fontId="113" fillId="0" borderId="30" xfId="0" applyFont="1" applyBorder="1" applyAlignment="1" applyProtection="1">
      <alignment horizontal="left" vertical="center"/>
    </xf>
    <xf numFmtId="0" fontId="113" fillId="0" borderId="0" xfId="0" applyFont="1" applyBorder="1" applyAlignment="1">
      <alignment horizontal="left" vertical="top" shrinkToFit="1"/>
    </xf>
    <xf numFmtId="0" fontId="113" fillId="0" borderId="30" xfId="0" applyFont="1" applyBorder="1" applyAlignment="1">
      <alignment horizontal="left" vertical="top" shrinkToFit="1"/>
    </xf>
    <xf numFmtId="0" fontId="113" fillId="0" borderId="9" xfId="0" applyFont="1" applyBorder="1" applyAlignment="1" applyProtection="1">
      <alignment horizontal="left" vertical="center"/>
      <protection locked="0"/>
    </xf>
    <xf numFmtId="0" fontId="113" fillId="0" borderId="0" xfId="0" applyFont="1" applyBorder="1" applyAlignment="1" applyProtection="1">
      <alignment horizontal="left" vertical="center"/>
      <protection locked="0"/>
    </xf>
    <xf numFmtId="0" fontId="113" fillId="0" borderId="30" xfId="0" applyFont="1" applyBorder="1" applyAlignment="1" applyProtection="1">
      <alignment horizontal="left" vertical="center"/>
      <protection locked="0"/>
    </xf>
    <xf numFmtId="0" fontId="113" fillId="0" borderId="0" xfId="0" applyFont="1" applyBorder="1" applyAlignment="1" applyProtection="1">
      <alignment horizontal="left" vertical="top" shrinkToFit="1"/>
      <protection locked="0"/>
    </xf>
    <xf numFmtId="0" fontId="113" fillId="0" borderId="30" xfId="0" applyFont="1" applyBorder="1" applyAlignment="1" applyProtection="1">
      <alignment horizontal="left" vertical="top" shrinkToFit="1"/>
      <protection locked="0"/>
    </xf>
    <xf numFmtId="0" fontId="51" fillId="0" borderId="10" xfId="0" applyFont="1" applyBorder="1" applyAlignment="1">
      <alignment horizontal="center" vertical="center"/>
    </xf>
    <xf numFmtId="0" fontId="51" fillId="0" borderId="34" xfId="0" applyFont="1" applyBorder="1" applyAlignment="1">
      <alignment horizontal="center" vertical="center"/>
    </xf>
    <xf numFmtId="0" fontId="51" fillId="0" borderId="47" xfId="0" applyFont="1" applyBorder="1" applyAlignment="1">
      <alignment horizontal="center" vertical="center"/>
    </xf>
    <xf numFmtId="0" fontId="51" fillId="0" borderId="9" xfId="0" applyFont="1" applyBorder="1" applyAlignment="1">
      <alignment horizontal="center" vertical="center"/>
    </xf>
    <xf numFmtId="0" fontId="51" fillId="0" borderId="0" xfId="0" applyFont="1" applyBorder="1" applyAlignment="1">
      <alignment horizontal="center" vertical="center"/>
    </xf>
    <xf numFmtId="0" fontId="51" fillId="0" borderId="30" xfId="0" applyFont="1" applyBorder="1" applyAlignment="1">
      <alignment horizontal="center" vertical="center"/>
    </xf>
    <xf numFmtId="0" fontId="96" fillId="0" borderId="0" xfId="0" applyFont="1" applyAlignment="1">
      <alignment shrinkToFit="1"/>
    </xf>
    <xf numFmtId="164" fontId="96" fillId="0" borderId="0" xfId="0" applyNumberFormat="1" applyFont="1" applyAlignment="1">
      <alignment horizontal="left" vertical="center" shrinkToFit="1"/>
    </xf>
    <xf numFmtId="0" fontId="96" fillId="0" borderId="0" xfId="0" applyFont="1" applyAlignment="1">
      <alignment horizontal="left" vertical="center" shrinkToFit="1"/>
    </xf>
    <xf numFmtId="0" fontId="96" fillId="0" borderId="0" xfId="0" applyFont="1" applyAlignment="1">
      <alignment horizontal="justify" wrapText="1"/>
    </xf>
  </cellXfs>
  <cellStyles count="1">
    <cellStyle name="Обычный" xfId="0" builtinId="0"/>
  </cellStyles>
  <dxfs count="6">
    <dxf>
      <font>
        <b val="0"/>
        <i val="0"/>
        <strike val="0"/>
        <condense val="0"/>
        <extend val="0"/>
        <outline val="0"/>
        <shadow val="0"/>
        <u val="none"/>
        <vertAlign val="baseline"/>
        <sz val="12"/>
        <color theme="1"/>
        <name val="Calibri"/>
        <scheme val="minor"/>
      </font>
    </dxf>
    <dxf>
      <alignment horizontal="center" vertical="top" textRotation="0" wrapText="0" indent="0" justifyLastLine="0" shrinkToFit="0" readingOrder="0"/>
    </dxf>
    <dxf>
      <font>
        <b val="0"/>
        <i val="0"/>
        <strike val="0"/>
        <condense val="0"/>
        <extend val="0"/>
        <outline val="0"/>
        <shadow val="0"/>
        <u val="none"/>
        <vertAlign val="baseline"/>
        <sz val="11"/>
        <color theme="1"/>
        <name val="Calibri"/>
        <scheme val="minor"/>
      </font>
      <border diagonalUp="0" diagonalDown="0">
        <left/>
        <right/>
        <top style="thin">
          <color theme="4"/>
        </top>
        <bottom/>
      </border>
    </dxf>
    <dxf>
      <border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s>
</file>

<file path=xl/drawings/_rels/drawing9.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png"/><Relationship Id="rId1" Type="http://schemas.openxmlformats.org/officeDocument/2006/relationships/image" Target="../media/image22.png"/><Relationship Id="rId5" Type="http://schemas.openxmlformats.org/officeDocument/2006/relationships/image" Target="../media/image26.png"/><Relationship Id="rId4" Type="http://schemas.openxmlformats.org/officeDocument/2006/relationships/image" Target="../media/image25.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image" Target="../media/image27.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7.png"/><Relationship Id="rId1" Type="http://schemas.openxmlformats.org/officeDocument/2006/relationships/image" Target="../media/image28.png"/></Relationships>
</file>

<file path=xl/drawings/_rels/drawing12.xml.rels><?xml version="1.0" encoding="UTF-8" standalone="yes"?>
<Relationships xmlns="http://schemas.openxmlformats.org/package/2006/relationships"><Relationship Id="rId2" Type="http://schemas.openxmlformats.org/officeDocument/2006/relationships/image" Target="../media/image28.png"/><Relationship Id="rId1" Type="http://schemas.openxmlformats.org/officeDocument/2006/relationships/image" Target="../media/image2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0.png"/></Relationships>
</file>

<file path=xl/drawings/_rels/drawing14.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2.png"/></Relationships>
</file>

<file path=xl/drawings/drawing1.xml><?xml version="1.0" encoding="utf-8"?>
<xdr:wsDr xmlns:xdr="http://schemas.openxmlformats.org/drawingml/2006/spreadsheetDrawing" xmlns:a="http://schemas.openxmlformats.org/drawingml/2006/main">
  <xdr:twoCellAnchor>
    <xdr:from>
      <xdr:col>16</xdr:col>
      <xdr:colOff>26193</xdr:colOff>
      <xdr:row>1</xdr:row>
      <xdr:rowOff>227408</xdr:rowOff>
    </xdr:from>
    <xdr:to>
      <xdr:col>22</xdr:col>
      <xdr:colOff>92868</xdr:colOff>
      <xdr:row>8</xdr:row>
      <xdr:rowOff>34527</xdr:rowOff>
    </xdr:to>
    <mc:AlternateContent xmlns:mc="http://schemas.openxmlformats.org/markup-compatibility/2006">
      <mc:Choice xmlns:we="http://schemas.microsoft.com/office/webextensions/webextension/2010/11" xmlns="" Requires="we">
        <xdr:graphicFrame macro="">
          <xdr:nvGraphicFramePr>
            <xdr:cNvPr id="3" name="Приложение 2"/>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
            </a:graphicData>
          </a:graphic>
        </xdr:graphicFrame>
      </mc:Choice>
      <mc:Fallback>
        <xdr:pic>
          <xdr:nvPicPr>
            <xdr:cNvPr id="3" name="Приложение 2"/>
            <xdr:cNvPicPr/>
          </xdr:nvPicPr>
          <xdr:blipFill>
            <a:blip xmlns:r="http://schemas.openxmlformats.org/officeDocument/2006/relationships" r:embed="rId1"/>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661308</xdr:colOff>
      <xdr:row>52</xdr:row>
      <xdr:rowOff>2217965</xdr:rowOff>
    </xdr:from>
    <xdr:to>
      <xdr:col>10</xdr:col>
      <xdr:colOff>2722</xdr:colOff>
      <xdr:row>57</xdr:row>
      <xdr:rowOff>117021</xdr:rowOff>
    </xdr:to>
    <xdr:pic>
      <xdr:nvPicPr>
        <xdr:cNvPr id="1061" name="Рисунок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88379" y="14559644"/>
          <a:ext cx="2185307" cy="8654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642257</xdr:colOff>
      <xdr:row>52</xdr:row>
      <xdr:rowOff>2217964</xdr:rowOff>
    </xdr:from>
    <xdr:to>
      <xdr:col>10</xdr:col>
      <xdr:colOff>77561</xdr:colOff>
      <xdr:row>59</xdr:row>
      <xdr:rowOff>17688</xdr:rowOff>
    </xdr:to>
    <xdr:pic>
      <xdr:nvPicPr>
        <xdr:cNvPr id="1062" name="Рисунок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969328" y="14559643"/>
          <a:ext cx="2279197" cy="13647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598833</xdr:colOff>
      <xdr:row>27</xdr:row>
      <xdr:rowOff>202924</xdr:rowOff>
    </xdr:from>
    <xdr:to>
      <xdr:col>6</xdr:col>
      <xdr:colOff>427383</xdr:colOff>
      <xdr:row>31</xdr:row>
      <xdr:rowOff>166895</xdr:rowOff>
    </xdr:to>
    <xdr:pic>
      <xdr:nvPicPr>
        <xdr:cNvPr id="35895" name="Рисунок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78376" y="3996359"/>
          <a:ext cx="1750116"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3728</xdr:colOff>
      <xdr:row>40</xdr:row>
      <xdr:rowOff>95250</xdr:rowOff>
    </xdr:from>
    <xdr:to>
      <xdr:col>6</xdr:col>
      <xdr:colOff>451403</xdr:colOff>
      <xdr:row>45</xdr:row>
      <xdr:rowOff>9525</xdr:rowOff>
    </xdr:to>
    <xdr:pic>
      <xdr:nvPicPr>
        <xdr:cNvPr id="35896" name="Рисунок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596185" y="7176880"/>
          <a:ext cx="1756327"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514350</xdr:colOff>
      <xdr:row>28</xdr:row>
      <xdr:rowOff>47625</xdr:rowOff>
    </xdr:from>
    <xdr:to>
      <xdr:col>6</xdr:col>
      <xdr:colOff>466725</xdr:colOff>
      <xdr:row>34</xdr:row>
      <xdr:rowOff>47625</xdr:rowOff>
    </xdr:to>
    <xdr:pic>
      <xdr:nvPicPr>
        <xdr:cNvPr id="35897" name="Рисунок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486025" y="4029075"/>
          <a:ext cx="18669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151986</xdr:colOff>
      <xdr:row>7</xdr:row>
      <xdr:rowOff>175383</xdr:rowOff>
    </xdr:from>
    <xdr:to>
      <xdr:col>19</xdr:col>
      <xdr:colOff>195883</xdr:colOff>
      <xdr:row>18</xdr:row>
      <xdr:rowOff>56528</xdr:rowOff>
    </xdr:to>
    <mc:AlternateContent xmlns:mc="http://schemas.openxmlformats.org/markup-compatibility/2006">
      <mc:Choice xmlns:we="http://schemas.microsoft.com/office/webextensions/webextension/2010/11" xmlns="" Requires="we">
        <xdr:graphicFrame macro="">
          <xdr:nvGraphicFramePr>
            <xdr:cNvPr id="2" name="Приложение 1"/>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
            </a:graphicData>
          </a:graphic>
        </xdr:graphicFrame>
      </mc:Choice>
      <mc:Fallback>
        <xdr:pic>
          <xdr:nvPicPr>
            <xdr:cNvPr id="2" name="Приложение 1"/>
            <xdr:cNvPicPr/>
          </xdr:nvPicPr>
          <xdr:blipFill>
            <a:blip xmlns:r="http://schemas.openxmlformats.org/officeDocument/2006/relationships" r:embed="rId4"/>
            <a:stretch>
              <a:fillRect/>
            </a:stretch>
          </xdr:blipFill>
          <xdr:spPr>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472675</xdr:colOff>
      <xdr:row>42</xdr:row>
      <xdr:rowOff>250902</xdr:rowOff>
    </xdr:from>
    <xdr:to>
      <xdr:col>5</xdr:col>
      <xdr:colOff>87908</xdr:colOff>
      <xdr:row>46</xdr:row>
      <xdr:rowOff>173165</xdr:rowOff>
    </xdr:to>
    <xdr:pic>
      <xdr:nvPicPr>
        <xdr:cNvPr id="2" name="Рисунок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45491" y="7118928"/>
          <a:ext cx="1600443" cy="874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342411</xdr:colOff>
      <xdr:row>41</xdr:row>
      <xdr:rowOff>24475</xdr:rowOff>
    </xdr:from>
    <xdr:to>
      <xdr:col>3</xdr:col>
      <xdr:colOff>267990</xdr:colOff>
      <xdr:row>44</xdr:row>
      <xdr:rowOff>127249</xdr:rowOff>
    </xdr:to>
    <xdr:pic>
      <xdr:nvPicPr>
        <xdr:cNvPr id="3" name="Рисунок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2411" y="7531467"/>
          <a:ext cx="1612634" cy="1055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164831</xdr:colOff>
      <xdr:row>2</xdr:row>
      <xdr:rowOff>16224</xdr:rowOff>
    </xdr:from>
    <xdr:to>
      <xdr:col>23</xdr:col>
      <xdr:colOff>206483</xdr:colOff>
      <xdr:row>10</xdr:row>
      <xdr:rowOff>56423</xdr:rowOff>
    </xdr:to>
    <mc:AlternateContent xmlns:mc="http://schemas.openxmlformats.org/markup-compatibility/2006">
      <mc:Choice xmlns:we="http://schemas.microsoft.com/office/webextensions/webextension/2010/11" xmlns="" Requires="we">
        <xdr:graphicFrame macro="">
          <xdr:nvGraphicFramePr>
            <xdr:cNvPr id="4" name="Приложение 3"/>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
            </a:graphicData>
          </a:graphic>
        </xdr:graphicFrame>
      </mc:Choice>
      <mc:Fallback>
        <xdr:pic>
          <xdr:nvPicPr>
            <xdr:cNvPr id="4" name="Приложение 3"/>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285750</xdr:colOff>
      <xdr:row>41</xdr:row>
      <xdr:rowOff>19050</xdr:rowOff>
    </xdr:from>
    <xdr:to>
      <xdr:col>9</xdr:col>
      <xdr:colOff>257175</xdr:colOff>
      <xdr:row>46</xdr:row>
      <xdr:rowOff>9525</xdr:rowOff>
    </xdr:to>
    <xdr:pic>
      <xdr:nvPicPr>
        <xdr:cNvPr id="16423" name="Рисунок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19550" y="9467850"/>
          <a:ext cx="1800225" cy="952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419100</xdr:colOff>
      <xdr:row>28</xdr:row>
      <xdr:rowOff>104775</xdr:rowOff>
    </xdr:from>
    <xdr:to>
      <xdr:col>19</xdr:col>
      <xdr:colOff>114300</xdr:colOff>
      <xdr:row>32</xdr:row>
      <xdr:rowOff>171450</xdr:rowOff>
    </xdr:to>
    <xdr:pic>
      <xdr:nvPicPr>
        <xdr:cNvPr id="16424" name="Рисунок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248900" y="6762750"/>
          <a:ext cx="1600200"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514350</xdr:colOff>
      <xdr:row>41</xdr:row>
      <xdr:rowOff>85725</xdr:rowOff>
    </xdr:from>
    <xdr:to>
      <xdr:col>9</xdr:col>
      <xdr:colOff>76200</xdr:colOff>
      <xdr:row>48</xdr:row>
      <xdr:rowOff>95250</xdr:rowOff>
    </xdr:to>
    <xdr:pic>
      <xdr:nvPicPr>
        <xdr:cNvPr id="16425" name="Рисунок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638550" y="9534525"/>
          <a:ext cx="2000250" cy="135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152400</xdr:colOff>
      <xdr:row>14</xdr:row>
      <xdr:rowOff>323850</xdr:rowOff>
    </xdr:from>
    <xdr:to>
      <xdr:col>4</xdr:col>
      <xdr:colOff>390525</xdr:colOff>
      <xdr:row>19</xdr:row>
      <xdr:rowOff>0</xdr:rowOff>
    </xdr:to>
    <xdr:pic>
      <xdr:nvPicPr>
        <xdr:cNvPr id="4148" name="Рисунок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09750" y="3324225"/>
          <a:ext cx="16383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533400</xdr:colOff>
      <xdr:row>63</xdr:row>
      <xdr:rowOff>85725</xdr:rowOff>
    </xdr:from>
    <xdr:to>
      <xdr:col>8</xdr:col>
      <xdr:colOff>871818</xdr:colOff>
      <xdr:row>68</xdr:row>
      <xdr:rowOff>0</xdr:rowOff>
    </xdr:to>
    <xdr:pic>
      <xdr:nvPicPr>
        <xdr:cNvPr id="4149" name="Рисунок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686425" y="16602075"/>
          <a:ext cx="1600200"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85725</xdr:colOff>
      <xdr:row>63</xdr:row>
      <xdr:rowOff>152400</xdr:rowOff>
    </xdr:from>
    <xdr:to>
      <xdr:col>8</xdr:col>
      <xdr:colOff>1033743</xdr:colOff>
      <xdr:row>70</xdr:row>
      <xdr:rowOff>161925</xdr:rowOff>
    </xdr:to>
    <xdr:pic>
      <xdr:nvPicPr>
        <xdr:cNvPr id="4150" name="Рисунок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238750" y="16668750"/>
          <a:ext cx="2209800" cy="1343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257175</xdr:colOff>
      <xdr:row>15</xdr:row>
      <xdr:rowOff>0</xdr:rowOff>
    </xdr:from>
    <xdr:to>
      <xdr:col>4</xdr:col>
      <xdr:colOff>323850</xdr:colOff>
      <xdr:row>22</xdr:row>
      <xdr:rowOff>0</xdr:rowOff>
    </xdr:to>
    <xdr:pic>
      <xdr:nvPicPr>
        <xdr:cNvPr id="4151" name="Рисунок 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181100" y="3438525"/>
          <a:ext cx="2200275" cy="1333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714375</xdr:colOff>
      <xdr:row>60</xdr:row>
      <xdr:rowOff>104775</xdr:rowOff>
    </xdr:from>
    <xdr:to>
      <xdr:col>5</xdr:col>
      <xdr:colOff>304800</xdr:colOff>
      <xdr:row>64</xdr:row>
      <xdr:rowOff>171451</xdr:rowOff>
    </xdr:to>
    <xdr:pic>
      <xdr:nvPicPr>
        <xdr:cNvPr id="9284" name="Рисунок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420100"/>
          <a:ext cx="1524000"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666750</xdr:colOff>
      <xdr:row>64</xdr:row>
      <xdr:rowOff>104775</xdr:rowOff>
    </xdr:from>
    <xdr:to>
      <xdr:col>5</xdr:col>
      <xdr:colOff>257175</xdr:colOff>
      <xdr:row>68</xdr:row>
      <xdr:rowOff>171450</xdr:rowOff>
    </xdr:to>
    <xdr:pic>
      <xdr:nvPicPr>
        <xdr:cNvPr id="9285" name="Рисунок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38350" y="9182100"/>
          <a:ext cx="15144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152400</xdr:colOff>
      <xdr:row>56</xdr:row>
      <xdr:rowOff>85725</xdr:rowOff>
    </xdr:from>
    <xdr:to>
      <xdr:col>6</xdr:col>
      <xdr:colOff>495300</xdr:colOff>
      <xdr:row>73</xdr:row>
      <xdr:rowOff>0</xdr:rowOff>
    </xdr:to>
    <xdr:pic>
      <xdr:nvPicPr>
        <xdr:cNvPr id="17465" name="Рисунок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0325" y="5257800"/>
          <a:ext cx="16478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523875</xdr:colOff>
      <xdr:row>56</xdr:row>
      <xdr:rowOff>104775</xdr:rowOff>
    </xdr:from>
    <xdr:to>
      <xdr:col>6</xdr:col>
      <xdr:colOff>666750</xdr:colOff>
      <xdr:row>75</xdr:row>
      <xdr:rowOff>104775</xdr:rowOff>
    </xdr:to>
    <xdr:pic>
      <xdr:nvPicPr>
        <xdr:cNvPr id="17466" name="Рисунок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62200" y="5276850"/>
          <a:ext cx="2057400" cy="1333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557598</xdr:colOff>
      <xdr:row>1</xdr:row>
      <xdr:rowOff>152802</xdr:rowOff>
    </xdr:from>
    <xdr:to>
      <xdr:col>18</xdr:col>
      <xdr:colOff>601496</xdr:colOff>
      <xdr:row>5</xdr:row>
      <xdr:rowOff>1376823</xdr:rowOff>
    </xdr:to>
    <mc:AlternateContent xmlns:mc="http://schemas.openxmlformats.org/markup-compatibility/2006">
      <mc:Choice xmlns:we="http://schemas.microsoft.com/office/webextensions/webextension/2010/11" xmlns="" Requires="we">
        <xdr:graphicFrame macro="">
          <xdr:nvGraphicFramePr>
            <xdr:cNvPr id="2" name="Приложение 1"/>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
            </a:graphicData>
          </a:graphic>
        </xdr:graphicFrame>
      </mc:Choice>
      <mc:Fallback>
        <xdr:pic>
          <xdr:nvPicPr>
            <xdr:cNvPr id="2" name="Приложение 1"/>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19050</xdr:colOff>
      <xdr:row>22</xdr:row>
      <xdr:rowOff>123825</xdr:rowOff>
    </xdr:from>
    <xdr:to>
      <xdr:col>6</xdr:col>
      <xdr:colOff>390525</xdr:colOff>
      <xdr:row>27</xdr:row>
      <xdr:rowOff>19050</xdr:rowOff>
    </xdr:to>
    <xdr:pic>
      <xdr:nvPicPr>
        <xdr:cNvPr id="25657" name="Рисунок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7450" y="7858125"/>
          <a:ext cx="1590675"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57150</xdr:colOff>
      <xdr:row>10</xdr:row>
      <xdr:rowOff>95250</xdr:rowOff>
    </xdr:from>
    <xdr:to>
      <xdr:col>6</xdr:col>
      <xdr:colOff>495300</xdr:colOff>
      <xdr:row>15</xdr:row>
      <xdr:rowOff>19050</xdr:rowOff>
    </xdr:to>
    <xdr:pic>
      <xdr:nvPicPr>
        <xdr:cNvPr id="25658" name="Рисунок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95550" y="3609975"/>
          <a:ext cx="165735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495300</xdr:colOff>
      <xdr:row>10</xdr:row>
      <xdr:rowOff>152400</xdr:rowOff>
    </xdr:from>
    <xdr:to>
      <xdr:col>7</xdr:col>
      <xdr:colOff>66675</xdr:colOff>
      <xdr:row>17</xdr:row>
      <xdr:rowOff>142875</xdr:rowOff>
    </xdr:to>
    <xdr:pic>
      <xdr:nvPicPr>
        <xdr:cNvPr id="25659" name="Рисунок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24100" y="3667125"/>
          <a:ext cx="2009775" cy="1333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438150</xdr:colOff>
      <xdr:row>23</xdr:row>
      <xdr:rowOff>0</xdr:rowOff>
    </xdr:from>
    <xdr:to>
      <xdr:col>6</xdr:col>
      <xdr:colOff>533400</xdr:colOff>
      <xdr:row>29</xdr:row>
      <xdr:rowOff>114300</xdr:rowOff>
    </xdr:to>
    <xdr:pic>
      <xdr:nvPicPr>
        <xdr:cNvPr id="25660" name="Рисунок 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6950" y="7924800"/>
          <a:ext cx="192405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292791</xdr:colOff>
      <xdr:row>0</xdr:row>
      <xdr:rowOff>142253</xdr:rowOff>
    </xdr:from>
    <xdr:to>
      <xdr:col>15</xdr:col>
      <xdr:colOff>336688</xdr:colOff>
      <xdr:row>4</xdr:row>
      <xdr:rowOff>1365180</xdr:rowOff>
    </xdr:to>
    <mc:AlternateContent xmlns:mc="http://schemas.openxmlformats.org/markup-compatibility/2006">
      <mc:Choice xmlns:we="http://schemas.microsoft.com/office/webextensions/webextension/2010/11" xmlns="" Requires="we">
        <xdr:graphicFrame macro="">
          <xdr:nvGraphicFramePr>
            <xdr:cNvPr id="2" name="Приложение 1"/>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
            </a:graphicData>
          </a:graphic>
        </xdr:graphicFrame>
      </mc:Choice>
      <mc:Fallback>
        <xdr:pic>
          <xdr:nvPicPr>
            <xdr:cNvPr id="2" name="Приложение 1"/>
            <xdr:cNvPicPr/>
          </xdr:nvPicPr>
          <xdr:blipFill>
            <a:blip xmlns:r="http://schemas.openxmlformats.org/officeDocument/2006/relationships" r:embed="rId5"/>
            <a:stretch>
              <a:fillRect/>
            </a:stretch>
          </xdr:blipFill>
          <xdr:spPr>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523875</xdr:colOff>
      <xdr:row>132</xdr:row>
      <xdr:rowOff>9525</xdr:rowOff>
    </xdr:from>
    <xdr:to>
      <xdr:col>11</xdr:col>
      <xdr:colOff>304800</xdr:colOff>
      <xdr:row>135</xdr:row>
      <xdr:rowOff>76200</xdr:rowOff>
    </xdr:to>
    <xdr:pic>
      <xdr:nvPicPr>
        <xdr:cNvPr id="6188" name="Рисунок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10375" y="27727275"/>
          <a:ext cx="2152650"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206375</xdr:colOff>
      <xdr:row>132</xdr:row>
      <xdr:rowOff>149225</xdr:rowOff>
    </xdr:from>
    <xdr:to>
      <xdr:col>11</xdr:col>
      <xdr:colOff>377825</xdr:colOff>
      <xdr:row>137</xdr:row>
      <xdr:rowOff>25400</xdr:rowOff>
    </xdr:to>
    <xdr:pic>
      <xdr:nvPicPr>
        <xdr:cNvPr id="6189" name="Рисунок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461125" y="28184475"/>
          <a:ext cx="2536825" cy="1543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25</xdr:col>
      <xdr:colOff>335253</xdr:colOff>
      <xdr:row>5</xdr:row>
      <xdr:rowOff>7982</xdr:rowOff>
    </xdr:from>
    <xdr:to>
      <xdr:col>29</xdr:col>
      <xdr:colOff>416015</xdr:colOff>
      <xdr:row>10</xdr:row>
      <xdr:rowOff>287159</xdr:rowOff>
    </xdr:to>
    <mc:AlternateContent xmlns:mc="http://schemas.openxmlformats.org/markup-compatibility/2006">
      <mc:Choice xmlns:we="http://schemas.microsoft.com/office/webextensions/webextension/2010/11" xmlns="" Requires="we">
        <xdr:graphicFrame macro="">
          <xdr:nvGraphicFramePr>
            <xdr:cNvPr id="2" name="Приложение 1"/>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
            </a:graphicData>
          </a:graphic>
        </xdr:graphicFrame>
      </mc:Choice>
      <mc:Fallback>
        <xdr:pic>
          <xdr:nvPicPr>
            <xdr:cNvPr id="2" name="Приложение 1"/>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355170</xdr:colOff>
      <xdr:row>39</xdr:row>
      <xdr:rowOff>64577</xdr:rowOff>
    </xdr:from>
    <xdr:to>
      <xdr:col>11</xdr:col>
      <xdr:colOff>341232</xdr:colOff>
      <xdr:row>43</xdr:row>
      <xdr:rowOff>251525</xdr:rowOff>
    </xdr:to>
    <xdr:pic>
      <xdr:nvPicPr>
        <xdr:cNvPr id="3" name="Рисунок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87246" y="16757543"/>
          <a:ext cx="2536825" cy="1543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548899</xdr:colOff>
      <xdr:row>39</xdr:row>
      <xdr:rowOff>32287</xdr:rowOff>
    </xdr:from>
    <xdr:to>
      <xdr:col>11</xdr:col>
      <xdr:colOff>144436</xdr:colOff>
      <xdr:row>42</xdr:row>
      <xdr:rowOff>82011</xdr:rowOff>
    </xdr:to>
    <xdr:pic>
      <xdr:nvPicPr>
        <xdr:cNvPr id="4" name="Рисунок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280975" y="16725253"/>
          <a:ext cx="2146300"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8</xdr:col>
      <xdr:colOff>640774</xdr:colOff>
      <xdr:row>38</xdr:row>
      <xdr:rowOff>311727</xdr:rowOff>
    </xdr:from>
    <xdr:to>
      <xdr:col>11</xdr:col>
      <xdr:colOff>397165</xdr:colOff>
      <xdr:row>42</xdr:row>
      <xdr:rowOff>62345</xdr:rowOff>
    </xdr:to>
    <xdr:pic>
      <xdr:nvPicPr>
        <xdr:cNvPr id="3" name="Рисунок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44592" y="16123227"/>
          <a:ext cx="2146300"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311728</xdr:colOff>
      <xdr:row>39</xdr:row>
      <xdr:rowOff>51955</xdr:rowOff>
    </xdr:from>
    <xdr:to>
      <xdr:col>11</xdr:col>
      <xdr:colOff>458644</xdr:colOff>
      <xdr:row>43</xdr:row>
      <xdr:rowOff>278823</xdr:rowOff>
    </xdr:to>
    <xdr:pic>
      <xdr:nvPicPr>
        <xdr:cNvPr id="4" name="Рисунок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15546" y="16192500"/>
          <a:ext cx="2536825" cy="1543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38100</xdr:colOff>
      <xdr:row>15</xdr:row>
      <xdr:rowOff>47625</xdr:rowOff>
    </xdr:from>
    <xdr:to>
      <xdr:col>10</xdr:col>
      <xdr:colOff>590550</xdr:colOff>
      <xdr:row>35</xdr:row>
      <xdr:rowOff>142875</xdr:rowOff>
    </xdr:to>
    <xdr:pic>
      <xdr:nvPicPr>
        <xdr:cNvPr id="41058" name="Рисунок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2971800"/>
          <a:ext cx="6934200" cy="390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104775</xdr:colOff>
      <xdr:row>59</xdr:row>
      <xdr:rowOff>85725</xdr:rowOff>
    </xdr:from>
    <xdr:to>
      <xdr:col>6</xdr:col>
      <xdr:colOff>523875</xdr:colOff>
      <xdr:row>64</xdr:row>
      <xdr:rowOff>9525</xdr:rowOff>
    </xdr:to>
    <xdr:pic>
      <xdr:nvPicPr>
        <xdr:cNvPr id="37934" name="Рисунок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38425" y="7429500"/>
          <a:ext cx="16383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104775</xdr:colOff>
      <xdr:row>58</xdr:row>
      <xdr:rowOff>9525</xdr:rowOff>
    </xdr:from>
    <xdr:to>
      <xdr:col>3</xdr:col>
      <xdr:colOff>504825</xdr:colOff>
      <xdr:row>63</xdr:row>
      <xdr:rowOff>104775</xdr:rowOff>
    </xdr:to>
    <xdr:pic>
      <xdr:nvPicPr>
        <xdr:cNvPr id="37935" name="Рисунок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09625" y="7162800"/>
          <a:ext cx="1619250"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266700</xdr:colOff>
      <xdr:row>35</xdr:row>
      <xdr:rowOff>133350</xdr:rowOff>
    </xdr:from>
    <xdr:to>
      <xdr:col>5</xdr:col>
      <xdr:colOff>0</xdr:colOff>
      <xdr:row>41</xdr:row>
      <xdr:rowOff>38100</xdr:rowOff>
    </xdr:to>
    <xdr:pic>
      <xdr:nvPicPr>
        <xdr:cNvPr id="46092" name="Рисунок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81150" y="6515100"/>
          <a:ext cx="1562100"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66675</xdr:colOff>
      <xdr:row>6</xdr:row>
      <xdr:rowOff>190500</xdr:rowOff>
    </xdr:from>
    <xdr:to>
      <xdr:col>2</xdr:col>
      <xdr:colOff>666750</xdr:colOff>
      <xdr:row>14</xdr:row>
      <xdr:rowOff>95250</xdr:rowOff>
    </xdr:to>
    <xdr:pic>
      <xdr:nvPicPr>
        <xdr:cNvPr id="27350" name="Рисунок 2"/>
        <xdr:cNvPicPr>
          <a:picLocks noChangeAspect="1" noChangeArrowheads="1"/>
        </xdr:cNvPicPr>
      </xdr:nvPicPr>
      <xdr:blipFill>
        <a:blip xmlns:r="http://schemas.openxmlformats.org/officeDocument/2006/relationships" r:embed="rId1">
          <a:lum contrast="30000"/>
          <a:extLst>
            <a:ext uri="{28A0092B-C50C-407E-A947-70E740481C1C}">
              <a14:useLocalDpi xmlns:a14="http://schemas.microsoft.com/office/drawing/2010/main" val="0"/>
            </a:ext>
          </a:extLst>
        </a:blip>
        <a:srcRect/>
        <a:stretch>
          <a:fillRect/>
        </a:stretch>
      </xdr:blipFill>
      <xdr:spPr bwMode="auto">
        <a:xfrm>
          <a:off x="66675" y="1447800"/>
          <a:ext cx="1819275" cy="1581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ables/table1.xml><?xml version="1.0" encoding="utf-8"?>
<table xmlns="http://schemas.openxmlformats.org/spreadsheetml/2006/main" id="1" name="имена_урологов" displayName="имена_урологов" ref="A1:A6" totalsRowShown="0">
  <autoFilter ref="A1:A6"/>
  <sortState ref="A2:A5">
    <sortCondition ref="A1:A5"/>
  </sortState>
  <tableColumns count="1">
    <tableColumn id="1" name="урологи"/>
  </tableColumns>
  <tableStyleInfo name="TableStyleLight9" showFirstColumn="0" showLastColumn="0" showRowStripes="1" showColumnStripes="0"/>
</table>
</file>

<file path=xl/tables/table2.xml><?xml version="1.0" encoding="utf-8"?>
<table xmlns="http://schemas.openxmlformats.org/spreadsheetml/2006/main" id="2" name="Таблица2" displayName="Таблица2" ref="A12:A19" totalsRowShown="0">
  <autoFilter ref="A12:A19"/>
  <sortState ref="A13:A15">
    <sortCondition ref="A12:A15"/>
  </sortState>
  <tableColumns count="1">
    <tableColumn id="1" name="анестезиологи"/>
  </tableColumns>
  <tableStyleInfo name="TableStyleLight10" showFirstColumn="0" showLastColumn="0" showRowStripes="1" showColumnStripes="0"/>
</table>
</file>

<file path=xl/tables/table3.xml><?xml version="1.0" encoding="utf-8"?>
<table xmlns="http://schemas.openxmlformats.org/spreadsheetml/2006/main" id="3" name="Таблица3" displayName="Таблица3" ref="A21:A27" totalsRowShown="0">
  <autoFilter ref="A21:A27"/>
  <sortState ref="A22:A23">
    <sortCondition ref="A21:A23"/>
  </sortState>
  <tableColumns count="1">
    <tableColumn id="1" name="м\с"/>
  </tableColumns>
  <tableStyleInfo name="TableStyleLight14" showFirstColumn="0" showLastColumn="0" showRowStripes="1" showColumnStripes="0"/>
</table>
</file>

<file path=xl/tables/table4.xml><?xml version="1.0" encoding="utf-8"?>
<table xmlns="http://schemas.openxmlformats.org/spreadsheetml/2006/main" id="37" name="Таблица4" displayName="Таблица4" ref="C12:C22" totalsRowShown="0">
  <autoFilter ref="C12:C22"/>
  <sortState ref="C13:C22">
    <sortCondition ref="C12:C22"/>
  </sortState>
  <tableColumns count="1">
    <tableColumn id="1" name="Таблетки"/>
  </tableColumns>
  <tableStyleInfo name="TableStyleLight10" showFirstColumn="0" showLastColumn="0" showRowStripes="1" showColumnStripes="0"/>
</table>
</file>

<file path=xl/tables/table5.xml><?xml version="1.0" encoding="utf-8"?>
<table xmlns="http://schemas.openxmlformats.org/spreadsheetml/2006/main" id="94" name="Таблица5" displayName="Таблица5" ref="E14:E22" totalsRowShown="0">
  <autoFilter ref="E14:E22"/>
  <tableColumns count="1">
    <tableColumn id="1" name="Диурез"/>
  </tableColumns>
  <tableStyleInfo name="TableStyleLight8" showFirstColumn="0" showLastColumn="0" showRowStripes="1" showColumnStripes="0"/>
</table>
</file>

<file path=xl/tables/table6.xml><?xml version="1.0" encoding="utf-8"?>
<table xmlns="http://schemas.openxmlformats.org/spreadsheetml/2006/main" id="95" name="Таблица95" displayName="Таблица95" ref="E28:E33" totalsRowShown="0">
  <autoFilter ref="E28:E33"/>
  <tableColumns count="1">
    <tableColumn id="1" name="Моча"/>
  </tableColumns>
  <tableStyleInfo name="TableStyleLight16" showFirstColumn="0" showLastColumn="0" showRowStripes="1" showColumnStripes="0"/>
</table>
</file>

<file path=xl/tables/table7.xml><?xml version="1.0" encoding="utf-8"?>
<table xmlns="http://schemas.openxmlformats.org/spreadsheetml/2006/main" id="96" name="Таблица96" displayName="Таблица96" ref="F39:F42" totalsRowShown="0">
  <autoFilter ref="F39:F42"/>
  <tableColumns count="1">
    <tableColumn id="1" name="Столбец1"/>
  </tableColumns>
  <tableStyleInfo name="TableStyleMedium13" showFirstColumn="0" showLastColumn="0" showRowStripes="1" showColumnStripes="0"/>
</table>
</file>

<file path=xl/tables/table8.xml><?xml version="1.0" encoding="utf-8"?>
<table xmlns="http://schemas.openxmlformats.org/spreadsheetml/2006/main" id="97" name="Таблица97" displayName="Таблица97" ref="D26:D35" totalsRowShown="0">
  <autoFilter ref="D26:D35"/>
  <tableColumns count="1">
    <tableColumn id="1" name="Столбец1"/>
  </tableColumns>
  <tableStyleInfo name="TableStyleLight14" showFirstColumn="0" showLastColumn="0" showRowStripes="1" showColumnStripes="0"/>
</table>
</file>

<file path=xl/tables/table9.xml><?xml version="1.0" encoding="utf-8"?>
<table xmlns="http://schemas.openxmlformats.org/spreadsheetml/2006/main" id="98" name="Таблица98" displayName="Таблица98" ref="D37:D44" totalsRowShown="0">
  <autoFilter ref="D37:D44"/>
  <tableColumns count="1">
    <tableColumn id="1" name="Столбец1"/>
  </tableColumns>
  <tableStyleInfo name="TableStyleLight14" showFirstColumn="0" showLastColumn="0" showRowStripes="1" showColumnStripes="0"/>
</table>
</file>

<file path=xl/tables/table10.xml><?xml version="1.0" encoding="utf-8"?>
<table xmlns="http://schemas.openxmlformats.org/spreadsheetml/2006/main" id="99" name="Таблица99" displayName="Таблица99" ref="F27:F33" totalsRowShown="0">
  <autoFilter ref="F27:F33"/>
  <tableColumns count="1">
    <tableColumn id="1" name="Столбец1"/>
  </tableColumns>
  <tableStyleInfo name="TableStyleLight10" showFirstColumn="0" showLastColumn="0" showRowStripes="1" showColumnStripes="0"/>
</table>
</file>

<file path=xl/tables/table11.xml><?xml version="1.0" encoding="utf-8"?>
<table xmlns="http://schemas.openxmlformats.org/spreadsheetml/2006/main" id="101" name="Таблица101" displayName="Таблица101" ref="F49:F55" totalsRowShown="0" headerRowDxfId="5" dataDxfId="4" tableBorderDxfId="3">
  <autoFilter ref="F49:F55"/>
  <tableColumns count="1">
    <tableColumn id="1" name="Столбец1" dataDxfId="2"/>
  </tableColumns>
  <tableStyleInfo name="TableStyleLight9" showFirstColumn="0" showLastColumn="0" showRowStripes="1" showColumnStripes="0"/>
</table>
</file>

<file path=xl/tables/table12.xml><?xml version="1.0" encoding="utf-8"?>
<table xmlns="http://schemas.openxmlformats.org/spreadsheetml/2006/main" id="124" name="Таблица124" displayName="Таблица124" ref="H1:H3" totalsRowShown="0" headerRowDxfId="1">
  <autoFilter ref="H1:H3"/>
  <tableColumns count="1">
    <tableColumn id="1" name="Столбец1"/>
  </tableColumns>
  <tableStyleInfo name="TableStyleLight13" showFirstColumn="0" showLastColumn="0" showRowStripes="1" showColumnStripes="0"/>
</table>
</file>

<file path=xl/tables/table13.xml><?xml version="1.0" encoding="utf-8"?>
<table xmlns="http://schemas.openxmlformats.org/spreadsheetml/2006/main" id="149" name="Таблица149" displayName="Таблица149" ref="D47:D53" totalsRowShown="0">
  <autoFilter ref="D47:D53"/>
  <tableColumns count="1">
    <tableColumn id="1" name="Столбец1"/>
  </tableColumns>
  <tableStyleInfo name="TableStyleLight17" showFirstColumn="0" showLastColumn="0" showRowStripes="1" showColumnStripes="0"/>
</table>
</file>

<file path=xl/tables/table14.xml><?xml version="1.0" encoding="utf-8"?>
<table xmlns="http://schemas.openxmlformats.org/spreadsheetml/2006/main" id="150" name="Таблица150" displayName="Таблица150" ref="D8:D10" totalsRowShown="0">
  <autoFilter ref="D8:D10"/>
  <tableColumns count="1">
    <tableColumn id="1" name="Столбец1"/>
  </tableColumns>
  <tableStyleInfo name="TableStyleLight11" showFirstColumn="0" showLastColumn="0" showRowStripes="1" showColumnStripes="0"/>
</table>
</file>

<file path=xl/tables/table15.xml><?xml version="1.0" encoding="utf-8"?>
<table xmlns="http://schemas.openxmlformats.org/spreadsheetml/2006/main" id="151" name="Таблица151" displayName="Таблица151" ref="C25:C29" totalsRowShown="0">
  <autoFilter ref="C25:C29"/>
  <tableColumns count="1">
    <tableColumn id="1" name="Столбец1"/>
  </tableColumns>
  <tableStyleInfo name="TableStyleLight9" showFirstColumn="0" showLastColumn="0" showRowStripes="1" showColumnStripes="0"/>
</table>
</file>

<file path=xl/tables/table16.xml><?xml version="1.0" encoding="utf-8"?>
<table xmlns="http://schemas.openxmlformats.org/spreadsheetml/2006/main" id="152" name="Таблица152" displayName="Таблица152" ref="F44:F47" totalsRowShown="0">
  <autoFilter ref="F44:F47"/>
  <tableColumns count="1">
    <tableColumn id="1" name="Столбец1"/>
  </tableColumns>
  <tableStyleInfo name="TableStyleLight14" showFirstColumn="0" showLastColumn="0" showRowStripes="1" showColumnStripes="0"/>
</table>
</file>

<file path=xl/tables/table17.xml><?xml version="1.0" encoding="utf-8"?>
<table xmlns="http://schemas.openxmlformats.org/spreadsheetml/2006/main" id="185" name="Таблица185" displayName="Таблица185" ref="F17:F22" totalsRowShown="0">
  <autoFilter ref="F17:F22"/>
  <tableColumns count="1">
    <tableColumn id="1" name="Столбец1"/>
  </tableColumns>
  <tableStyleInfo name="TableStyleLight9" showFirstColumn="0" showLastColumn="0" showRowStripes="1" showColumnStripes="0"/>
</table>
</file>

<file path=xl/tables/table18.xml><?xml version="1.0" encoding="utf-8"?>
<table xmlns="http://schemas.openxmlformats.org/spreadsheetml/2006/main" id="203" name="Таблица203" displayName="Таблица203" ref="F13:F16" totalsRowShown="0" headerRowDxfId="0">
  <autoFilter ref="F13:F16"/>
  <tableColumns count="1">
    <tableColumn id="1" name="Столбец1"/>
  </tableColumns>
  <tableStyleInfo name="TableStyleLight10" showFirstColumn="0" showLastColumn="0" showRowStripes="1" showColumnStripes="0"/>
</table>
</file>

<file path=xl/tables/table19.xml><?xml version="1.0" encoding="utf-8"?>
<table xmlns="http://schemas.openxmlformats.org/spreadsheetml/2006/main" id="204" name="Таблица204" displayName="Таблица204" ref="F3:F7" totalsRowShown="0">
  <autoFilter ref="F3:F7"/>
  <tableColumns count="1">
    <tableColumn id="1" name="Столбец1"/>
  </tableColumns>
  <tableStyleInfo name="TableStyleLight12" showFirstColumn="0" showLastColumn="0" showRowStripes="1" showColumnStripes="0"/>
</table>
</file>

<file path=xl/tables/table20.xml><?xml version="1.0" encoding="utf-8"?>
<table xmlns="http://schemas.openxmlformats.org/spreadsheetml/2006/main" id="414" name="Таблица414" displayName="Таблица414" ref="D1:D7" totalsRowShown="0">
  <autoFilter ref="D1:D7"/>
  <tableColumns count="1">
    <tableColumn id="1" name="Столбец1"/>
  </tableColumns>
  <tableStyleInfo name="TableStyleLight9" showFirstColumn="0" showLastColumn="0" showRowStripes="1" showColumnStripes="0"/>
</table>
</file>

<file path=xl/tables/table21.xml><?xml version="1.0" encoding="utf-8"?>
<table xmlns="http://schemas.openxmlformats.org/spreadsheetml/2006/main" id="415" name="Таблица415" displayName="Таблица415" ref="E58:E67" totalsRowShown="0">
  <autoFilter ref="E58:E67"/>
  <tableColumns count="1">
    <tableColumn id="1" name="Столбец1"/>
  </tableColumns>
  <tableStyleInfo name="TableStyleLight14" showFirstColumn="0" showLastColumn="0" showRowStripes="1" showColumnStripes="0"/>
</table>
</file>

<file path=xl/tables/table22.xml><?xml version="1.0" encoding="utf-8"?>
<table xmlns="http://schemas.openxmlformats.org/spreadsheetml/2006/main" id="815" name="Таблица815" displayName="Таблица815" ref="F66:F69" totalsRowShown="0">
  <autoFilter ref="F66:F69"/>
  <tableColumns count="1">
    <tableColumn id="1" name="Столбец1"/>
  </tableColumns>
  <tableStyleInfo name="TableStyleLight10" showFirstColumn="0" showLastColumn="0" showRowStripes="1" showColumnStripes="0"/>
</table>
</file>

<file path=xl/tables/table23.xml><?xml version="1.0" encoding="utf-8"?>
<table xmlns="http://schemas.openxmlformats.org/spreadsheetml/2006/main" id="1762" name="Таблица1762" displayName="Таблица1762" ref="B34:B39" totalsRowShown="0">
  <autoFilter ref="B34:B39"/>
  <tableColumns count="1">
    <tableColumn id="1" name="Столбец1"/>
  </tableColumns>
  <tableStyleInfo name="TableStyleLight9"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1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92D050"/>
  </sheetPr>
  <dimension ref="A1:U88"/>
  <sheetViews>
    <sheetView view="pageBreakPreview" zoomScale="80" zoomScaleNormal="95" zoomScaleSheetLayoutView="80" zoomScalePageLayoutView="85" workbookViewId="0">
      <pane xSplit="2" ySplit="8" topLeftCell="C102" activePane="bottomRight" state="frozen"/>
      <selection pane="topRight" activeCell="C1" sqref="C1"/>
      <selection pane="bottomLeft" activeCell="A9" sqref="A9"/>
      <selection pane="bottomRight" activeCell="C4" sqref="C4"/>
    </sheetView>
  </sheetViews>
  <sheetFormatPr defaultRowHeight="15.75" x14ac:dyDescent="0.25"/>
  <cols>
    <col min="1" max="1" width="4.140625" style="504" customWidth="1"/>
    <col min="2" max="2" width="23" style="72" customWidth="1"/>
    <col min="3" max="3" width="82.140625" style="71" customWidth="1"/>
    <col min="4" max="4" width="7" style="504" customWidth="1"/>
    <col min="5" max="5" width="9" style="65" customWidth="1"/>
    <col min="6" max="6" width="13.5703125" style="65" customWidth="1"/>
    <col min="7" max="7" width="10.7109375" style="65" customWidth="1"/>
    <col min="8" max="8" width="10" style="65" customWidth="1"/>
    <col min="9" max="9" width="10.42578125" style="65" customWidth="1"/>
    <col min="10" max="10" width="10.5703125" style="65" customWidth="1"/>
    <col min="11" max="12" width="9.140625" style="65"/>
    <col min="13" max="14" width="9.28515625" style="65" bestFit="1" customWidth="1"/>
    <col min="15" max="15" width="12.140625" style="65" bestFit="1" customWidth="1"/>
    <col min="16" max="16" width="9.140625" style="504"/>
    <col min="17" max="17" width="9.140625" style="65"/>
    <col min="18" max="18" width="88.5703125" style="174" hidden="1" customWidth="1"/>
    <col min="19" max="19" width="50.28515625" style="174" hidden="1" customWidth="1"/>
    <col min="20" max="21" width="9.140625" style="65" customWidth="1"/>
    <col min="22" max="16384" width="9.140625" style="65"/>
  </cols>
  <sheetData>
    <row r="1" spans="2:19" s="504" customFormat="1" ht="18.75" x14ac:dyDescent="0.25">
      <c r="B1" s="661">
        <f ca="1">IF(Данные!C7=0, TODAY()-Данные!C6, Данные!C7-Данные!C6)</f>
        <v>9</v>
      </c>
      <c r="C1" s="660" t="s">
        <v>383</v>
      </c>
      <c r="R1" s="529"/>
      <c r="S1" s="529"/>
    </row>
    <row r="2" spans="2:19" ht="18.75" x14ac:dyDescent="0.25">
      <c r="B2" s="662">
        <f ca="1" xml:space="preserve"> IF(Данные!C29=0, "-", IF(Данные!C7=0, TODAY()-Данные!C29, Данные!C7-Данные!C29))</f>
        <v>14</v>
      </c>
      <c r="C2" s="660" t="s">
        <v>1928</v>
      </c>
      <c r="E2" s="530" t="s">
        <v>2121</v>
      </c>
      <c r="F2" s="512">
        <f>дата_поступления</f>
        <v>42592</v>
      </c>
      <c r="G2" s="504"/>
      <c r="H2" s="504"/>
      <c r="I2" s="504"/>
      <c r="J2" s="504"/>
      <c r="K2" s="504"/>
      <c r="L2" s="504"/>
      <c r="M2" s="504"/>
      <c r="N2" s="504"/>
      <c r="O2" s="504"/>
      <c r="Q2" s="344"/>
      <c r="R2" s="345"/>
      <c r="S2" s="345"/>
    </row>
    <row r="3" spans="2:19" ht="24" x14ac:dyDescent="0.25">
      <c r="B3" s="659"/>
      <c r="C3" s="659"/>
      <c r="E3" s="546" t="s">
        <v>105</v>
      </c>
      <c r="F3" s="546" t="s">
        <v>106</v>
      </c>
      <c r="G3" s="546" t="s">
        <v>107</v>
      </c>
      <c r="H3" s="546" t="s">
        <v>108</v>
      </c>
      <c r="I3" s="546" t="s">
        <v>109</v>
      </c>
      <c r="J3" s="546" t="s">
        <v>110</v>
      </c>
      <c r="K3" s="546" t="s">
        <v>111</v>
      </c>
      <c r="L3" s="546" t="s">
        <v>112</v>
      </c>
      <c r="M3" s="546" t="s">
        <v>113</v>
      </c>
      <c r="N3" s="546" t="s">
        <v>114</v>
      </c>
      <c r="O3" s="546" t="s">
        <v>115</v>
      </c>
      <c r="Q3" s="344"/>
      <c r="R3" s="345"/>
      <c r="S3" s="345"/>
    </row>
    <row r="4" spans="2:19" ht="25.5" x14ac:dyDescent="0.25">
      <c r="B4" s="706" t="s">
        <v>0</v>
      </c>
      <c r="C4" s="616" t="s">
        <v>2801</v>
      </c>
      <c r="E4" s="435">
        <v>126</v>
      </c>
      <c r="F4" s="435">
        <v>4.3600000000000003</v>
      </c>
      <c r="G4" s="435">
        <v>122</v>
      </c>
      <c r="H4" s="435">
        <v>4.2</v>
      </c>
      <c r="I4" s="435">
        <v>5</v>
      </c>
      <c r="J4" s="435">
        <v>44</v>
      </c>
      <c r="K4" s="435">
        <v>1</v>
      </c>
      <c r="L4" s="435">
        <v>0</v>
      </c>
      <c r="M4" s="435">
        <v>51</v>
      </c>
      <c r="N4" s="435">
        <v>4</v>
      </c>
      <c r="O4" s="435">
        <v>11</v>
      </c>
      <c r="Q4" s="344"/>
      <c r="R4" s="345"/>
      <c r="S4" s="345"/>
    </row>
    <row r="5" spans="2:19" x14ac:dyDescent="0.25">
      <c r="B5" s="706" t="s">
        <v>1</v>
      </c>
      <c r="C5" s="71">
        <v>5903</v>
      </c>
      <c r="E5" s="530" t="s">
        <v>2120</v>
      </c>
      <c r="F5" s="511">
        <f>дата_поступления</f>
        <v>42592</v>
      </c>
      <c r="G5" s="504"/>
      <c r="H5" s="504"/>
      <c r="I5" s="504"/>
      <c r="J5" s="504"/>
      <c r="K5" s="504"/>
      <c r="L5" s="504"/>
      <c r="M5" s="504"/>
      <c r="N5" s="504"/>
      <c r="O5" s="504"/>
      <c r="Q5" s="344"/>
      <c r="R5" s="345"/>
      <c r="S5" s="345"/>
    </row>
    <row r="6" spans="2:19" ht="36" x14ac:dyDescent="0.25">
      <c r="B6" s="706" t="s">
        <v>2</v>
      </c>
      <c r="C6" s="346">
        <v>42592</v>
      </c>
      <c r="E6" s="547" t="s">
        <v>116</v>
      </c>
      <c r="F6" s="547" t="s">
        <v>117</v>
      </c>
      <c r="G6" s="547" t="s">
        <v>118</v>
      </c>
      <c r="H6" s="547" t="s">
        <v>119</v>
      </c>
      <c r="I6" s="547" t="s">
        <v>120</v>
      </c>
      <c r="J6" s="547" t="s">
        <v>121</v>
      </c>
      <c r="K6" s="547" t="s">
        <v>122</v>
      </c>
      <c r="L6" s="547" t="s">
        <v>123</v>
      </c>
      <c r="M6" s="504"/>
      <c r="N6" s="748" t="s">
        <v>2713</v>
      </c>
      <c r="O6" s="749" t="s">
        <v>131</v>
      </c>
      <c r="Q6" s="344"/>
      <c r="R6" s="345"/>
      <c r="S6" s="345"/>
    </row>
    <row r="7" spans="2:19" ht="25.5" x14ac:dyDescent="0.25">
      <c r="B7" s="129" t="s">
        <v>101</v>
      </c>
      <c r="C7" s="346"/>
      <c r="E7" s="676" t="s">
        <v>2412</v>
      </c>
      <c r="F7" s="435">
        <v>0</v>
      </c>
      <c r="G7" s="435">
        <v>1016</v>
      </c>
      <c r="H7" s="435">
        <v>0</v>
      </c>
      <c r="I7" s="435">
        <v>0</v>
      </c>
      <c r="J7" s="676"/>
      <c r="K7" s="435" t="s">
        <v>198</v>
      </c>
      <c r="L7" s="435" t="s">
        <v>198</v>
      </c>
      <c r="M7" s="504"/>
      <c r="N7" s="747" t="s">
        <v>2711</v>
      </c>
      <c r="O7" s="347"/>
      <c r="Q7" s="344"/>
      <c r="R7" s="345"/>
      <c r="S7" s="345"/>
    </row>
    <row r="8" spans="2:19" ht="27.75" customHeight="1" x14ac:dyDescent="0.25">
      <c r="B8" s="706" t="s">
        <v>5</v>
      </c>
      <c r="C8" s="348">
        <v>21949</v>
      </c>
      <c r="E8" s="524" t="s">
        <v>2119</v>
      </c>
      <c r="F8" s="511">
        <f>дата_поступления</f>
        <v>42592</v>
      </c>
      <c r="G8" s="504"/>
      <c r="H8" s="504"/>
      <c r="I8" s="504"/>
      <c r="J8" s="504"/>
      <c r="K8" s="504"/>
      <c r="L8" s="504"/>
      <c r="M8" s="504"/>
      <c r="N8" s="504"/>
      <c r="O8" s="504"/>
      <c r="Q8" s="344"/>
      <c r="R8" s="345"/>
      <c r="S8" s="345"/>
    </row>
    <row r="9" spans="2:19" ht="40.5" customHeight="1" x14ac:dyDescent="0.25">
      <c r="B9" s="706" t="s">
        <v>6</v>
      </c>
      <c r="C9" s="349"/>
      <c r="E9" s="546" t="s">
        <v>128</v>
      </c>
      <c r="F9" s="546" t="s">
        <v>126</v>
      </c>
      <c r="G9" s="546" t="s">
        <v>403</v>
      </c>
      <c r="H9" s="546" t="s">
        <v>125</v>
      </c>
      <c r="I9" s="546" t="s">
        <v>2669</v>
      </c>
      <c r="J9" s="708" t="s">
        <v>2474</v>
      </c>
      <c r="K9" s="546" t="s">
        <v>127</v>
      </c>
      <c r="L9" s="708" t="s">
        <v>2488</v>
      </c>
      <c r="M9" s="708" t="s">
        <v>2489</v>
      </c>
      <c r="N9" s="708" t="s">
        <v>2491</v>
      </c>
      <c r="O9" s="533" t="s">
        <v>2166</v>
      </c>
      <c r="Q9" s="344"/>
      <c r="R9" s="345"/>
      <c r="S9" s="345"/>
    </row>
    <row r="10" spans="2:19" ht="18.75" x14ac:dyDescent="0.25">
      <c r="B10" s="706" t="s">
        <v>7</v>
      </c>
      <c r="C10" s="350"/>
      <c r="E10" s="435">
        <v>69</v>
      </c>
      <c r="F10" s="435">
        <v>5.0999999999999996</v>
      </c>
      <c r="G10" s="435">
        <v>78</v>
      </c>
      <c r="H10" s="435">
        <v>10.4</v>
      </c>
      <c r="I10" s="435" t="s">
        <v>2674</v>
      </c>
      <c r="J10" s="710"/>
      <c r="K10" s="435">
        <v>5.4</v>
      </c>
      <c r="L10" s="681"/>
      <c r="M10" s="351"/>
      <c r="N10" s="351"/>
      <c r="O10" s="531" t="str">
        <f>IF(N10=0,"-",IF(M10=0,"-",N10/(M10/100)^2))</f>
        <v>-</v>
      </c>
      <c r="Q10" s="344"/>
      <c r="R10" s="345"/>
      <c r="S10" s="345"/>
    </row>
    <row r="11" spans="2:19" x14ac:dyDescent="0.25">
      <c r="B11" s="337" t="s">
        <v>8</v>
      </c>
      <c r="C11" s="352" t="s">
        <v>2799</v>
      </c>
      <c r="E11" s="507"/>
      <c r="F11" s="507"/>
      <c r="G11" s="507"/>
      <c r="H11" s="507"/>
      <c r="I11" s="507"/>
      <c r="J11" s="507"/>
      <c r="K11" s="507"/>
      <c r="L11" s="504"/>
      <c r="M11" s="508"/>
      <c r="N11" s="508"/>
      <c r="O11" s="508"/>
      <c r="Q11" s="344"/>
      <c r="R11" s="345"/>
      <c r="S11" s="345"/>
    </row>
    <row r="12" spans="2:19" ht="42.75" customHeight="1" x14ac:dyDescent="0.25">
      <c r="B12" s="337" t="s">
        <v>9</v>
      </c>
      <c r="C12" s="606" t="s">
        <v>2800</v>
      </c>
      <c r="E12" s="532" t="s">
        <v>1729</v>
      </c>
      <c r="F12" s="519" t="s">
        <v>2118</v>
      </c>
      <c r="G12" s="504"/>
      <c r="H12" s="525" t="s">
        <v>68</v>
      </c>
      <c r="I12" s="559" t="s">
        <v>70</v>
      </c>
      <c r="J12" s="504"/>
      <c r="K12" s="534" t="s">
        <v>2125</v>
      </c>
      <c r="L12" s="534" t="s">
        <v>2239</v>
      </c>
      <c r="M12" s="504"/>
      <c r="N12" s="69" t="s">
        <v>3</v>
      </c>
      <c r="O12" s="75" t="s">
        <v>134</v>
      </c>
      <c r="Q12" s="344"/>
      <c r="R12" s="345"/>
      <c r="S12" s="345"/>
    </row>
    <row r="13" spans="2:19" ht="42.75" customHeight="1" x14ac:dyDescent="0.25">
      <c r="B13" s="337" t="s">
        <v>10</v>
      </c>
      <c r="C13" s="606" t="s">
        <v>2789</v>
      </c>
      <c r="E13" s="558"/>
      <c r="F13" s="518" t="s">
        <v>198</v>
      </c>
      <c r="G13" s="504"/>
      <c r="H13" s="523" t="e">
        <f>VLOOKUP(Код_заболевания,Разное!$AA$2:$AC$287,2,0)</f>
        <v>#N/A</v>
      </c>
      <c r="I13" s="523" t="e">
        <f>VLOOKUP(Код_заболевания,Разное!$AA$2:$AC$287,3,0)</f>
        <v>#N/A</v>
      </c>
      <c r="J13" s="504"/>
      <c r="K13" s="543">
        <v>2</v>
      </c>
      <c r="L13" s="543">
        <v>2</v>
      </c>
      <c r="M13" s="504"/>
      <c r="N13" s="353"/>
      <c r="O13" s="354"/>
      <c r="Q13" s="344"/>
      <c r="R13" s="345"/>
      <c r="S13" s="345"/>
    </row>
    <row r="14" spans="2:19" x14ac:dyDescent="0.25">
      <c r="B14" s="337" t="s">
        <v>11</v>
      </c>
      <c r="C14" s="352" t="s">
        <v>2790</v>
      </c>
      <c r="E14" s="504"/>
      <c r="F14" s="504"/>
      <c r="G14" s="504"/>
      <c r="H14" s="504"/>
      <c r="I14" s="504"/>
      <c r="J14" s="504"/>
      <c r="K14" s="504"/>
      <c r="L14" s="504"/>
      <c r="M14" s="504"/>
      <c r="N14" s="504"/>
      <c r="O14" s="504"/>
      <c r="Q14" s="344"/>
      <c r="R14" s="345"/>
      <c r="S14" s="345"/>
    </row>
    <row r="15" spans="2:19" ht="35.25" customHeight="1" x14ac:dyDescent="0.25">
      <c r="B15" s="337" t="s">
        <v>12</v>
      </c>
      <c r="C15" s="352" t="s">
        <v>2570</v>
      </c>
      <c r="E15" s="792" t="s">
        <v>410</v>
      </c>
      <c r="F15" s="793"/>
      <c r="G15" s="794" t="s">
        <v>2797</v>
      </c>
      <c r="H15" s="795"/>
      <c r="I15" s="795"/>
      <c r="J15" s="795"/>
      <c r="K15" s="795"/>
      <c r="L15" s="795"/>
      <c r="M15" s="795"/>
      <c r="N15" s="795"/>
      <c r="O15" s="796"/>
      <c r="Q15" s="344"/>
      <c r="R15" s="345" t="e">
        <f>#REF!</f>
        <v>#REF!</v>
      </c>
      <c r="S15" s="345"/>
    </row>
    <row r="16" spans="2:19" ht="28.5" x14ac:dyDescent="0.25">
      <c r="B16" s="337" t="s">
        <v>13</v>
      </c>
      <c r="C16" s="352" t="s">
        <v>1436</v>
      </c>
      <c r="E16" s="504"/>
      <c r="F16" s="504"/>
      <c r="G16" s="504"/>
      <c r="H16" s="504"/>
      <c r="I16" s="504"/>
      <c r="J16" s="504"/>
      <c r="K16" s="504"/>
      <c r="L16" s="504"/>
      <c r="M16" s="504"/>
      <c r="N16" s="504"/>
      <c r="O16" s="504"/>
      <c r="Q16" s="344"/>
      <c r="R16" s="345" t="e">
        <f>#REF!</f>
        <v>#REF!</v>
      </c>
      <c r="S16" s="345"/>
    </row>
    <row r="17" spans="2:21" ht="27.75" customHeight="1" x14ac:dyDescent="0.25">
      <c r="B17" s="705" t="s">
        <v>14</v>
      </c>
      <c r="C17" s="352" t="s">
        <v>2786</v>
      </c>
      <c r="E17" s="800" t="s">
        <v>132</v>
      </c>
      <c r="F17" s="802" t="s">
        <v>2395</v>
      </c>
      <c r="G17" s="803"/>
      <c r="H17" s="804"/>
      <c r="I17" s="504"/>
      <c r="J17" s="126" t="s">
        <v>145</v>
      </c>
      <c r="K17" s="797" t="s">
        <v>2486</v>
      </c>
      <c r="L17" s="798"/>
      <c r="M17" s="798"/>
      <c r="N17" s="798"/>
      <c r="O17" s="799"/>
      <c r="Q17" s="344"/>
      <c r="R17" s="345"/>
      <c r="S17" s="345"/>
    </row>
    <row r="18" spans="2:21" ht="27.75" customHeight="1" x14ac:dyDescent="0.25">
      <c r="B18" s="705" t="s">
        <v>15</v>
      </c>
      <c r="C18" s="352"/>
      <c r="E18" s="801"/>
      <c r="F18" s="805"/>
      <c r="G18" s="806"/>
      <c r="H18" s="807"/>
      <c r="I18" s="504"/>
      <c r="J18" s="343" t="s">
        <v>1435</v>
      </c>
      <c r="K18" s="791" t="s">
        <v>2798</v>
      </c>
      <c r="L18" s="791"/>
      <c r="M18" s="791"/>
      <c r="N18" s="791"/>
      <c r="O18" s="791"/>
      <c r="P18" s="506"/>
      <c r="Q18" s="344"/>
      <c r="R18" s="345"/>
      <c r="S18" s="355" t="str">
        <f>K17</f>
        <v xml:space="preserve"> 78 в мин, ритм синусовый</v>
      </c>
    </row>
    <row r="19" spans="2:21" ht="23.25" customHeight="1" x14ac:dyDescent="0.25">
      <c r="B19" s="337" t="s">
        <v>2628</v>
      </c>
      <c r="C19" s="542"/>
      <c r="E19" s="504"/>
      <c r="F19" s="504"/>
      <c r="G19" s="504"/>
      <c r="H19" s="504"/>
      <c r="I19" s="504"/>
      <c r="J19" s="504"/>
      <c r="K19" s="504"/>
      <c r="L19" s="504"/>
      <c r="M19" s="504"/>
      <c r="N19" s="504"/>
      <c r="O19" s="504"/>
      <c r="Q19" s="344"/>
      <c r="R19" s="345"/>
      <c r="S19" s="345"/>
    </row>
    <row r="20" spans="2:21" ht="42.75" x14ac:dyDescent="0.25">
      <c r="B20" s="337" t="s">
        <v>16</v>
      </c>
      <c r="C20" s="606" t="s">
        <v>2754</v>
      </c>
      <c r="E20" s="504"/>
      <c r="F20" s="504"/>
      <c r="G20" s="504"/>
      <c r="H20" s="504"/>
      <c r="I20" s="504"/>
      <c r="J20" s="504"/>
      <c r="K20" s="504"/>
      <c r="L20" s="504"/>
      <c r="M20" s="504"/>
      <c r="N20" s="504"/>
      <c r="O20" s="504"/>
      <c r="Q20" s="344"/>
      <c r="R20" s="345"/>
      <c r="S20" s="345"/>
    </row>
    <row r="21" spans="2:21" ht="38.25" customHeight="1" x14ac:dyDescent="0.25">
      <c r="B21" s="129" t="s">
        <v>2663</v>
      </c>
      <c r="C21" s="352" t="s">
        <v>2665</v>
      </c>
      <c r="E21" s="787" t="s">
        <v>1726</v>
      </c>
      <c r="F21" s="788"/>
      <c r="G21" s="789" t="s">
        <v>2388</v>
      </c>
      <c r="H21" s="790"/>
      <c r="I21" s="509"/>
      <c r="J21" s="128" t="s">
        <v>37</v>
      </c>
      <c r="K21" s="789" t="s">
        <v>2388</v>
      </c>
      <c r="L21" s="790"/>
      <c r="M21" s="504"/>
      <c r="N21" s="504"/>
      <c r="O21" s="504"/>
      <c r="Q21" s="344"/>
      <c r="R21" s="345" t="str">
        <f>G15</f>
        <v xml:space="preserve">НА УЗИ и урограмме ( 11.07.16) -   в н\ чашке - 20 мм каменьУмеренное расширение ЧЛС справа. </v>
      </c>
      <c r="S21" s="345"/>
    </row>
    <row r="22" spans="2:21" ht="41.25" customHeight="1" x14ac:dyDescent="0.25">
      <c r="B22" s="707" t="s">
        <v>2629</v>
      </c>
      <c r="C22" s="352" t="s">
        <v>2796</v>
      </c>
      <c r="E22" s="787" t="s">
        <v>1727</v>
      </c>
      <c r="F22" s="788"/>
      <c r="G22" s="789" t="s">
        <v>1730</v>
      </c>
      <c r="H22" s="790"/>
      <c r="I22" s="504"/>
      <c r="J22" s="128" t="s">
        <v>38</v>
      </c>
      <c r="K22" s="789" t="s">
        <v>2389</v>
      </c>
      <c r="L22" s="790"/>
      <c r="M22" s="504"/>
      <c r="N22" s="504"/>
      <c r="O22" s="504"/>
      <c r="Q22" s="344"/>
      <c r="R22" s="345"/>
      <c r="S22" s="345"/>
    </row>
    <row r="23" spans="2:21" ht="39" customHeight="1" x14ac:dyDescent="0.25">
      <c r="B23" s="707" t="s">
        <v>17</v>
      </c>
      <c r="C23" s="352" t="s">
        <v>2791</v>
      </c>
      <c r="E23" s="504"/>
      <c r="F23" s="504"/>
      <c r="G23" s="504"/>
      <c r="H23" s="504"/>
      <c r="I23" s="504"/>
      <c r="J23" s="504"/>
      <c r="K23" s="504"/>
      <c r="L23" s="504"/>
      <c r="M23" s="504"/>
      <c r="N23" s="504"/>
      <c r="O23" s="504"/>
      <c r="Q23" s="344"/>
      <c r="R23" s="345"/>
      <c r="S23" s="345"/>
    </row>
    <row r="24" spans="2:21" ht="42" customHeight="1" x14ac:dyDescent="0.25">
      <c r="B24" s="707" t="s">
        <v>18</v>
      </c>
      <c r="C24" s="352" t="s">
        <v>2792</v>
      </c>
      <c r="E24" s="783" t="s">
        <v>1725</v>
      </c>
      <c r="F24" s="784"/>
      <c r="G24" s="504"/>
      <c r="H24" s="504"/>
      <c r="I24" s="504"/>
      <c r="J24" s="76" t="s">
        <v>379</v>
      </c>
      <c r="K24" s="68" t="s">
        <v>2143</v>
      </c>
      <c r="L24" s="67" t="s">
        <v>2141</v>
      </c>
      <c r="M24" s="504"/>
      <c r="N24" s="504"/>
      <c r="O24" s="504"/>
      <c r="Q24" s="344"/>
      <c r="R24" s="345"/>
      <c r="S24" s="345" t="str">
        <f>K18</f>
        <v>E. coli</v>
      </c>
    </row>
    <row r="25" spans="2:21" ht="31.5" x14ac:dyDescent="0.45">
      <c r="B25" s="127" t="s">
        <v>72</v>
      </c>
      <c r="C25" s="352" t="s">
        <v>2794</v>
      </c>
      <c r="E25" s="785">
        <v>2</v>
      </c>
      <c r="F25" s="786"/>
      <c r="G25" s="504"/>
      <c r="H25" s="504"/>
      <c r="I25" s="504"/>
      <c r="J25" s="354">
        <f>дата_поступления</f>
        <v>42592</v>
      </c>
      <c r="K25" s="347">
        <v>1</v>
      </c>
      <c r="L25" s="347">
        <v>1</v>
      </c>
      <c r="M25" s="504"/>
      <c r="N25" s="504"/>
      <c r="O25" s="504"/>
      <c r="Q25" s="344"/>
      <c r="R25" s="345"/>
      <c r="S25" s="345"/>
    </row>
    <row r="26" spans="2:21" ht="18" customHeight="1" x14ac:dyDescent="0.25">
      <c r="B26" s="127" t="s">
        <v>82</v>
      </c>
      <c r="C26" s="352" t="s">
        <v>2793</v>
      </c>
      <c r="E26" s="504"/>
      <c r="F26" s="504"/>
      <c r="G26" s="504"/>
      <c r="H26" s="504"/>
      <c r="I26" s="504"/>
      <c r="J26" s="504"/>
      <c r="K26" s="504"/>
      <c r="L26" s="504"/>
      <c r="M26" s="504"/>
      <c r="N26" s="504"/>
      <c r="O26" s="504"/>
      <c r="Q26" s="344"/>
      <c r="R26" s="345"/>
      <c r="S26" s="345"/>
    </row>
    <row r="27" spans="2:21" ht="57" x14ac:dyDescent="0.25">
      <c r="B27" s="709" t="s">
        <v>2463</v>
      </c>
      <c r="C27" s="352" t="s">
        <v>2795</v>
      </c>
      <c r="E27" s="524" t="s">
        <v>380</v>
      </c>
      <c r="F27" s="524" t="s">
        <v>377</v>
      </c>
      <c r="G27" s="504"/>
      <c r="H27" s="504"/>
      <c r="I27" s="504"/>
      <c r="J27" s="504"/>
      <c r="K27" s="504"/>
      <c r="L27" s="504"/>
      <c r="M27" s="504"/>
      <c r="N27" s="504"/>
      <c r="O27" s="504"/>
      <c r="Q27" s="344"/>
      <c r="R27" s="345"/>
      <c r="S27" s="345"/>
    </row>
    <row r="28" spans="2:21" ht="31.5" x14ac:dyDescent="0.25">
      <c r="B28" s="127" t="s">
        <v>81</v>
      </c>
      <c r="C28" s="352" t="s">
        <v>2652</v>
      </c>
      <c r="E28" s="561">
        <f ca="1">IF(WEEKDAY(TODAY(),2)=5, (TODAY()-Данные!J25+4), (TODAY()-Данные!J25+2))</f>
        <v>13</v>
      </c>
      <c r="F28" s="562">
        <f>IF(Данные!C29=0, "-", Данные!C29-Данные!C6)</f>
        <v>-5</v>
      </c>
      <c r="G28" s="504"/>
      <c r="H28" s="504"/>
      <c r="I28" s="504"/>
      <c r="J28" s="504"/>
      <c r="K28" s="504"/>
      <c r="L28" s="504"/>
      <c r="M28" s="504"/>
      <c r="N28" s="504"/>
      <c r="O28" s="504"/>
      <c r="Q28" s="344"/>
      <c r="R28" s="345"/>
      <c r="S28" s="345"/>
    </row>
    <row r="29" spans="2:21" x14ac:dyDescent="0.25">
      <c r="B29" s="127" t="s">
        <v>83</v>
      </c>
      <c r="C29" s="780">
        <v>42587</v>
      </c>
      <c r="E29" s="505"/>
      <c r="F29" s="505"/>
      <c r="G29" s="505"/>
      <c r="H29" s="505"/>
      <c r="I29" s="505"/>
      <c r="J29" s="505"/>
      <c r="K29" s="505"/>
      <c r="L29" s="510"/>
      <c r="M29" s="505"/>
      <c r="N29" s="505"/>
      <c r="O29" s="505"/>
      <c r="Q29" s="344"/>
      <c r="R29" s="345"/>
      <c r="S29" s="345"/>
    </row>
    <row r="30" spans="2:21" ht="42.75" x14ac:dyDescent="0.25">
      <c r="B30" s="127" t="s">
        <v>488</v>
      </c>
      <c r="C30" s="356">
        <v>1</v>
      </c>
      <c r="E30" s="383"/>
      <c r="F30" s="383"/>
      <c r="G30" s="383"/>
      <c r="H30" s="383"/>
      <c r="I30" s="383"/>
      <c r="J30" s="383"/>
      <c r="K30" s="383"/>
      <c r="L30" s="383"/>
      <c r="M30" s="383"/>
      <c r="N30" s="383"/>
      <c r="O30" s="383"/>
      <c r="Q30" s="344"/>
      <c r="R30" s="345"/>
      <c r="S30" s="345"/>
    </row>
    <row r="31" spans="2:21" s="505" customFormat="1" ht="24.75" customHeight="1" x14ac:dyDescent="0.25">
      <c r="B31" s="129" t="s">
        <v>137</v>
      </c>
      <c r="C31" s="352" t="s">
        <v>2400</v>
      </c>
      <c r="E31" s="391" t="s">
        <v>1999</v>
      </c>
      <c r="F31" s="391" t="s">
        <v>1941</v>
      </c>
      <c r="G31" s="391" t="s">
        <v>1942</v>
      </c>
      <c r="H31" s="391" t="s">
        <v>1943</v>
      </c>
      <c r="I31" s="391" t="s">
        <v>2000</v>
      </c>
      <c r="J31" s="391" t="s">
        <v>1929</v>
      </c>
      <c r="K31" s="391" t="s">
        <v>1958</v>
      </c>
      <c r="L31" s="391" t="s">
        <v>2001</v>
      </c>
      <c r="M31" s="65"/>
      <c r="N31" s="476" t="s">
        <v>1983</v>
      </c>
      <c r="O31" s="391" t="s">
        <v>1984</v>
      </c>
      <c r="R31" s="528"/>
      <c r="S31" s="528"/>
      <c r="T31" s="65"/>
      <c r="U31" s="65"/>
    </row>
    <row r="32" spans="2:21" s="505" customFormat="1" ht="29.25" customHeight="1" x14ac:dyDescent="0.25">
      <c r="B32" s="129" t="s">
        <v>139</v>
      </c>
      <c r="C32" s="352" t="s">
        <v>2014</v>
      </c>
      <c r="E32" s="391"/>
      <c r="F32" s="391"/>
      <c r="G32" s="391"/>
      <c r="H32" s="391"/>
      <c r="I32" s="391"/>
      <c r="J32" s="391"/>
      <c r="K32" s="391"/>
      <c r="L32" s="391"/>
      <c r="M32" s="65"/>
      <c r="N32" s="476"/>
      <c r="O32" s="391"/>
      <c r="R32" s="528"/>
      <c r="S32" s="528"/>
      <c r="T32" s="65"/>
      <c r="U32" s="65"/>
    </row>
    <row r="33" spans="1:21" s="383" customFormat="1" ht="32.25" customHeight="1" x14ac:dyDescent="0.25">
      <c r="A33" s="505"/>
      <c r="B33" s="129" t="s">
        <v>142</v>
      </c>
      <c r="C33" s="348" t="s">
        <v>323</v>
      </c>
      <c r="D33" s="505"/>
      <c r="E33" s="390"/>
      <c r="F33" s="390"/>
      <c r="G33" s="390"/>
      <c r="H33" s="390"/>
      <c r="I33" s="390"/>
      <c r="J33" s="390"/>
      <c r="K33" s="390"/>
      <c r="L33" s="390"/>
      <c r="M33" s="65"/>
      <c r="N33" s="390"/>
      <c r="O33" s="390"/>
      <c r="P33" s="505"/>
      <c r="R33" s="382"/>
      <c r="T33" s="65"/>
      <c r="U33" s="65"/>
    </row>
    <row r="34" spans="1:21" x14ac:dyDescent="0.25">
      <c r="B34" s="505"/>
      <c r="C34" s="527"/>
      <c r="S34" s="65"/>
    </row>
    <row r="35" spans="1:21" ht="56.25" x14ac:dyDescent="0.25">
      <c r="B35" s="381"/>
      <c r="C35" s="384"/>
      <c r="E35" s="391" t="s">
        <v>2005</v>
      </c>
      <c r="F35" s="391" t="s">
        <v>2006</v>
      </c>
      <c r="G35" s="391" t="s">
        <v>2004</v>
      </c>
      <c r="H35" s="476" t="s">
        <v>1987</v>
      </c>
      <c r="I35" s="391" t="s">
        <v>2002</v>
      </c>
      <c r="J35" s="391" t="s">
        <v>2007</v>
      </c>
      <c r="K35" s="391" t="s">
        <v>2008</v>
      </c>
      <c r="L35" s="391" t="s">
        <v>1897</v>
      </c>
      <c r="M35" s="391" t="s">
        <v>1937</v>
      </c>
      <c r="N35" s="391" t="s">
        <v>1938</v>
      </c>
      <c r="O35" s="391" t="s">
        <v>2009</v>
      </c>
    </row>
    <row r="36" spans="1:21" ht="15" x14ac:dyDescent="0.25">
      <c r="B36" s="391" t="s">
        <v>1973</v>
      </c>
      <c r="C36" s="390"/>
      <c r="E36" s="390"/>
      <c r="F36" s="390"/>
      <c r="G36" s="390"/>
      <c r="H36" s="390"/>
      <c r="I36" s="390"/>
      <c r="J36" s="390"/>
      <c r="K36" s="390"/>
      <c r="L36" s="390"/>
      <c r="M36" s="390"/>
      <c r="N36" s="390"/>
      <c r="O36" s="390"/>
    </row>
    <row r="37" spans="1:21" ht="15" x14ac:dyDescent="0.25">
      <c r="B37" s="391" t="s">
        <v>1947</v>
      </c>
      <c r="C37" s="390"/>
    </row>
    <row r="38" spans="1:21" ht="78.75" x14ac:dyDescent="0.25">
      <c r="B38" s="392"/>
      <c r="E38" s="476" t="s">
        <v>1884</v>
      </c>
      <c r="F38" s="391" t="s">
        <v>1996</v>
      </c>
      <c r="G38" s="476" t="s">
        <v>1995</v>
      </c>
      <c r="I38" s="391" t="s">
        <v>2010</v>
      </c>
      <c r="J38" s="476" t="s">
        <v>1997</v>
      </c>
      <c r="K38" s="476" t="s">
        <v>1998</v>
      </c>
      <c r="L38" s="391" t="s">
        <v>1950</v>
      </c>
      <c r="M38" s="476" t="s">
        <v>1977</v>
      </c>
      <c r="N38" s="391" t="s">
        <v>1978</v>
      </c>
      <c r="O38" s="391" t="s">
        <v>2003</v>
      </c>
    </row>
    <row r="39" spans="1:21" ht="15" x14ac:dyDescent="0.25">
      <c r="B39" s="391" t="s">
        <v>1930</v>
      </c>
      <c r="C39" s="390"/>
      <c r="E39" s="390"/>
      <c r="F39" s="390"/>
      <c r="G39" s="390"/>
      <c r="I39" s="390"/>
      <c r="J39" s="390"/>
      <c r="K39" s="390"/>
      <c r="L39" s="390"/>
      <c r="M39" s="390"/>
      <c r="N39" s="390"/>
      <c r="O39" s="390"/>
    </row>
    <row r="40" spans="1:21" ht="15" x14ac:dyDescent="0.25">
      <c r="B40" s="391" t="s">
        <v>1882</v>
      </c>
      <c r="C40" s="390"/>
    </row>
    <row r="41" spans="1:21" ht="48" x14ac:dyDescent="0.25">
      <c r="B41" s="392"/>
      <c r="E41" s="476" t="s">
        <v>1971</v>
      </c>
      <c r="F41" s="391" t="s">
        <v>1944</v>
      </c>
      <c r="G41" s="391" t="s">
        <v>1945</v>
      </c>
      <c r="H41" s="391" t="s">
        <v>1993</v>
      </c>
      <c r="J41" s="391" t="s">
        <v>1923</v>
      </c>
      <c r="K41" s="391" t="s">
        <v>1898</v>
      </c>
      <c r="L41" s="476" t="s">
        <v>1980</v>
      </c>
      <c r="M41" s="391" t="s">
        <v>1940</v>
      </c>
      <c r="N41" s="66" t="s">
        <v>298</v>
      </c>
      <c r="O41" s="517" t="s">
        <v>2117</v>
      </c>
    </row>
    <row r="42" spans="1:21" ht="24" x14ac:dyDescent="0.25">
      <c r="B42" s="391" t="s">
        <v>1974</v>
      </c>
      <c r="C42" s="390"/>
      <c r="E42" s="390"/>
      <c r="F42" s="390"/>
      <c r="G42" s="390"/>
      <c r="H42" s="390"/>
      <c r="J42" s="390"/>
      <c r="K42" s="390"/>
      <c r="L42" s="390"/>
      <c r="M42" s="390"/>
      <c r="N42" s="347" t="s">
        <v>299</v>
      </c>
      <c r="O42" s="516">
        <f>IF(F13=0,0,IF(F13="-",0,VLOOKUP(F13,Разное!$AF$3:$AG$13,2,0)))</f>
        <v>0</v>
      </c>
    </row>
    <row r="43" spans="1:21" ht="24" x14ac:dyDescent="0.25">
      <c r="B43" s="391" t="s">
        <v>1992</v>
      </c>
      <c r="C43" s="390"/>
    </row>
    <row r="44" spans="1:21" ht="31.5" x14ac:dyDescent="0.25">
      <c r="B44" s="392"/>
      <c r="E44" s="550" t="s">
        <v>2142</v>
      </c>
      <c r="F44" s="614" t="s">
        <v>343</v>
      </c>
    </row>
    <row r="45" spans="1:21" x14ac:dyDescent="0.25">
      <c r="B45" s="391" t="s">
        <v>1885</v>
      </c>
      <c r="C45" s="390"/>
      <c r="E45" s="549" t="e">
        <f ca="1">YEAR(TODAY())-YEAR(дата_рождения)</f>
        <v>#REF!</v>
      </c>
      <c r="F45" s="615" t="e">
        <f ca="1">IF((MOD((YEAR(TODAY())-YEAR(дата_рождения)),10)=1),(TEXT((YEAR(TODAY())-YEAR(дата_рождения)),"##")&amp;"год."),(TEXT((YEAR(TODAY())-YEAR(дата_рождения)),"##лет.")))</f>
        <v>#REF!</v>
      </c>
    </row>
    <row r="48" spans="1:21" ht="39" customHeight="1" x14ac:dyDescent="0.25">
      <c r="B48" s="548"/>
    </row>
    <row r="49" spans="2:5" hidden="1" x14ac:dyDescent="0.25"/>
    <row r="50" spans="2:5" hidden="1" x14ac:dyDescent="0.25"/>
    <row r="51" spans="2:5" hidden="1" x14ac:dyDescent="0.25">
      <c r="B51" s="72" t="s">
        <v>74</v>
      </c>
      <c r="C51" s="71" t="s">
        <v>132</v>
      </c>
    </row>
    <row r="52" spans="2:5" ht="30" hidden="1" x14ac:dyDescent="0.25">
      <c r="B52" s="72" t="s">
        <v>2356</v>
      </c>
      <c r="C52" s="71" t="s">
        <v>2304</v>
      </c>
      <c r="E52" s="65" t="s">
        <v>2323</v>
      </c>
    </row>
    <row r="53" spans="2:5" hidden="1" x14ac:dyDescent="0.25">
      <c r="B53" s="72" t="s">
        <v>2292</v>
      </c>
      <c r="C53" s="71" t="s">
        <v>2305</v>
      </c>
      <c r="E53" s="65">
        <v>0</v>
      </c>
    </row>
    <row r="54" spans="2:5" ht="30" hidden="1" x14ac:dyDescent="0.25">
      <c r="B54" s="72" t="s">
        <v>2293</v>
      </c>
      <c r="C54" s="71" t="s">
        <v>2306</v>
      </c>
      <c r="D54" s="504" t="s">
        <v>1727</v>
      </c>
      <c r="E54" s="65" t="s">
        <v>1728</v>
      </c>
    </row>
    <row r="55" spans="2:5" hidden="1" x14ac:dyDescent="0.25">
      <c r="B55" s="72" t="s">
        <v>2294</v>
      </c>
      <c r="C55" s="71" t="s">
        <v>2307</v>
      </c>
      <c r="D55" s="504" t="s">
        <v>1730</v>
      </c>
      <c r="E55" s="65">
        <v>9</v>
      </c>
    </row>
    <row r="56" spans="2:5" hidden="1" x14ac:dyDescent="0.25">
      <c r="B56" s="72" t="s">
        <v>2295</v>
      </c>
      <c r="C56" s="71" t="s">
        <v>2308</v>
      </c>
      <c r="D56" s="504" t="s">
        <v>2320</v>
      </c>
      <c r="E56" s="65" t="s">
        <v>2324</v>
      </c>
    </row>
    <row r="57" spans="2:5" hidden="1" x14ac:dyDescent="0.25">
      <c r="B57" s="72" t="s">
        <v>2296</v>
      </c>
      <c r="C57" s="71" t="s">
        <v>2309</v>
      </c>
      <c r="D57" s="504" t="s">
        <v>2321</v>
      </c>
    </row>
    <row r="58" spans="2:5" ht="60" hidden="1" x14ac:dyDescent="0.25">
      <c r="B58" s="72" t="s">
        <v>2297</v>
      </c>
      <c r="C58" s="71" t="s">
        <v>2310</v>
      </c>
      <c r="D58" s="504" t="s">
        <v>2322</v>
      </c>
    </row>
    <row r="59" spans="2:5" hidden="1" x14ac:dyDescent="0.25">
      <c r="B59" s="72" t="s">
        <v>76</v>
      </c>
      <c r="C59" s="71" t="s">
        <v>2311</v>
      </c>
    </row>
    <row r="60" spans="2:5" hidden="1" x14ac:dyDescent="0.25">
      <c r="B60" s="72" t="s">
        <v>2129</v>
      </c>
      <c r="C60" s="71" t="s">
        <v>2312</v>
      </c>
    </row>
    <row r="61" spans="2:5" hidden="1" x14ac:dyDescent="0.25">
      <c r="B61" s="72" t="s">
        <v>91</v>
      </c>
      <c r="C61" s="71" t="s">
        <v>2313</v>
      </c>
    </row>
    <row r="62" spans="2:5" hidden="1" x14ac:dyDescent="0.25">
      <c r="B62" s="72" t="s">
        <v>2298</v>
      </c>
      <c r="C62" s="71" t="s">
        <v>2314</v>
      </c>
    </row>
    <row r="63" spans="2:5" hidden="1" x14ac:dyDescent="0.25">
      <c r="B63" s="72" t="s">
        <v>2299</v>
      </c>
      <c r="C63" s="71" t="s">
        <v>2315</v>
      </c>
    </row>
    <row r="64" spans="2:5" hidden="1" x14ac:dyDescent="0.25">
      <c r="B64" s="72" t="s">
        <v>2300</v>
      </c>
      <c r="C64" s="71" t="s">
        <v>2316</v>
      </c>
    </row>
    <row r="65" spans="2:3" hidden="1" x14ac:dyDescent="0.25">
      <c r="B65" s="72" t="s">
        <v>2301</v>
      </c>
      <c r="C65" s="71" t="s">
        <v>2317</v>
      </c>
    </row>
    <row r="66" spans="2:3" ht="28.5" x14ac:dyDescent="0.25">
      <c r="B66" s="72" t="s">
        <v>2302</v>
      </c>
      <c r="C66" s="71" t="s">
        <v>2318</v>
      </c>
    </row>
    <row r="67" spans="2:3" x14ac:dyDescent="0.25">
      <c r="B67" s="72" t="s">
        <v>2303</v>
      </c>
      <c r="C67" s="71" t="s">
        <v>2319</v>
      </c>
    </row>
    <row r="69" spans="2:3" x14ac:dyDescent="0.25">
      <c r="B69" s="5" t="s">
        <v>2630</v>
      </c>
    </row>
    <row r="70" spans="2:3" x14ac:dyDescent="0.25">
      <c r="B70" s="5" t="s">
        <v>2631</v>
      </c>
    </row>
    <row r="71" spans="2:3" x14ac:dyDescent="0.25">
      <c r="B71" s="5" t="s">
        <v>2632</v>
      </c>
    </row>
    <row r="72" spans="2:3" x14ac:dyDescent="0.25">
      <c r="B72" s="5" t="s">
        <v>2644</v>
      </c>
    </row>
    <row r="73" spans="2:3" x14ac:dyDescent="0.25">
      <c r="B73" s="5" t="s">
        <v>2633</v>
      </c>
    </row>
    <row r="74" spans="2:3" x14ac:dyDescent="0.25">
      <c r="B74" s="5" t="s">
        <v>2634</v>
      </c>
    </row>
    <row r="75" spans="2:3" x14ac:dyDescent="0.25">
      <c r="B75" s="5" t="s">
        <v>2635</v>
      </c>
    </row>
    <row r="76" spans="2:3" x14ac:dyDescent="0.25">
      <c r="B76" s="5" t="s">
        <v>2636</v>
      </c>
    </row>
    <row r="77" spans="2:3" x14ac:dyDescent="0.25">
      <c r="B77" s="5" t="s">
        <v>2637</v>
      </c>
    </row>
    <row r="78" spans="2:3" x14ac:dyDescent="0.25">
      <c r="B78" s="5" t="s">
        <v>2638</v>
      </c>
    </row>
    <row r="79" spans="2:3" x14ac:dyDescent="0.25">
      <c r="B79" s="5" t="s">
        <v>2639</v>
      </c>
    </row>
    <row r="80" spans="2:3" x14ac:dyDescent="0.25">
      <c r="B80" s="5" t="s">
        <v>2640</v>
      </c>
    </row>
    <row r="81" spans="2:2" x14ac:dyDescent="0.25">
      <c r="B81" s="5" t="s">
        <v>2641</v>
      </c>
    </row>
    <row r="82" spans="2:2" x14ac:dyDescent="0.25">
      <c r="B82" s="5" t="s">
        <v>2642</v>
      </c>
    </row>
    <row r="83" spans="2:2" x14ac:dyDescent="0.25">
      <c r="B83" s="5" t="s">
        <v>2643</v>
      </c>
    </row>
    <row r="84" spans="2:2" x14ac:dyDescent="0.25">
      <c r="B84" s="5" t="s">
        <v>2567</v>
      </c>
    </row>
    <row r="85" spans="2:2" x14ac:dyDescent="0.25">
      <c r="B85" s="5" t="s">
        <v>2645</v>
      </c>
    </row>
    <row r="86" spans="2:2" x14ac:dyDescent="0.25">
      <c r="B86" s="5" t="s">
        <v>2666</v>
      </c>
    </row>
    <row r="87" spans="2:2" x14ac:dyDescent="0.25">
      <c r="B87" s="5" t="s">
        <v>2667</v>
      </c>
    </row>
    <row r="88" spans="2:2" ht="15.75" customHeight="1" x14ac:dyDescent="0.25">
      <c r="B88" s="5" t="s">
        <v>2668</v>
      </c>
    </row>
  </sheetData>
  <sheetProtection formatCells="0" formatRows="0"/>
  <dataConsolidate function="average"/>
  <mergeCells count="14">
    <mergeCell ref="K21:L21"/>
    <mergeCell ref="K22:L22"/>
    <mergeCell ref="K18:O18"/>
    <mergeCell ref="E15:F15"/>
    <mergeCell ref="G15:O15"/>
    <mergeCell ref="K17:O17"/>
    <mergeCell ref="E17:E18"/>
    <mergeCell ref="F17:H18"/>
    <mergeCell ref="E24:F24"/>
    <mergeCell ref="E25:F25"/>
    <mergeCell ref="E21:F21"/>
    <mergeCell ref="E22:F22"/>
    <mergeCell ref="G21:H21"/>
    <mergeCell ref="G22:H22"/>
  </mergeCells>
  <dataValidations count="10">
    <dataValidation type="list" allowBlank="1" showInputMessage="1" showErrorMessage="1" sqref="F17:H18">
      <formula1>группакрови</formula1>
    </dataValidation>
    <dataValidation type="list" allowBlank="1" showInputMessage="1" showErrorMessage="1" sqref="C31">
      <formula1>Исход_заболевания</formula1>
    </dataValidation>
    <dataValidation type="list" allowBlank="1" showInputMessage="1" showErrorMessage="1" sqref="C32">
      <formula1>INDIRECT("Таблица414[Столбец1]")</formula1>
    </dataValidation>
    <dataValidation type="list" allowBlank="1" showInputMessage="1" showErrorMessage="1" sqref="E7">
      <formula1>реакция_мочи</formula1>
    </dataValidation>
    <dataValidation type="list" allowBlank="1" showInputMessage="1" showErrorMessage="1" sqref="J7">
      <formula1>INDIRECT("Таблица204[Столбец1]")</formula1>
    </dataValidation>
    <dataValidation type="list" allowBlank="1" showInputMessage="1" showErrorMessage="1" sqref="G22:H22">
      <formula1>виды_анестезии</formula1>
    </dataValidation>
    <dataValidation type="list" allowBlank="1" showInputMessage="1" showErrorMessage="1" sqref="G21:H21 K21:L21">
      <formula1>INDIRECT("имена_урологов[урологи]")</formula1>
    </dataValidation>
    <dataValidation type="list" allowBlank="1" showInputMessage="1" showErrorMessage="1" sqref="C15">
      <formula1>INDIRECT("Таблица185[Столбец1]")</formula1>
    </dataValidation>
    <dataValidation type="list" allowBlank="1" showInputMessage="1" showErrorMessage="1" sqref="C11">
      <formula1>$B$68:$B$89</formula1>
    </dataValidation>
    <dataValidation type="list" allowBlank="1" showInputMessage="1" showErrorMessage="1" sqref="C21">
      <formula1>INDIRECT("Таблица815[Столбец1]")</formula1>
    </dataValidation>
  </dataValidations>
  <pageMargins left="0.7" right="0.7" top="0.75" bottom="0.75" header="0.3" footer="0.3"/>
  <pageSetup paperSize="9" scale="48" orientation="portrait" r:id="rId1"/>
  <rowBreaks count="1" manualBreakCount="1">
    <brk id="46" min="1" max="15" man="1"/>
  </rowBreaks>
  <colBreaks count="2" manualBreakCount="2">
    <brk id="3" max="1048575" man="1"/>
    <brk id="16" min="1" max="29" man="1"/>
  </colBreak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filterMode="1">
    <tabColor theme="3" tint="0.39997558519241921"/>
  </sheetPr>
  <dimension ref="A1:R57"/>
  <sheetViews>
    <sheetView view="pageBreakPreview" topLeftCell="A17" zoomScale="70" zoomScaleNormal="70" zoomScaleSheetLayoutView="70" zoomScalePageLayoutView="78" workbookViewId="0">
      <selection activeCell="D4" sqref="D4"/>
    </sheetView>
  </sheetViews>
  <sheetFormatPr defaultRowHeight="23.25" x14ac:dyDescent="0.25"/>
  <cols>
    <col min="1" max="1" width="7.85546875" style="608" customWidth="1"/>
    <col min="2" max="2" width="7.28515625" style="608" customWidth="1"/>
    <col min="3" max="3" width="11.85546875" style="608" customWidth="1"/>
    <col min="4" max="4" width="14.5703125" style="608" customWidth="1"/>
    <col min="5" max="5" width="9.140625" style="608"/>
    <col min="6" max="6" width="14" style="608" customWidth="1"/>
    <col min="7" max="7" width="13.85546875" style="608" customWidth="1"/>
    <col min="8" max="8" width="9.42578125" style="608" customWidth="1"/>
    <col min="9" max="9" width="10.140625" style="608" customWidth="1"/>
    <col min="10" max="10" width="9.140625" style="608"/>
    <col min="11" max="11" width="13.5703125" style="608" customWidth="1"/>
    <col min="12" max="14" width="9.140625" style="608"/>
    <col min="15" max="15" width="9.140625" style="608" customWidth="1"/>
    <col min="16" max="16" width="148.42578125" style="183" hidden="1" customWidth="1"/>
    <col min="17" max="17" width="16.140625" style="183" customWidth="1"/>
    <col min="18" max="18" width="96.42578125" style="184" hidden="1" customWidth="1"/>
    <col min="19" max="16384" width="9.140625" style="608"/>
  </cols>
  <sheetData>
    <row r="1" spans="1:18" x14ac:dyDescent="0.25">
      <c r="A1" s="608" t="s">
        <v>33</v>
      </c>
      <c r="C1" s="810" t="str">
        <f>ФИО</f>
        <v>Иванова Е.П.</v>
      </c>
      <c r="D1" s="817"/>
      <c r="E1" s="817"/>
      <c r="F1" s="818"/>
      <c r="G1" s="818"/>
      <c r="I1" s="608" t="s">
        <v>19</v>
      </c>
      <c r="K1" s="609">
        <f>Данные!C5</f>
        <v>5903</v>
      </c>
    </row>
    <row r="2" spans="1:18" x14ac:dyDescent="0.25">
      <c r="A2" s="608" t="s">
        <v>5</v>
      </c>
      <c r="C2" s="610"/>
      <c r="D2" s="828">
        <f>Данные!C8</f>
        <v>21949</v>
      </c>
      <c r="E2" s="829"/>
      <c r="F2" s="609" t="s">
        <v>35</v>
      </c>
      <c r="I2" s="608" t="s">
        <v>22</v>
      </c>
      <c r="K2" s="819">
        <f>Телефон</f>
        <v>0</v>
      </c>
      <c r="L2" s="818"/>
      <c r="M2" s="818"/>
    </row>
    <row r="3" spans="1:18" x14ac:dyDescent="0.25">
      <c r="A3" s="608" t="s">
        <v>23</v>
      </c>
      <c r="E3" s="826">
        <f>дата_поступления</f>
        <v>42592</v>
      </c>
      <c r="F3" s="827"/>
      <c r="I3" s="611" t="s">
        <v>24</v>
      </c>
      <c r="J3" s="824">
        <f ca="1">NOW()</f>
        <v>42601.314983912038</v>
      </c>
      <c r="K3" s="825"/>
    </row>
    <row r="4" spans="1:18" x14ac:dyDescent="0.25">
      <c r="G4" s="612" t="str">
        <f>IF(Канал_поступления=2," ОСМОТР ДЕЖУРНОГО УРОЛОГА",IF(И.О.ЗАВ.ОТД.=1,"ОСМОТР СОВМЕСТНО С И.О. ЗАВ.36 УРОЛ.ОТД ЮСУФОВЫМ А.Г.","Осмотр дежурного уролога"))</f>
        <v>Осмотр дежурного уролога</v>
      </c>
    </row>
    <row r="5" spans="1:18" ht="27" customHeight="1" x14ac:dyDescent="0.25">
      <c r="A5" s="608" t="s">
        <v>25</v>
      </c>
      <c r="C5" s="820" t="str">
        <f>Данные!C11</f>
        <v>боли в поясничной области;справа</v>
      </c>
      <c r="D5" s="818"/>
      <c r="E5" s="818"/>
      <c r="F5" s="818"/>
      <c r="G5" s="818"/>
      <c r="H5" s="818"/>
      <c r="I5" s="818"/>
      <c r="J5" s="818"/>
      <c r="K5" s="818"/>
      <c r="L5" s="818"/>
      <c r="M5" s="818"/>
      <c r="N5" s="818"/>
    </row>
    <row r="6" spans="1:18" x14ac:dyDescent="0.25">
      <c r="A6" s="608" t="s">
        <v>26</v>
      </c>
    </row>
    <row r="7" spans="1:18" ht="108.75" customHeight="1" x14ac:dyDescent="0.25">
      <c r="A7" s="811" t="str">
        <f>Anamnesis_morbi</f>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c r="B7" s="811"/>
      <c r="C7" s="811"/>
      <c r="D7" s="811"/>
      <c r="E7" s="811"/>
      <c r="F7" s="811"/>
      <c r="G7" s="811"/>
      <c r="H7" s="811"/>
      <c r="I7" s="830"/>
      <c r="J7" s="830"/>
      <c r="K7" s="830"/>
      <c r="L7" s="830"/>
      <c r="M7" s="830"/>
      <c r="N7" s="830"/>
      <c r="P7" s="183" t="str">
        <f>A7</f>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row>
    <row r="8" spans="1:18" x14ac:dyDescent="0.25">
      <c r="A8" s="608" t="s">
        <v>27</v>
      </c>
    </row>
    <row r="9" spans="1:18" ht="89.25" customHeight="1" x14ac:dyDescent="0.25">
      <c r="A9" s="811" t="str">
        <f>Anamnesis_vitae</f>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c r="B9" s="811"/>
      <c r="C9" s="811"/>
      <c r="D9" s="811"/>
      <c r="E9" s="811"/>
      <c r="F9" s="811"/>
      <c r="G9" s="811"/>
      <c r="H9" s="811"/>
      <c r="I9" s="812"/>
      <c r="J9" s="812"/>
      <c r="K9" s="812"/>
      <c r="L9" s="812"/>
      <c r="M9" s="812"/>
      <c r="N9" s="812"/>
      <c r="P9" s="183" t="str">
        <f>A9</f>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row>
    <row r="10" spans="1:18" x14ac:dyDescent="0.25">
      <c r="A10" s="608" t="s">
        <v>34</v>
      </c>
      <c r="D10" s="810" t="str">
        <f>Аллергоанамнез</f>
        <v>левомицетин, новокаин</v>
      </c>
      <c r="E10" s="832"/>
      <c r="F10" s="832"/>
      <c r="G10" s="832"/>
      <c r="H10" s="832"/>
      <c r="I10" s="832"/>
      <c r="J10" s="832"/>
      <c r="K10" s="832"/>
      <c r="L10" s="832"/>
      <c r="M10" s="831"/>
      <c r="N10" s="831"/>
    </row>
    <row r="11" spans="1:18" x14ac:dyDescent="0.25">
      <c r="A11" s="751" t="s">
        <v>141</v>
      </c>
      <c r="D11" s="731"/>
      <c r="E11" s="811" t="str">
        <f>Данные!C33</f>
        <v>нет</v>
      </c>
      <c r="F11" s="811"/>
      <c r="G11" s="811"/>
      <c r="H11" s="811"/>
      <c r="I11" s="811"/>
      <c r="J11" s="811"/>
      <c r="K11" s="811"/>
      <c r="L11" s="811"/>
      <c r="M11" s="812"/>
      <c r="N11" s="812"/>
      <c r="R11" s="732"/>
    </row>
    <row r="12" spans="1:18" x14ac:dyDescent="0.25">
      <c r="A12" s="608" t="s">
        <v>28</v>
      </c>
    </row>
    <row r="13" spans="1:18" x14ac:dyDescent="0.25">
      <c r="A13" s="810" t="str">
        <f>трудовой_анамнез</f>
        <v>пенсионер, в б\л не нуждается</v>
      </c>
      <c r="B13" s="810"/>
      <c r="C13" s="810"/>
      <c r="D13" s="810"/>
      <c r="E13" s="810"/>
      <c r="F13" s="810"/>
      <c r="G13" s="810"/>
      <c r="H13" s="810"/>
      <c r="I13" s="809"/>
      <c r="J13" s="809"/>
      <c r="K13" s="809"/>
      <c r="L13" s="809"/>
      <c r="M13" s="809"/>
      <c r="N13" s="809"/>
    </row>
    <row r="14" spans="1:18" x14ac:dyDescent="0.25">
      <c r="A14" s="608" t="s">
        <v>29</v>
      </c>
      <c r="F14" s="810" t="str">
        <f>Трансфузии</f>
        <v>не отягощен</v>
      </c>
      <c r="G14" s="831"/>
      <c r="H14" s="831"/>
      <c r="I14" s="831"/>
      <c r="J14" s="831"/>
      <c r="K14" s="831"/>
      <c r="L14" s="831"/>
      <c r="M14" s="831"/>
      <c r="N14" s="831"/>
    </row>
    <row r="15" spans="1:18" x14ac:dyDescent="0.25">
      <c r="A15" s="608" t="s">
        <v>30</v>
      </c>
    </row>
    <row r="16" spans="1:18" ht="186" customHeight="1" x14ac:dyDescent="0.25">
      <c r="A16" s="823" t="str">
        <f>Данные!C17</f>
        <v xml:space="preserve">Состояние  удовлетворительное. Температура 36,9 С. Кожные покровы обычной окраски. Л/у доступные пальпации не увеличены. Дыхание в легких везикулярное. ЧД 16 в мин. Тоны сердца приглушены, ритмичные. АД 140/80, ЧСС 78 в мин. Живот не вздут, симметричный, мягкий, участвует в акте дыхания, чувствительный над лоном.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   Мочевой пузырь пальпаторно и перкуторно не определяется. Мочится  самостоятельно.  Уретрита нет.  </v>
      </c>
      <c r="B16" s="812"/>
      <c r="C16" s="812"/>
      <c r="D16" s="812"/>
      <c r="E16" s="812"/>
      <c r="F16" s="812"/>
      <c r="G16" s="812"/>
      <c r="H16" s="812"/>
      <c r="I16" s="812"/>
      <c r="J16" s="812"/>
      <c r="K16" s="812"/>
      <c r="L16" s="812"/>
      <c r="M16" s="812"/>
      <c r="N16" s="812"/>
      <c r="P16" s="184" t="str">
        <f>A16</f>
        <v xml:space="preserve">Состояние  удовлетворительное. Температура 36,9 С. Кожные покровы обычной окраски. Л/у доступные пальпации не увеличены. Дыхание в легких везикулярное. ЧД 16 в мин. Тоны сердца приглушены, ритмичные. АД 140/80, ЧСС 78 в мин. Живот не вздут, симметричный, мягкий, участвует в акте дыхания, чувствительный над лоном.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   Мочевой пузырь пальпаторно и перкуторно не определяется. Мочится  самостоятельно.  Уретрита нет.  </v>
      </c>
      <c r="Q16" s="184"/>
    </row>
    <row r="17" spans="1:18" x14ac:dyDescent="0.25">
      <c r="A17" s="608" t="s">
        <v>2626</v>
      </c>
    </row>
    <row r="18" spans="1:18" ht="33" customHeight="1" x14ac:dyDescent="0.25">
      <c r="A18" s="821">
        <f>Данные!C18</f>
        <v>0</v>
      </c>
      <c r="B18" s="821"/>
      <c r="C18" s="821"/>
      <c r="D18" s="821"/>
      <c r="E18" s="821"/>
      <c r="F18" s="821"/>
      <c r="G18" s="821"/>
      <c r="H18" s="821"/>
      <c r="I18" s="812"/>
      <c r="J18" s="812"/>
      <c r="K18" s="812"/>
      <c r="L18" s="812"/>
      <c r="M18" s="812"/>
      <c r="N18" s="812"/>
      <c r="P18" s="183">
        <f>A18</f>
        <v>0</v>
      </c>
    </row>
    <row r="19" spans="1:18" x14ac:dyDescent="0.25">
      <c r="A19" s="608" t="str">
        <f>IF(Канал_поступления="э"," Данные обследования приемного отделения:", IF(Канал_поступления="Э"," Данные обследования приемного отделения:","Данные амбулаторного обследования:"))</f>
        <v>Данные амбулаторного обследования:</v>
      </c>
    </row>
    <row r="20" spans="1:18" ht="48.75" customHeight="1" x14ac:dyDescent="0.25">
      <c r="A20" s="821" t="str">
        <f>IF(Данные_амбулаторного_обследования=0, " ", Данные_амбулаторного_обследования)</f>
        <v xml:space="preserve">ФЛГ (амб): без свежих инфильтративных изменений.
Терапевт (амб): противопоказаний для оперативного лечения нет. </v>
      </c>
      <c r="B20" s="821"/>
      <c r="C20" s="821"/>
      <c r="D20" s="821"/>
      <c r="E20" s="821"/>
      <c r="F20" s="821"/>
      <c r="G20" s="821"/>
      <c r="H20" s="821"/>
      <c r="I20" s="812"/>
      <c r="J20" s="812"/>
      <c r="K20" s="812"/>
      <c r="L20" s="812"/>
      <c r="M20" s="812"/>
      <c r="N20" s="812"/>
      <c r="P20" s="183" t="str">
        <f>A20</f>
        <v xml:space="preserve">ФЛГ (амб): без свежих инфильтративных изменений.
Терапевт (амб): противопоказаний для оперативного лечения нет. </v>
      </c>
    </row>
    <row r="21" spans="1:18" ht="51.75" customHeight="1" x14ac:dyDescent="0.25">
      <c r="A21" s="821" t="str">
        <f>IF(данные_проведенного_обследования=0, " ", данные_проведенного_обследования)</f>
        <v xml:space="preserve">НА УЗИ и урограмме ( 11.07.16) -   в н\ чашке - 20 мм каменьУмеренное расширение ЧЛС справа. </v>
      </c>
      <c r="B21" s="822"/>
      <c r="C21" s="822"/>
      <c r="D21" s="822"/>
      <c r="E21" s="822"/>
      <c r="F21" s="822"/>
      <c r="G21" s="822"/>
      <c r="H21" s="822"/>
      <c r="I21" s="822"/>
      <c r="J21" s="822"/>
      <c r="K21" s="822"/>
      <c r="L21" s="822"/>
      <c r="M21" s="822"/>
      <c r="N21" s="822"/>
      <c r="P21" s="183" t="str">
        <f>A21</f>
        <v xml:space="preserve">НА УЗИ и урограмме ( 11.07.16) -   в н\ чашке - 20 мм каменьУмеренное расширение ЧЛС справа. </v>
      </c>
    </row>
    <row r="22" spans="1:18" x14ac:dyDescent="0.25">
      <c r="A22" s="608" t="s">
        <v>31</v>
      </c>
      <c r="D22" s="609" t="s">
        <v>36</v>
      </c>
      <c r="G22" s="608" t="s">
        <v>32</v>
      </c>
    </row>
    <row r="23" spans="1:18" ht="88.5" customHeight="1" x14ac:dyDescent="0.25">
      <c r="A23" s="820" t="str">
        <f>Диагноз_при_поступлении</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c r="B23" s="820"/>
      <c r="C23" s="820"/>
      <c r="D23" s="820"/>
      <c r="E23" s="820"/>
      <c r="F23" s="820"/>
      <c r="G23" s="820"/>
      <c r="H23" s="820"/>
      <c r="I23" s="809"/>
      <c r="J23" s="809"/>
      <c r="K23" s="809"/>
      <c r="L23" s="809"/>
      <c r="M23" s="809"/>
      <c r="N23" s="809"/>
      <c r="P23" s="183" t="str">
        <f>A23</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row>
    <row r="24" spans="1:18" x14ac:dyDescent="0.25">
      <c r="A24" s="608" t="str">
        <f>IF(Сопутствующий_диагноз=0, " ", "Сопутствующий диагноз:")</f>
        <v>Сопутствующий диагноз:</v>
      </c>
    </row>
    <row r="25" spans="1:18" ht="45" customHeight="1" x14ac:dyDescent="0.25">
      <c r="A25" s="808" t="str">
        <f>IF(Сопутствующий_диагноз=0, " ", Сопутствующий_диагноз)</f>
        <v xml:space="preserve">ИБС: АКС. САГ 2 ст, 2 ст, риск 3. Ожирение 3-4 ст. П\о вентральная грыжа. </v>
      </c>
      <c r="B25" s="808"/>
      <c r="C25" s="808"/>
      <c r="D25" s="808"/>
      <c r="E25" s="808"/>
      <c r="F25" s="808"/>
      <c r="G25" s="808"/>
      <c r="H25" s="808"/>
      <c r="I25" s="809"/>
      <c r="J25" s="809"/>
      <c r="K25" s="809"/>
      <c r="L25" s="809"/>
      <c r="M25" s="809"/>
      <c r="N25" s="809"/>
      <c r="P25" s="183" t="str">
        <f>A25</f>
        <v xml:space="preserve">ИБС: АКС. САГ 2 ст, 2 ст, риск 3. Ожирение 3-4 ст. П\о вентральная грыжа. </v>
      </c>
    </row>
    <row r="26" spans="1:18" x14ac:dyDescent="0.25">
      <c r="B26" s="613"/>
      <c r="D26" s="608" t="s">
        <v>39</v>
      </c>
      <c r="F26" s="815"/>
      <c r="G26" s="816"/>
      <c r="H26" s="816"/>
      <c r="I26" s="816"/>
      <c r="J26" s="816"/>
      <c r="K26" s="816"/>
      <c r="L26" s="816"/>
      <c r="M26" s="816"/>
      <c r="N26" s="816"/>
      <c r="R26" s="184">
        <f t="shared" ref="R26:R37" si="0">F26</f>
        <v>0</v>
      </c>
    </row>
    <row r="27" spans="1:18" s="179" customFormat="1" hidden="1" x14ac:dyDescent="0.25">
      <c r="B27" s="180"/>
      <c r="F27" s="813" t="s">
        <v>2729</v>
      </c>
      <c r="G27" s="814"/>
      <c r="H27" s="814"/>
      <c r="I27" s="814"/>
      <c r="J27" s="814"/>
      <c r="K27" s="814"/>
      <c r="L27" s="814"/>
      <c r="M27" s="814"/>
      <c r="N27" s="814"/>
      <c r="P27" s="182"/>
      <c r="Q27" s="182"/>
      <c r="R27" s="184" t="str">
        <f t="shared" si="0"/>
        <v xml:space="preserve">установка катетера </v>
      </c>
    </row>
    <row r="28" spans="1:18" s="179" customFormat="1" hidden="1" x14ac:dyDescent="0.25">
      <c r="B28" s="180"/>
      <c r="F28" s="813" t="s">
        <v>2732</v>
      </c>
      <c r="G28" s="814"/>
      <c r="H28" s="814"/>
      <c r="I28" s="814"/>
      <c r="J28" s="814"/>
      <c r="K28" s="814"/>
      <c r="L28" s="814"/>
      <c r="M28" s="814"/>
      <c r="N28" s="814"/>
      <c r="P28" s="182"/>
      <c r="Q28" s="182"/>
      <c r="R28" s="184" t="str">
        <f t="shared" si="0"/>
        <v>Антибактериальная, симптоматическая  терапия</v>
      </c>
    </row>
    <row r="29" spans="1:18" s="181" customFormat="1" hidden="1" x14ac:dyDescent="0.25">
      <c r="F29" s="813" t="s">
        <v>2731</v>
      </c>
      <c r="G29" s="814"/>
      <c r="H29" s="814"/>
      <c r="I29" s="814"/>
      <c r="J29" s="814"/>
      <c r="K29" s="814"/>
      <c r="L29" s="814"/>
      <c r="M29" s="814"/>
      <c r="N29" s="814"/>
      <c r="P29" s="185"/>
      <c r="Q29" s="185"/>
      <c r="R29" s="184" t="str">
        <f t="shared" si="0"/>
        <v xml:space="preserve"> УФМ + определение остаточной мочи</v>
      </c>
    </row>
    <row r="30" spans="1:18" s="181" customFormat="1" hidden="1" x14ac:dyDescent="0.25">
      <c r="F30" s="813" t="s">
        <v>2503</v>
      </c>
      <c r="G30" s="814"/>
      <c r="H30" s="814"/>
      <c r="I30" s="814"/>
      <c r="J30" s="814"/>
      <c r="K30" s="814"/>
      <c r="L30" s="814"/>
      <c r="M30" s="814"/>
      <c r="N30" s="814"/>
      <c r="P30" s="185"/>
      <c r="Q30" s="185"/>
      <c r="R30" s="184" t="str">
        <f t="shared" si="0"/>
        <v>Обзорная урография</v>
      </c>
    </row>
    <row r="31" spans="1:18" s="179" customFormat="1" hidden="1" x14ac:dyDescent="0.25">
      <c r="F31" s="813" t="s">
        <v>43</v>
      </c>
      <c r="G31" s="814"/>
      <c r="H31" s="814"/>
      <c r="I31" s="814"/>
      <c r="J31" s="814"/>
      <c r="K31" s="814"/>
      <c r="L31" s="814"/>
      <c r="M31" s="814"/>
      <c r="N31" s="814"/>
      <c r="P31" s="182"/>
      <c r="Q31" s="182"/>
      <c r="R31" s="184" t="str">
        <f t="shared" si="0"/>
        <v>Экскреторная урография</v>
      </c>
    </row>
    <row r="32" spans="1:18" s="179" customFormat="1" hidden="1" x14ac:dyDescent="0.25">
      <c r="F32" s="813" t="s">
        <v>53</v>
      </c>
      <c r="G32" s="814"/>
      <c r="H32" s="814"/>
      <c r="I32" s="814"/>
      <c r="J32" s="814"/>
      <c r="K32" s="814"/>
      <c r="L32" s="814"/>
      <c r="M32" s="814"/>
      <c r="N32" s="814"/>
      <c r="P32" s="182"/>
      <c r="Q32" s="182"/>
      <c r="R32" s="184" t="str">
        <f t="shared" si="0"/>
        <v>Глюкоза крови на 6:00, 18:00</v>
      </c>
    </row>
    <row r="33" spans="6:18" s="181" customFormat="1" hidden="1" x14ac:dyDescent="0.25">
      <c r="F33" s="813" t="s">
        <v>41</v>
      </c>
      <c r="G33" s="814"/>
      <c r="H33" s="814"/>
      <c r="I33" s="814"/>
      <c r="J33" s="814"/>
      <c r="K33" s="814"/>
      <c r="L33" s="814"/>
      <c r="M33" s="814"/>
      <c r="N33" s="814"/>
      <c r="P33" s="185"/>
      <c r="Q33" s="185"/>
      <c r="R33" s="184" t="str">
        <f t="shared" si="0"/>
        <v>Консультация терапевта</v>
      </c>
    </row>
    <row r="34" spans="6:18" s="179" customFormat="1" hidden="1" x14ac:dyDescent="0.25">
      <c r="F34" s="813" t="s">
        <v>1874</v>
      </c>
      <c r="G34" s="814"/>
      <c r="H34" s="814"/>
      <c r="I34" s="814"/>
      <c r="J34" s="814"/>
      <c r="K34" s="814"/>
      <c r="L34" s="814"/>
      <c r="M34" s="814"/>
      <c r="N34" s="814"/>
      <c r="P34" s="182"/>
      <c r="Q34" s="182"/>
      <c r="R34" s="184" t="str">
        <f t="shared" si="0"/>
        <v>Консультация хирурга, нефролога невролога</v>
      </c>
    </row>
    <row r="35" spans="6:18" s="179" customFormat="1" x14ac:dyDescent="0.25">
      <c r="F35" s="813"/>
      <c r="G35" s="814"/>
      <c r="H35" s="814"/>
      <c r="I35" s="814"/>
      <c r="J35" s="814"/>
      <c r="K35" s="814"/>
      <c r="L35" s="814"/>
      <c r="M35" s="814"/>
      <c r="N35" s="814"/>
      <c r="P35" s="182"/>
      <c r="Q35" s="182"/>
      <c r="R35" s="184">
        <f t="shared" si="0"/>
        <v>0</v>
      </c>
    </row>
    <row r="36" spans="6:18" s="179" customFormat="1" hidden="1" x14ac:dyDescent="0.25">
      <c r="F36" s="813" t="s">
        <v>2733</v>
      </c>
      <c r="G36" s="814"/>
      <c r="H36" s="814"/>
      <c r="I36" s="814"/>
      <c r="J36" s="814"/>
      <c r="K36" s="814"/>
      <c r="L36" s="814"/>
      <c r="M36" s="814"/>
      <c r="N36" s="814"/>
      <c r="P36" s="182"/>
      <c r="Q36" s="182"/>
      <c r="R36" s="184" t="str">
        <f t="shared" si="0"/>
        <v>Литокинетическая терапия</v>
      </c>
    </row>
    <row r="37" spans="6:18" s="179" customFormat="1" hidden="1" x14ac:dyDescent="0.25">
      <c r="F37" s="813" t="s">
        <v>2648</v>
      </c>
      <c r="G37" s="814"/>
      <c r="H37" s="814"/>
      <c r="I37" s="814"/>
      <c r="J37" s="814"/>
      <c r="K37" s="814"/>
      <c r="L37" s="814"/>
      <c r="M37" s="814"/>
      <c r="N37" s="814"/>
      <c r="P37" s="182"/>
      <c r="Q37" s="182"/>
      <c r="R37" s="184" t="str">
        <f t="shared" si="0"/>
        <v>УЗИ органов МВС</v>
      </c>
    </row>
    <row r="38" spans="6:18" s="179" customFormat="1" hidden="1" x14ac:dyDescent="0.25">
      <c r="F38" s="813" t="s">
        <v>2730</v>
      </c>
      <c r="G38" s="814"/>
      <c r="H38" s="814"/>
      <c r="I38" s="814"/>
      <c r="J38" s="814"/>
      <c r="K38" s="814"/>
      <c r="L38" s="814"/>
      <c r="M38" s="814"/>
      <c r="N38" s="814"/>
      <c r="P38" s="182"/>
      <c r="Q38" s="182"/>
      <c r="R38" s="184" t="str">
        <f t="shared" ref="R38:R55" si="1">F38</f>
        <v>УЗИ брюшной полости, печени, забрюшинных л\узлов</v>
      </c>
    </row>
    <row r="39" spans="6:18" s="179" customFormat="1" hidden="1" x14ac:dyDescent="0.25">
      <c r="F39" s="813" t="s">
        <v>63</v>
      </c>
      <c r="G39" s="814"/>
      <c r="H39" s="814"/>
      <c r="I39" s="814"/>
      <c r="J39" s="814"/>
      <c r="K39" s="814"/>
      <c r="L39" s="814"/>
      <c r="M39" s="814"/>
      <c r="N39" s="814"/>
      <c r="P39" s="182"/>
      <c r="Q39" s="182"/>
      <c r="R39" s="184" t="str">
        <f t="shared" si="1"/>
        <v>Р-графия органов грудной клетки</v>
      </c>
    </row>
    <row r="40" spans="6:18" s="179" customFormat="1" hidden="1" x14ac:dyDescent="0.25">
      <c r="F40" s="813" t="s">
        <v>1873</v>
      </c>
      <c r="G40" s="814"/>
      <c r="H40" s="814"/>
      <c r="I40" s="814"/>
      <c r="J40" s="814"/>
      <c r="K40" s="814"/>
      <c r="L40" s="814"/>
      <c r="M40" s="814"/>
      <c r="N40" s="814"/>
      <c r="P40" s="182"/>
      <c r="Q40" s="182"/>
      <c r="R40" s="184" t="str">
        <f t="shared" si="1"/>
        <v>ПСА общий крови</v>
      </c>
    </row>
    <row r="41" spans="6:18" s="179" customFormat="1" hidden="1" x14ac:dyDescent="0.25">
      <c r="F41" s="813" t="s">
        <v>65</v>
      </c>
      <c r="G41" s="814"/>
      <c r="H41" s="814"/>
      <c r="I41" s="814"/>
      <c r="J41" s="814"/>
      <c r="K41" s="814"/>
      <c r="L41" s="814"/>
      <c r="M41" s="814"/>
      <c r="N41" s="814"/>
      <c r="P41" s="182"/>
      <c r="Q41" s="182"/>
      <c r="R41" s="184" t="str">
        <f t="shared" si="1"/>
        <v>УЗИ мошонки, пахового канала</v>
      </c>
    </row>
    <row r="42" spans="6:18" s="179" customFormat="1" hidden="1" x14ac:dyDescent="0.25">
      <c r="F42" s="813" t="s">
        <v>66</v>
      </c>
      <c r="G42" s="814"/>
      <c r="H42" s="814"/>
      <c r="I42" s="814"/>
      <c r="J42" s="814"/>
      <c r="K42" s="814"/>
      <c r="L42" s="814"/>
      <c r="M42" s="814"/>
      <c r="N42" s="814"/>
      <c r="P42" s="182"/>
      <c r="Q42" s="182"/>
      <c r="R42" s="184" t="str">
        <f t="shared" si="1"/>
        <v>Посев мочи на микрофлору</v>
      </c>
    </row>
    <row r="43" spans="6:18" s="179" customFormat="1" hidden="1" x14ac:dyDescent="0.25">
      <c r="F43" s="813" t="s">
        <v>2728</v>
      </c>
      <c r="G43" s="814"/>
      <c r="H43" s="814"/>
      <c r="I43" s="814"/>
      <c r="J43" s="814"/>
      <c r="K43" s="814"/>
      <c r="L43" s="814"/>
      <c r="M43" s="814"/>
      <c r="N43" s="814"/>
      <c r="P43" s="182"/>
      <c r="Q43" s="182"/>
      <c r="R43" s="184" t="str">
        <f t="shared" si="1"/>
        <v xml:space="preserve">ОАК, ОАМ, БАК, группа крови, посев мочи, коагулограмма, </v>
      </c>
    </row>
    <row r="44" spans="6:18" s="179" customFormat="1" hidden="1" x14ac:dyDescent="0.25">
      <c r="F44" s="813" t="s">
        <v>1437</v>
      </c>
      <c r="G44" s="814"/>
      <c r="H44" s="814"/>
      <c r="I44" s="814"/>
      <c r="J44" s="814"/>
      <c r="K44" s="814"/>
      <c r="L44" s="814"/>
      <c r="M44" s="814"/>
      <c r="N44" s="814"/>
      <c r="P44" s="182"/>
      <c r="Q44" s="182"/>
      <c r="R44" s="184" t="str">
        <f t="shared" si="1"/>
        <v>Анализ мочи на атипические клетки</v>
      </c>
    </row>
    <row r="45" spans="6:18" s="179" customFormat="1" ht="162.75" hidden="1" x14ac:dyDescent="0.25">
      <c r="F45" s="813" t="s">
        <v>2752</v>
      </c>
      <c r="G45" s="814"/>
      <c r="H45" s="814"/>
      <c r="I45" s="814"/>
      <c r="J45" s="814"/>
      <c r="K45" s="814"/>
      <c r="L45" s="814"/>
      <c r="M45" s="814"/>
      <c r="N45" s="814"/>
      <c r="P45" s="182"/>
      <c r="Q45" s="182"/>
      <c r="R45" s="184" t="str">
        <f t="shared" si="1"/>
        <v>! ДГПЖ 075.050
Динамическое наблюдение, контроль жалоб, термометрия
ОАК, ОАМ, б/х крови, коагулограмма, группа крови
Стол ОВД, режим палатный
Консультация анестезиолога
ЭКГ, 
Заполнение опросника IPSS</v>
      </c>
    </row>
    <row r="46" spans="6:18" s="179" customFormat="1" ht="139.5" hidden="1" x14ac:dyDescent="0.25">
      <c r="F46" s="813" t="s">
        <v>1875</v>
      </c>
      <c r="G46" s="814"/>
      <c r="H46" s="814"/>
      <c r="I46" s="814"/>
      <c r="J46" s="814"/>
      <c r="K46" s="814"/>
      <c r="L46" s="814"/>
      <c r="M46" s="814"/>
      <c r="N46" s="814"/>
      <c r="P46" s="182"/>
      <c r="Q46" s="182"/>
      <c r="R46" s="185" t="str">
        <f t="shared" si="1"/>
        <v>! Варикоцеле, гидроцеле: 075.090
Динамическое наблюдение, контроль жалоб, термометрия
ОАК, ОАМ, б/х крови, коагулограмма, группа крови
Стол ОВД, режим палатный
Консультация терапевта
ЭКГ, УЗИ органов мошонки</v>
      </c>
    </row>
    <row r="47" spans="6:18" s="179" customFormat="1" ht="139.5" hidden="1" x14ac:dyDescent="0.25">
      <c r="F47" s="813" t="s">
        <v>2741</v>
      </c>
      <c r="G47" s="814"/>
      <c r="H47" s="814"/>
      <c r="I47" s="814"/>
      <c r="J47" s="814"/>
      <c r="K47" s="814"/>
      <c r="L47" s="814"/>
      <c r="M47" s="814"/>
      <c r="N47" s="814"/>
      <c r="P47" s="182"/>
      <c r="Q47" s="182"/>
      <c r="R47" s="185" t="str">
        <f t="shared" si="1"/>
        <v>! Киста почки: 075.020
Динамическое наблюдение, контроль жалоб, термометрия
ОАК, ОАМ, б/х крови, коагулограмма, группа крови
Стол ОВД, режим палатный
Консультация терапевта
ЭКГ,</v>
      </c>
    </row>
    <row r="48" spans="6:18" s="179" customFormat="1" ht="143.25" hidden="1" customHeight="1" x14ac:dyDescent="0.25">
      <c r="F48" s="815" t="s">
        <v>2751</v>
      </c>
      <c r="G48" s="816"/>
      <c r="H48" s="816"/>
      <c r="I48" s="816"/>
      <c r="J48" s="816"/>
      <c r="K48" s="816"/>
      <c r="L48" s="816"/>
      <c r="M48" s="816"/>
      <c r="N48" s="816"/>
      <c r="P48" s="182"/>
      <c r="Q48" s="182"/>
      <c r="R48" s="185" t="str">
        <f t="shared" si="1"/>
        <v>Динамическое наблюдение, контроль жалоб, термометрия
ОАК, ОАМ, б/х крови, коагулограмма, группа крови
Стол ОВД, режим палатный
ЭКГ, конс гинеколога
Посев мочи на микрофлору</v>
      </c>
    </row>
    <row r="49" spans="6:18" s="179" customFormat="1" ht="139.5" hidden="1" x14ac:dyDescent="0.25">
      <c r="F49" s="813" t="s">
        <v>2748</v>
      </c>
      <c r="G49" s="814"/>
      <c r="H49" s="814"/>
      <c r="I49" s="814"/>
      <c r="J49" s="814"/>
      <c r="K49" s="814"/>
      <c r="L49" s="814"/>
      <c r="M49" s="814"/>
      <c r="N49" s="814"/>
      <c r="P49" s="182"/>
      <c r="Q49" s="182"/>
      <c r="R49" s="185" t="str">
        <f t="shared" si="1"/>
        <v xml:space="preserve">
Динамическое наблюдение, контроль жалоб, термометрия
ОАК, ОАМ, б/х крови, коагулограмма, группа крови
Стол ОВД3, режим палатный
Консультация терапевта
ЭКГ, Рентген грудной клетки,  п\ к отдела  позвоночника</v>
      </c>
    </row>
    <row r="50" spans="6:18" s="179" customFormat="1" ht="174" hidden="1" customHeight="1" x14ac:dyDescent="0.25">
      <c r="F50" s="813" t="s">
        <v>2762</v>
      </c>
      <c r="G50" s="814"/>
      <c r="H50" s="814"/>
      <c r="I50" s="814"/>
      <c r="J50" s="814"/>
      <c r="K50" s="814"/>
      <c r="L50" s="814"/>
      <c r="M50" s="814"/>
      <c r="N50" s="814"/>
      <c r="P50" s="182"/>
      <c r="Q50" s="182"/>
      <c r="R50" s="185" t="str">
        <f t="shared" si="1"/>
        <v xml:space="preserve">
Динамическое наблюдение, контроль жалоб, термометрия
ОАК, ОАМ, б/х крови, коагулограмма, группа крови
Стол ОВД, режим палатный
Консультация терапевта
ЭКГ, УЗИ почек, мочевого пузыря, забр. л\у, печени, рентген костей таза , поясничного отдела, грудной клетки. </v>
      </c>
    </row>
    <row r="51" spans="6:18" s="179" customFormat="1" ht="45.75" hidden="1" customHeight="1" x14ac:dyDescent="0.25">
      <c r="F51" s="813" t="s">
        <v>2653</v>
      </c>
      <c r="G51" s="814"/>
      <c r="H51" s="814"/>
      <c r="I51" s="814"/>
      <c r="J51" s="814"/>
      <c r="K51" s="814"/>
      <c r="L51" s="814"/>
      <c r="M51" s="814"/>
      <c r="N51" s="814"/>
      <c r="P51" s="182"/>
      <c r="Q51" s="182"/>
      <c r="R51" s="185" t="str">
        <f t="shared" si="1"/>
        <v xml:space="preserve">Подготовка к цистоскопии. </v>
      </c>
    </row>
    <row r="52" spans="6:18" s="179" customFormat="1" ht="139.5" hidden="1" x14ac:dyDescent="0.25">
      <c r="F52" s="813" t="s">
        <v>2178</v>
      </c>
      <c r="G52" s="814"/>
      <c r="H52" s="814"/>
      <c r="I52" s="814"/>
      <c r="J52" s="814"/>
      <c r="K52" s="814"/>
      <c r="L52" s="814"/>
      <c r="M52" s="814"/>
      <c r="N52" s="814"/>
      <c r="P52" s="182"/>
      <c r="Q52" s="182"/>
      <c r="R52" s="185" t="str">
        <f t="shared" si="1"/>
        <v>! Гидронефроз 075.010
Динамическое наблюдение, контроль жалоб, термометрия
ОАК, ОАМ, б/х крови, коагулограмма, группа крови
Стол ОВД, режим палатный
Консультация терапевта
ЭКГ, УЗИ почек, мочевого пузыря</v>
      </c>
    </row>
    <row r="53" spans="6:18" s="179" customFormat="1" ht="139.5" x14ac:dyDescent="0.25">
      <c r="F53" s="813" t="s">
        <v>2757</v>
      </c>
      <c r="G53" s="814"/>
      <c r="H53" s="814"/>
      <c r="I53" s="814"/>
      <c r="J53" s="814"/>
      <c r="K53" s="814"/>
      <c r="L53" s="814"/>
      <c r="M53" s="814"/>
      <c r="N53" s="814"/>
      <c r="P53" s="182"/>
      <c r="Q53" s="182"/>
      <c r="R53" s="185" t="str">
        <f t="shared" si="1"/>
        <v>! МКБ
Динамическое наблюдение, контроль жалоб, термометрия
ОАК, ОАМ, б/х крови, коагулограмма, группа крови
Стол ОВД, режим палатный
Анализ на RW, ВИЧ, HbsAg
ЭКГ, конс анестезиолога</v>
      </c>
    </row>
    <row r="54" spans="6:18" s="179" customFormat="1" ht="186" hidden="1" x14ac:dyDescent="0.25">
      <c r="F54" s="813" t="s">
        <v>1876</v>
      </c>
      <c r="G54" s="814"/>
      <c r="H54" s="814"/>
      <c r="I54" s="814"/>
      <c r="J54" s="814"/>
      <c r="K54" s="814"/>
      <c r="L54" s="814"/>
      <c r="M54" s="814"/>
      <c r="N54" s="814"/>
      <c r="P54" s="182"/>
      <c r="Q54" s="182"/>
      <c r="R54" s="185" t="str">
        <f t="shared" si="1"/>
        <v>! Стриктуры уретры: 075.050
Динамическое наблюдение, контроль жалоб, термометрия
ОАК, ОАМ, б/х крови, коагулограмма, группа крови
Стол ОВД, режим палатный
Консультация терапевта
ЭКГ, УЗИ, ТРУЗИ, УФМ + определение остаточной мочи
Заполнение опросника IPSS
Ретроградная, микционная уретроцистография</v>
      </c>
    </row>
    <row r="55" spans="6:18" s="179" customFormat="1" ht="3" hidden="1" customHeight="1" x14ac:dyDescent="0.25">
      <c r="F55" s="813" t="s">
        <v>1877</v>
      </c>
      <c r="G55" s="814"/>
      <c r="H55" s="814"/>
      <c r="I55" s="814"/>
      <c r="J55" s="814"/>
      <c r="K55" s="814"/>
      <c r="L55" s="814"/>
      <c r="M55" s="814"/>
      <c r="N55" s="814"/>
      <c r="P55" s="182"/>
      <c r="Q55" s="182"/>
      <c r="R55" s="185" t="str">
        <f t="shared" si="1"/>
        <v>! Полип уретры, фимоз: 075.100
Динамическое наблюдение, контроль жалоб, термометрия
ОАК, ОАМ, б/х крови, коагулограмма, группа крови
Стол ОВД, режим палатный
Консультация терапевта
ЭКГ, УЗИ почек, мочевого пузыря</v>
      </c>
    </row>
    <row r="56" spans="6:18" x14ac:dyDescent="0.25">
      <c r="J56" s="808" t="str">
        <f>IF(Канал_поступления=2," Деж.врач","Леч.врач")</f>
        <v>Леч.врач</v>
      </c>
      <c r="K56" s="827"/>
      <c r="L56" s="608" t="str">
        <f>Лечащий_врач</f>
        <v>Еременко А. Н.</v>
      </c>
    </row>
    <row r="57" spans="6:18" x14ac:dyDescent="0.25">
      <c r="J57" s="808" t="str">
        <f>IF(Канал_поступления=2," ",IF(И.О.ЗАВ.ОТД.=1,"И.о. зав.отд.","Зав.отд."))</f>
        <v>Зав.отд.</v>
      </c>
      <c r="K57" s="827"/>
      <c r="L57" s="608" t="str">
        <f>IF(Канал_поступления=2," ",Зав.отд.)</f>
        <v>Еременко С. Н.</v>
      </c>
    </row>
  </sheetData>
  <sheetProtection formatCells="0" formatRows="0" autoFilter="0"/>
  <autoFilter ref="F26:N57">
    <filterColumn colId="0" showButton="0">
      <filters>
        <filter val="! МКБ_x000a_Динамическое наблюдение, контроль жалоб, термометрия_x000a_ОАК, ОАМ, б/х крови, коагулограмма, группа крови_x000a_Стол ОВД, режим палатный_x000a_Анализ на RW, ВИЧ, HbsAg_x000a_ЭКГ, конс анестезиолога"/>
      </filters>
    </filterColumn>
    <filterColumn colId="1" showButton="0"/>
    <filterColumn colId="2" showButton="0"/>
    <filterColumn colId="3" showButton="0"/>
    <filterColumn colId="4" showButton="0"/>
    <filterColumn colId="5" showButton="0"/>
    <filterColumn colId="6" showButton="0"/>
    <filterColumn colId="7" showButton="0"/>
  </autoFilter>
  <dataConsolidate>
    <dataRefs count="1">
      <dataRef ref="B31" sheet="Первичка"/>
    </dataRefs>
  </dataConsolidate>
  <mergeCells count="50">
    <mergeCell ref="J57:K57"/>
    <mergeCell ref="D10:N10"/>
    <mergeCell ref="F36:N36"/>
    <mergeCell ref="F35:N35"/>
    <mergeCell ref="F40:N40"/>
    <mergeCell ref="F41:N41"/>
    <mergeCell ref="F38:N38"/>
    <mergeCell ref="F39:N39"/>
    <mergeCell ref="F30:N30"/>
    <mergeCell ref="F26:N26"/>
    <mergeCell ref="A23:N23"/>
    <mergeCell ref="F27:N27"/>
    <mergeCell ref="F28:N28"/>
    <mergeCell ref="J56:K56"/>
    <mergeCell ref="F31:N31"/>
    <mergeCell ref="F32:N32"/>
    <mergeCell ref="F55:N55"/>
    <mergeCell ref="F43:N43"/>
    <mergeCell ref="F49:N49"/>
    <mergeCell ref="F50:N50"/>
    <mergeCell ref="F54:N54"/>
    <mergeCell ref="F53:N53"/>
    <mergeCell ref="F44:N44"/>
    <mergeCell ref="F46:N46"/>
    <mergeCell ref="C1:G1"/>
    <mergeCell ref="K2:M2"/>
    <mergeCell ref="C5:N5"/>
    <mergeCell ref="A21:N21"/>
    <mergeCell ref="A16:N16"/>
    <mergeCell ref="A20:N20"/>
    <mergeCell ref="J3:K3"/>
    <mergeCell ref="E3:F3"/>
    <mergeCell ref="D2:E2"/>
    <mergeCell ref="A7:N7"/>
    <mergeCell ref="A9:N9"/>
    <mergeCell ref="F14:N14"/>
    <mergeCell ref="A18:N18"/>
    <mergeCell ref="A25:N25"/>
    <mergeCell ref="A13:N13"/>
    <mergeCell ref="E11:N11"/>
    <mergeCell ref="F29:N29"/>
    <mergeCell ref="F52:N52"/>
    <mergeCell ref="F51:N51"/>
    <mergeCell ref="F47:N47"/>
    <mergeCell ref="F48:N48"/>
    <mergeCell ref="F45:N45"/>
    <mergeCell ref="F33:N33"/>
    <mergeCell ref="F34:N34"/>
    <mergeCell ref="F42:N42"/>
    <mergeCell ref="F37:N37"/>
  </mergeCells>
  <pageMargins left="0.85416666666666663" right="0.39285714285714285" top="0.15178571428571427" bottom="0.16369047619047619" header="0.31496062992125984" footer="0.31496062992125984"/>
  <pageSetup paperSize="9" scale="55"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filterMode="1">
    <tabColor theme="4" tint="-0.249977111117893"/>
  </sheetPr>
  <dimension ref="A1:O69"/>
  <sheetViews>
    <sheetView view="pageBreakPreview" topLeftCell="A13" zoomScale="115" zoomScaleNormal="100" zoomScaleSheetLayoutView="115" zoomScalePageLayoutView="115" workbookViewId="0">
      <selection activeCell="C34" sqref="C34:G34"/>
    </sheetView>
  </sheetViews>
  <sheetFormatPr defaultRowHeight="15" x14ac:dyDescent="0.25"/>
  <cols>
    <col min="1" max="1" width="9.140625" style="125" customWidth="1"/>
    <col min="2" max="2" width="11.140625" style="125" bestFit="1" customWidth="1"/>
    <col min="3" max="3" width="9.28515625" style="125" bestFit="1" customWidth="1"/>
    <col min="4" max="5" width="9.140625" style="125"/>
    <col min="6" max="6" width="10.42578125" style="125" customWidth="1"/>
    <col min="7" max="7" width="10.28515625" style="125" bestFit="1" customWidth="1"/>
    <col min="8" max="10" width="9.140625" style="125"/>
    <col min="11" max="11" width="84.85546875" style="671" hidden="1" customWidth="1"/>
    <col min="12" max="12" width="67.42578125" style="671" hidden="1" customWidth="1"/>
    <col min="13" max="13" width="11.140625" style="125" hidden="1" customWidth="1"/>
    <col min="14" max="14" width="9.140625" style="125"/>
    <col min="15" max="15" width="0" style="125" hidden="1" customWidth="1"/>
    <col min="16" max="16384" width="9.140625" style="125"/>
  </cols>
  <sheetData>
    <row r="1" spans="1:12" x14ac:dyDescent="0.25">
      <c r="A1" s="840">
        <f ca="1">NOW()</f>
        <v>42601.314983912038</v>
      </c>
      <c r="B1" s="841"/>
      <c r="C1" s="842" t="s">
        <v>2409</v>
      </c>
      <c r="D1" s="843"/>
      <c r="E1" s="843"/>
      <c r="F1" s="843"/>
      <c r="G1" s="843"/>
      <c r="H1" s="843"/>
    </row>
    <row r="2" spans="1:12" x14ac:dyDescent="0.25">
      <c r="A2" s="293"/>
    </row>
    <row r="3" spans="1:12" ht="30" x14ac:dyDescent="0.25">
      <c r="A3" s="166" t="s">
        <v>191</v>
      </c>
      <c r="C3" s="833" t="s">
        <v>2504</v>
      </c>
      <c r="D3" s="844"/>
      <c r="E3" s="844"/>
      <c r="F3" s="844"/>
      <c r="G3" s="844"/>
      <c r="H3" s="844"/>
      <c r="I3" s="844"/>
      <c r="L3" s="671" t="str">
        <f>C3</f>
        <v>Выставлен на основании клинических, лабораторных, инструментальных данных ( УЗИ, КТ, ретген)</v>
      </c>
    </row>
    <row r="4" spans="1:12" ht="15.75" x14ac:dyDescent="0.25">
      <c r="A4" s="166"/>
    </row>
    <row r="5" spans="1:12" ht="48" customHeight="1" x14ac:dyDescent="0.25">
      <c r="A5" s="845" t="s">
        <v>2505</v>
      </c>
      <c r="B5" s="845"/>
      <c r="C5" s="845"/>
      <c r="D5" s="845"/>
      <c r="E5" s="845"/>
      <c r="F5" s="845"/>
      <c r="G5" s="845"/>
      <c r="H5" s="845"/>
      <c r="I5" s="845"/>
      <c r="K5" s="671" t="str">
        <f>A5</f>
        <v xml:space="preserve">Согласие с планом обследования и лечения больного:да.
 Дополнения: нет.
</v>
      </c>
    </row>
    <row r="6" spans="1:12" x14ac:dyDescent="0.25">
      <c r="A6" s="846"/>
      <c r="B6" s="845"/>
      <c r="C6" s="845"/>
      <c r="D6" s="845"/>
      <c r="E6" s="845"/>
      <c r="F6" s="845"/>
      <c r="G6" s="845"/>
      <c r="H6" s="845"/>
      <c r="I6" s="845"/>
      <c r="K6" s="671">
        <f>A6</f>
        <v>0</v>
      </c>
    </row>
    <row r="7" spans="1:12" x14ac:dyDescent="0.25">
      <c r="A7" s="167" t="s">
        <v>31</v>
      </c>
      <c r="C7" s="168">
        <f ca="1">A1-дата_поступления+0</f>
        <v>9.3149839120378601</v>
      </c>
      <c r="D7" s="125" t="s">
        <v>384</v>
      </c>
      <c r="F7" s="168">
        <f ca="1">IF((A1-Дата_операции)&lt;1, " ", IF(Дата_операции=0, " ", A1-Дата_операции))</f>
        <v>14.31498391203786</v>
      </c>
      <c r="G7" s="125" t="str">
        <f ca="1">IF((A1-Дата_операции)&lt;1, " ", IF(Дата_операции=0, " ", "сутки после операции"))</f>
        <v>сутки после операции</v>
      </c>
    </row>
    <row r="8" spans="1:12" x14ac:dyDescent="0.25">
      <c r="A8" s="7" t="s">
        <v>2537</v>
      </c>
      <c r="B8" s="6"/>
      <c r="C8" s="6"/>
      <c r="D8" s="6"/>
      <c r="E8" s="6"/>
      <c r="F8" s="6"/>
      <c r="G8" s="6"/>
      <c r="H8" s="6"/>
    </row>
    <row r="9" spans="1:12" ht="29.25" customHeight="1" x14ac:dyDescent="0.25">
      <c r="A9" s="838" t="str">
        <f>Данные!C22</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c r="B9" s="847"/>
      <c r="C9" s="847"/>
      <c r="D9" s="847"/>
      <c r="E9" s="847"/>
      <c r="F9" s="847"/>
      <c r="G9" s="847"/>
      <c r="H9" s="847"/>
      <c r="I9" s="847"/>
      <c r="K9" s="671" t="str">
        <f>A9</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row>
    <row r="10" spans="1:12" x14ac:dyDescent="0.25">
      <c r="A10" s="7" t="str">
        <f>IF(Сопутствующий_диагноз=0, " ", "Сопутствующий диагноз:")</f>
        <v>Сопутствующий диагноз:</v>
      </c>
      <c r="B10" s="6"/>
      <c r="C10" s="6"/>
      <c r="D10" s="6"/>
      <c r="E10" s="6"/>
      <c r="F10" s="6"/>
      <c r="G10" s="6"/>
      <c r="H10" s="6"/>
    </row>
    <row r="11" spans="1:12" ht="33" customHeight="1" x14ac:dyDescent="0.25">
      <c r="A11" s="838" t="str">
        <f>IF(Сопутствующий_диагноз=0, " ", Сопутствующий_диагноз)</f>
        <v xml:space="preserve">ИБС: АКС. САГ 2 ст, 2 ст, риск 3. Ожирение 3-4 ст. П\о вентральная грыжа. </v>
      </c>
      <c r="B11" s="839"/>
      <c r="C11" s="839"/>
      <c r="D11" s="839"/>
      <c r="E11" s="839"/>
      <c r="F11" s="839"/>
      <c r="G11" s="839"/>
      <c r="H11" s="839"/>
      <c r="I11" s="839"/>
      <c r="K11" s="671" t="str">
        <f>A11</f>
        <v xml:space="preserve">ИБС: АКС. САГ 2 ст, 2 ст, риск 3. Ожирение 3-4 ст. П\о вентральная грыжа. </v>
      </c>
    </row>
    <row r="12" spans="1:12" x14ac:dyDescent="0.25">
      <c r="B12" s="169" t="s">
        <v>2411</v>
      </c>
      <c r="C12" s="833"/>
      <c r="D12" s="834"/>
      <c r="E12" s="834"/>
      <c r="F12" s="834"/>
      <c r="G12" s="834"/>
      <c r="H12" s="834"/>
      <c r="I12" s="834"/>
      <c r="L12" s="671">
        <f>C12</f>
        <v>0</v>
      </c>
    </row>
    <row r="13" spans="1:12" ht="30" x14ac:dyDescent="0.25">
      <c r="C13" s="833" t="s">
        <v>2654</v>
      </c>
      <c r="D13" s="834"/>
      <c r="E13" s="834"/>
      <c r="F13" s="834"/>
      <c r="G13" s="834"/>
      <c r="H13" s="834"/>
      <c r="I13" s="834"/>
      <c r="L13" s="671" t="str">
        <f t="shared" ref="L13:L28" si="0">C13</f>
        <v xml:space="preserve">Динамическое наблюдение, дальнейшая тактика будет определена после дообследования. </v>
      </c>
    </row>
    <row r="14" spans="1:12" s="8" customFormat="1" hidden="1" x14ac:dyDescent="0.25">
      <c r="C14" s="833" t="s">
        <v>2733</v>
      </c>
      <c r="D14" s="834"/>
      <c r="E14" s="834"/>
      <c r="F14" s="834"/>
      <c r="G14" s="834"/>
      <c r="H14" s="834"/>
      <c r="I14" s="834"/>
      <c r="K14" s="671"/>
      <c r="L14" s="671" t="str">
        <f t="shared" si="0"/>
        <v>Литокинетическая терапия</v>
      </c>
    </row>
    <row r="15" spans="1:12" s="8" customFormat="1" x14ac:dyDescent="0.25">
      <c r="C15" s="833" t="s">
        <v>2777</v>
      </c>
      <c r="D15" s="834"/>
      <c r="E15" s="834"/>
      <c r="F15" s="834"/>
      <c r="G15" s="834"/>
      <c r="H15" s="834"/>
      <c r="I15" s="834"/>
      <c r="K15" s="671"/>
      <c r="L15" s="671" t="str">
        <f t="shared" si="0"/>
        <v>Оперативное лечение в объеме:КЛТ</v>
      </c>
    </row>
    <row r="16" spans="1:12" s="8" customFormat="1" hidden="1" x14ac:dyDescent="0.25">
      <c r="C16" s="833" t="s">
        <v>2735</v>
      </c>
      <c r="D16" s="834"/>
      <c r="E16" s="834"/>
      <c r="F16" s="834"/>
      <c r="G16" s="834"/>
      <c r="H16" s="834"/>
      <c r="I16" s="834"/>
      <c r="K16" s="671"/>
      <c r="L16" s="671" t="str">
        <f t="shared" si="0"/>
        <v>Гемостатическая терапия</v>
      </c>
    </row>
    <row r="17" spans="1:12" s="8" customFormat="1" x14ac:dyDescent="0.25">
      <c r="C17" s="833"/>
      <c r="D17" s="834"/>
      <c r="E17" s="834"/>
      <c r="F17" s="834"/>
      <c r="G17" s="834"/>
      <c r="H17" s="834"/>
      <c r="I17" s="834"/>
      <c r="K17" s="671"/>
      <c r="L17" s="671">
        <f t="shared" si="0"/>
        <v>0</v>
      </c>
    </row>
    <row r="18" spans="1:12" s="8" customFormat="1" hidden="1" x14ac:dyDescent="0.25">
      <c r="C18" s="833" t="s">
        <v>41</v>
      </c>
      <c r="D18" s="834"/>
      <c r="E18" s="834"/>
      <c r="F18" s="834"/>
      <c r="G18" s="834"/>
      <c r="H18" s="834"/>
      <c r="I18" s="834"/>
      <c r="K18" s="671"/>
      <c r="L18" s="671" t="str">
        <f t="shared" si="0"/>
        <v>Консультация терапевта</v>
      </c>
    </row>
    <row r="19" spans="1:12" s="8" customFormat="1" x14ac:dyDescent="0.25">
      <c r="C19" s="833"/>
      <c r="D19" s="834"/>
      <c r="E19" s="834"/>
      <c r="F19" s="834"/>
      <c r="G19" s="834"/>
      <c r="H19" s="834"/>
      <c r="I19" s="834"/>
      <c r="K19" s="671"/>
      <c r="L19" s="671">
        <f t="shared" si="0"/>
        <v>0</v>
      </c>
    </row>
    <row r="20" spans="1:12" s="8" customFormat="1" hidden="1" x14ac:dyDescent="0.25">
      <c r="C20" s="833" t="s">
        <v>2734</v>
      </c>
      <c r="D20" s="834"/>
      <c r="E20" s="834"/>
      <c r="F20" s="834"/>
      <c r="G20" s="834"/>
      <c r="H20" s="834"/>
      <c r="I20" s="834"/>
      <c r="K20" s="671"/>
      <c r="L20" s="671" t="str">
        <f t="shared" si="0"/>
        <v>Консультация гинеколога</v>
      </c>
    </row>
    <row r="21" spans="1:12" s="8" customFormat="1" hidden="1" x14ac:dyDescent="0.25">
      <c r="C21" s="833" t="s">
        <v>51</v>
      </c>
      <c r="D21" s="834"/>
      <c r="E21" s="834"/>
      <c r="F21" s="834"/>
      <c r="G21" s="834"/>
      <c r="H21" s="834"/>
      <c r="I21" s="834"/>
      <c r="K21" s="671"/>
      <c r="L21" s="671" t="str">
        <f t="shared" si="0"/>
        <v>Консультация невролога</v>
      </c>
    </row>
    <row r="22" spans="1:12" hidden="1" x14ac:dyDescent="0.25">
      <c r="C22" s="833" t="s">
        <v>2621</v>
      </c>
      <c r="D22" s="834"/>
      <c r="E22" s="834"/>
      <c r="F22" s="834"/>
      <c r="G22" s="834"/>
      <c r="H22" s="834"/>
      <c r="I22" s="834"/>
      <c r="L22" s="671" t="str">
        <f t="shared" si="0"/>
        <v>Консультация эндокринолога</v>
      </c>
    </row>
    <row r="23" spans="1:12" s="8" customFormat="1" hidden="1" x14ac:dyDescent="0.25">
      <c r="C23" s="833" t="s">
        <v>2714</v>
      </c>
      <c r="D23" s="834"/>
      <c r="E23" s="834"/>
      <c r="F23" s="834"/>
      <c r="G23" s="834"/>
      <c r="H23" s="834"/>
      <c r="I23" s="834"/>
      <c r="K23" s="671"/>
      <c r="L23" s="671" t="str">
        <f t="shared" si="0"/>
        <v>Оперативное лечение в объеме: резекции кисты</v>
      </c>
    </row>
    <row r="24" spans="1:12" s="8" customFormat="1" x14ac:dyDescent="0.25">
      <c r="C24" s="833"/>
      <c r="D24" s="834"/>
      <c r="E24" s="834"/>
      <c r="F24" s="834"/>
      <c r="G24" s="834"/>
      <c r="H24" s="834"/>
      <c r="I24" s="834"/>
      <c r="K24" s="671"/>
      <c r="L24" s="671">
        <f t="shared" si="0"/>
        <v>0</v>
      </c>
    </row>
    <row r="25" spans="1:12" s="8" customFormat="1" x14ac:dyDescent="0.25">
      <c r="A25" s="673"/>
      <c r="C25" s="833"/>
      <c r="D25" s="834"/>
      <c r="E25" s="834"/>
      <c r="F25" s="834"/>
      <c r="G25" s="834"/>
      <c r="H25" s="834"/>
      <c r="I25" s="834"/>
      <c r="K25" s="671"/>
      <c r="L25" s="671">
        <f t="shared" si="0"/>
        <v>0</v>
      </c>
    </row>
    <row r="26" spans="1:12" s="8" customFormat="1" hidden="1" x14ac:dyDescent="0.25">
      <c r="A26" s="673"/>
      <c r="C26" s="833" t="s">
        <v>2736</v>
      </c>
      <c r="D26" s="834"/>
      <c r="E26" s="834"/>
      <c r="F26" s="834"/>
      <c r="G26" s="834"/>
      <c r="H26" s="834"/>
      <c r="I26" s="834"/>
      <c r="K26" s="671"/>
      <c r="L26" s="671" t="str">
        <f t="shared" si="0"/>
        <v>Установка катетера</v>
      </c>
    </row>
    <row r="27" spans="1:12" s="8" customFormat="1" ht="15" hidden="1" customHeight="1" x14ac:dyDescent="0.25">
      <c r="A27" s="673"/>
      <c r="C27" s="833" t="s">
        <v>2659</v>
      </c>
      <c r="D27" s="834"/>
      <c r="E27" s="834"/>
      <c r="F27" s="834"/>
      <c r="G27" s="834"/>
      <c r="H27" s="834"/>
      <c r="I27" s="834"/>
      <c r="L27" s="671" t="str">
        <f t="shared" si="0"/>
        <v>Оперативное лечение в объеме: ТУР аденомы простаты</v>
      </c>
    </row>
    <row r="28" spans="1:12" s="8" customFormat="1" ht="26.25" customHeight="1" x14ac:dyDescent="0.25">
      <c r="A28" s="673"/>
      <c r="C28" s="833"/>
      <c r="D28" s="834"/>
      <c r="E28" s="834"/>
      <c r="F28" s="834"/>
      <c r="G28" s="834"/>
      <c r="H28" s="834"/>
      <c r="I28" s="834"/>
      <c r="L28" s="671">
        <f t="shared" si="0"/>
        <v>0</v>
      </c>
    </row>
    <row r="29" spans="1:12" ht="15" customHeight="1" x14ac:dyDescent="0.25">
      <c r="A29" s="170"/>
      <c r="C29" s="833"/>
      <c r="D29" s="834"/>
      <c r="E29" s="834"/>
      <c r="F29" s="834"/>
      <c r="G29" s="834"/>
      <c r="H29" s="834"/>
      <c r="I29" s="834"/>
      <c r="J29" s="8"/>
      <c r="K29" s="8"/>
      <c r="L29" s="671">
        <f>C29</f>
        <v>0</v>
      </c>
    </row>
    <row r="30" spans="1:12" x14ac:dyDescent="0.25">
      <c r="A30" s="170"/>
      <c r="B30" s="170"/>
      <c r="C30" s="170"/>
      <c r="D30" s="170"/>
      <c r="E30" s="170"/>
      <c r="F30" s="170"/>
      <c r="G30" s="170" t="s">
        <v>74</v>
      </c>
      <c r="H30" s="837" t="str">
        <f>Лечащий_врач</f>
        <v>Еременко А. Н.</v>
      </c>
      <c r="I30" s="837"/>
    </row>
    <row r="31" spans="1:12" x14ac:dyDescent="0.25">
      <c r="A31" s="170"/>
      <c r="B31" s="170"/>
      <c r="C31" s="170"/>
      <c r="D31" s="170"/>
      <c r="G31" s="544" t="str">
        <f>IF(И.О.ЗАВ.ОТД.=1,"И.о. зав.отд.", "Зав.отд.")</f>
        <v>Зав.отд.</v>
      </c>
      <c r="H31" s="837" t="str">
        <f>Зав.отд.</f>
        <v>Еременко С. Н.</v>
      </c>
      <c r="I31" s="837"/>
    </row>
    <row r="32" spans="1:12" x14ac:dyDescent="0.25">
      <c r="A32" s="170"/>
      <c r="B32" s="170"/>
      <c r="C32" s="170"/>
      <c r="D32" s="170"/>
      <c r="H32" s="170"/>
      <c r="I32" s="170"/>
    </row>
    <row r="33" spans="1:15" x14ac:dyDescent="0.25">
      <c r="A33" s="713">
        <f ca="1">TODAY()</f>
        <v>42601</v>
      </c>
      <c r="B33" s="654" t="s">
        <v>2684</v>
      </c>
      <c r="C33" s="835" t="s">
        <v>2686</v>
      </c>
      <c r="D33" s="836"/>
      <c r="E33" s="836"/>
      <c r="F33" s="836"/>
      <c r="G33" s="836"/>
    </row>
    <row r="34" spans="1:15" x14ac:dyDescent="0.25">
      <c r="B34" s="711"/>
      <c r="C34" s="835" t="s">
        <v>2650</v>
      </c>
      <c r="D34" s="836"/>
      <c r="E34" s="836"/>
      <c r="F34" s="836"/>
      <c r="G34" s="836"/>
      <c r="H34" s="712"/>
      <c r="I34" s="712"/>
    </row>
    <row r="35" spans="1:15" ht="15" customHeight="1" x14ac:dyDescent="0.25">
      <c r="A35" s="7"/>
      <c r="B35" s="712"/>
      <c r="C35" s="835"/>
      <c r="D35" s="836"/>
      <c r="E35" s="836"/>
      <c r="F35" s="836"/>
      <c r="G35" s="836"/>
      <c r="H35" s="836"/>
      <c r="I35" s="836"/>
    </row>
    <row r="36" spans="1:15" x14ac:dyDescent="0.25">
      <c r="A36" s="165"/>
      <c r="B36" s="60"/>
      <c r="C36" s="835"/>
      <c r="D36" s="836"/>
      <c r="E36" s="836"/>
      <c r="F36" s="836"/>
      <c r="G36" s="836"/>
      <c r="H36" s="60"/>
      <c r="I36" s="60"/>
    </row>
    <row r="37" spans="1:15" x14ac:dyDescent="0.25">
      <c r="A37" s="7"/>
      <c r="B37" s="6"/>
      <c r="C37" s="835"/>
      <c r="D37" s="836"/>
      <c r="E37" s="836"/>
      <c r="F37" s="836"/>
      <c r="G37" s="836"/>
      <c r="H37" s="61"/>
    </row>
    <row r="38" spans="1:15" x14ac:dyDescent="0.25">
      <c r="A38" s="713"/>
      <c r="B38" s="60"/>
      <c r="C38" s="6"/>
      <c r="D38" s="6"/>
      <c r="E38" s="6"/>
      <c r="F38" s="6"/>
      <c r="G38" s="61"/>
      <c r="H38" s="60"/>
      <c r="I38" s="60"/>
    </row>
    <row r="39" spans="1:15" x14ac:dyDescent="0.25">
      <c r="C39" s="60"/>
      <c r="D39" s="60"/>
      <c r="E39" s="60"/>
      <c r="F39" s="60"/>
      <c r="G39" s="60"/>
    </row>
    <row r="43" spans="1:15" x14ac:dyDescent="0.25">
      <c r="G43" s="125" t="s">
        <v>2763</v>
      </c>
    </row>
    <row r="44" spans="1:15" x14ac:dyDescent="0.25">
      <c r="M44" s="654">
        <f ca="1">TODAY()+10</f>
        <v>42611</v>
      </c>
      <c r="O44" s="125" t="s">
        <v>338</v>
      </c>
    </row>
    <row r="45" spans="1:15" x14ac:dyDescent="0.25">
      <c r="M45" s="654">
        <f ca="1">TODAY()+9</f>
        <v>42610</v>
      </c>
      <c r="O45" s="125" t="s">
        <v>2349</v>
      </c>
    </row>
    <row r="46" spans="1:15" x14ac:dyDescent="0.25">
      <c r="M46" s="654">
        <f ca="1">TODAY()+8</f>
        <v>42609</v>
      </c>
      <c r="O46" s="125" t="s">
        <v>2350</v>
      </c>
    </row>
    <row r="47" spans="1:15" x14ac:dyDescent="0.25">
      <c r="M47" s="654">
        <f ca="1">TODAY()+8</f>
        <v>42609</v>
      </c>
      <c r="O47" s="125" t="s">
        <v>2353</v>
      </c>
    </row>
    <row r="48" spans="1:15" x14ac:dyDescent="0.25">
      <c r="M48" s="654">
        <f ca="1">TODAY()+7</f>
        <v>42608</v>
      </c>
      <c r="O48" s="125" t="s">
        <v>2354</v>
      </c>
    </row>
    <row r="49" spans="13:15" x14ac:dyDescent="0.25">
      <c r="M49" s="654">
        <f ca="1">TODAY()+6</f>
        <v>42607</v>
      </c>
      <c r="O49" s="125" t="s">
        <v>2355</v>
      </c>
    </row>
    <row r="50" spans="13:15" x14ac:dyDescent="0.25">
      <c r="M50" s="654">
        <f ca="1">TODAY()+5</f>
        <v>42606</v>
      </c>
    </row>
    <row r="51" spans="13:15" x14ac:dyDescent="0.25">
      <c r="M51" s="654">
        <f ca="1">TODAY()+4</f>
        <v>42605</v>
      </c>
    </row>
    <row r="52" spans="13:15" x14ac:dyDescent="0.25">
      <c r="M52" s="654">
        <f ca="1">TODAY()+3</f>
        <v>42604</v>
      </c>
    </row>
    <row r="53" spans="13:15" x14ac:dyDescent="0.25">
      <c r="M53" s="654">
        <f ca="1">TODAY()+2</f>
        <v>42603</v>
      </c>
    </row>
    <row r="54" spans="13:15" x14ac:dyDescent="0.25">
      <c r="M54" s="654">
        <f ca="1">TODAY()+1</f>
        <v>42602</v>
      </c>
    </row>
    <row r="55" spans="13:15" x14ac:dyDescent="0.25">
      <c r="M55" s="654">
        <f ca="1">TODAY()</f>
        <v>42601</v>
      </c>
    </row>
    <row r="56" spans="13:15" x14ac:dyDescent="0.25">
      <c r="M56" s="654">
        <f ca="1">TODAY()-1</f>
        <v>42600</v>
      </c>
    </row>
    <row r="57" spans="13:15" x14ac:dyDescent="0.25">
      <c r="M57" s="654">
        <f ca="1">TODAY()-2</f>
        <v>42599</v>
      </c>
    </row>
    <row r="58" spans="13:15" x14ac:dyDescent="0.25">
      <c r="M58" s="654">
        <f ca="1">TODAY()-3</f>
        <v>42598</v>
      </c>
    </row>
    <row r="59" spans="13:15" x14ac:dyDescent="0.25">
      <c r="M59" s="654">
        <f ca="1">TODAY()-4</f>
        <v>42597</v>
      </c>
    </row>
    <row r="60" spans="13:15" x14ac:dyDescent="0.25">
      <c r="M60" s="654">
        <f ca="1">TODAY()-5</f>
        <v>42596</v>
      </c>
    </row>
    <row r="61" spans="13:15" x14ac:dyDescent="0.25">
      <c r="M61" s="654">
        <f ca="1">TODAY()-6</f>
        <v>42595</v>
      </c>
    </row>
    <row r="62" spans="13:15" x14ac:dyDescent="0.25">
      <c r="M62" s="654">
        <f ca="1">TODAY()-7</f>
        <v>42594</v>
      </c>
    </row>
    <row r="63" spans="13:15" x14ac:dyDescent="0.25">
      <c r="M63" s="654">
        <f ca="1">TODAY()-8</f>
        <v>42593</v>
      </c>
    </row>
    <row r="64" spans="13:15" x14ac:dyDescent="0.25">
      <c r="M64" s="654">
        <f ca="1">TODAY()-9</f>
        <v>42592</v>
      </c>
    </row>
    <row r="65" spans="13:13" x14ac:dyDescent="0.25">
      <c r="M65" s="654">
        <f ca="1">TODAY()-10</f>
        <v>42591</v>
      </c>
    </row>
    <row r="66" spans="13:13" x14ac:dyDescent="0.25">
      <c r="M66" s="654">
        <f ca="1">TODAY()-11</f>
        <v>42590</v>
      </c>
    </row>
    <row r="67" spans="13:13" x14ac:dyDescent="0.25">
      <c r="M67" s="654">
        <f ca="1">TODAY()-12</f>
        <v>42589</v>
      </c>
    </row>
    <row r="68" spans="13:13" x14ac:dyDescent="0.25">
      <c r="M68" s="654">
        <f ca="1">TODAY()-13</f>
        <v>42588</v>
      </c>
    </row>
    <row r="69" spans="13:13" x14ac:dyDescent="0.25">
      <c r="M69" s="654">
        <f ca="1">TODAY()-14</f>
        <v>42587</v>
      </c>
    </row>
  </sheetData>
  <sheetProtection formatCells="0" formatRows="0" autoFilter="0"/>
  <autoFilter ref="C12:I31">
    <filterColumn colId="0" showButton="0">
      <filters blank="1">
        <filter val="Динамическое наблюдение, дальнейшая тактика будет определена после дообследования."/>
        <filter val="Оперативное лечение в объеме: расширенной ТУР простаты"/>
      </filters>
    </filterColumn>
    <filterColumn colId="1" showButton="0"/>
    <filterColumn colId="2" showButton="0"/>
    <filterColumn colId="3" showButton="0"/>
    <filterColumn colId="4" showButton="0"/>
    <filterColumn colId="5" showButton="0"/>
  </autoFilter>
  <mergeCells count="33">
    <mergeCell ref="C36:G36"/>
    <mergeCell ref="C37:G37"/>
    <mergeCell ref="C14:I14"/>
    <mergeCell ref="C12:I12"/>
    <mergeCell ref="C13:I13"/>
    <mergeCell ref="C18:I18"/>
    <mergeCell ref="C19:I19"/>
    <mergeCell ref="C20:I20"/>
    <mergeCell ref="C21:I21"/>
    <mergeCell ref="C22:I22"/>
    <mergeCell ref="C23:I23"/>
    <mergeCell ref="C24:I24"/>
    <mergeCell ref="C26:I26"/>
    <mergeCell ref="C27:I27"/>
    <mergeCell ref="C28:I28"/>
    <mergeCell ref="C35:G35"/>
    <mergeCell ref="A11:I11"/>
    <mergeCell ref="A1:B1"/>
    <mergeCell ref="C15:I15"/>
    <mergeCell ref="C16:I16"/>
    <mergeCell ref="C17:I17"/>
    <mergeCell ref="C1:H1"/>
    <mergeCell ref="C3:I3"/>
    <mergeCell ref="A5:I5"/>
    <mergeCell ref="A6:I6"/>
    <mergeCell ref="A9:I9"/>
    <mergeCell ref="C25:I25"/>
    <mergeCell ref="C34:G34"/>
    <mergeCell ref="H35:I35"/>
    <mergeCell ref="C33:G33"/>
    <mergeCell ref="C29:I29"/>
    <mergeCell ref="H30:I30"/>
    <mergeCell ref="H31:I31"/>
  </mergeCells>
  <dataValidations count="1">
    <dataValidation type="list" allowBlank="1" showInputMessage="1" showErrorMessage="1" sqref="C33:C37">
      <formula1>INDIRECT("Таблица415[Столбец1]")</formula1>
    </dataValidation>
  </dataValidations>
  <pageMargins left="0.84239130434782605" right="0.56159420289855078" top="0.45833333333333331" bottom="0.74803149606299213" header="0.31496062992125984" footer="0.31496062992125984"/>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6" filterMode="1">
    <tabColor theme="5" tint="0.39997558519241921"/>
  </sheetPr>
  <dimension ref="A1:R95"/>
  <sheetViews>
    <sheetView view="pageBreakPreview" topLeftCell="A62" zoomScale="118" zoomScaleNormal="100" zoomScaleSheetLayoutView="118" zoomScalePageLayoutView="71" workbookViewId="0">
      <selection activeCell="C66" sqref="C66"/>
    </sheetView>
  </sheetViews>
  <sheetFormatPr defaultRowHeight="15" x14ac:dyDescent="0.25"/>
  <cols>
    <col min="1" max="1" width="6.85546875" style="5" customWidth="1"/>
    <col min="2" max="3" width="9.140625" style="5"/>
    <col min="4" max="4" width="14.85546875" style="5" customWidth="1"/>
    <col min="5" max="5" width="5.7109375" style="5" customWidth="1"/>
    <col min="6" max="6" width="3.7109375" style="5" customWidth="1"/>
    <col min="7" max="10" width="3.85546875" style="5" customWidth="1"/>
    <col min="11" max="14" width="3.7109375" style="5" customWidth="1"/>
    <col min="15" max="15" width="3.5703125" style="5" customWidth="1"/>
    <col min="16" max="16" width="3.42578125" style="5" customWidth="1"/>
    <col min="17" max="17" width="0.140625" style="5" customWidth="1"/>
    <col min="18" max="18" width="0.42578125" style="5" customWidth="1"/>
    <col min="19" max="16384" width="9.140625" style="5"/>
  </cols>
  <sheetData>
    <row r="1" spans="1:18" x14ac:dyDescent="0.25">
      <c r="A1" s="5" t="s">
        <v>2739</v>
      </c>
      <c r="C1" s="5">
        <f>Данные!C5</f>
        <v>5903</v>
      </c>
    </row>
    <row r="2" spans="1:18" x14ac:dyDescent="0.25">
      <c r="A2" s="5" t="s">
        <v>33</v>
      </c>
      <c r="C2" s="5" t="str">
        <f>ФИО</f>
        <v>Иванова Е.П.</v>
      </c>
    </row>
    <row r="3" spans="1:18" x14ac:dyDescent="0.25">
      <c r="A3" s="5" t="s">
        <v>2085</v>
      </c>
      <c r="C3" s="836" t="str">
        <f>Данные!C22</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c r="D3" s="836"/>
      <c r="E3" s="836"/>
      <c r="F3" s="836"/>
      <c r="G3" s="836"/>
      <c r="H3" s="836"/>
    </row>
    <row r="4" spans="1:18" ht="44.25" customHeight="1" x14ac:dyDescent="0.25">
      <c r="A4" s="850" t="s">
        <v>2740</v>
      </c>
      <c r="B4" s="850"/>
      <c r="C4" s="850"/>
      <c r="D4" s="850"/>
      <c r="E4" s="761" t="s">
        <v>2743</v>
      </c>
      <c r="F4" s="857" t="s">
        <v>2744</v>
      </c>
      <c r="G4" s="848"/>
      <c r="H4" s="848"/>
      <c r="I4" s="848"/>
      <c r="J4" s="848"/>
      <c r="K4" s="848"/>
      <c r="L4" s="848"/>
      <c r="M4" s="848"/>
      <c r="N4" s="848"/>
      <c r="O4" s="848"/>
      <c r="P4" s="848"/>
    </row>
    <row r="5" spans="1:18" ht="15.75" customHeight="1" x14ac:dyDescent="0.25">
      <c r="A5" s="764"/>
      <c r="B5" s="850"/>
      <c r="C5" s="850"/>
      <c r="D5" s="850"/>
      <c r="E5" s="761"/>
      <c r="F5" s="769">
        <v>42586</v>
      </c>
      <c r="G5" s="769">
        <v>42587</v>
      </c>
      <c r="H5" s="769">
        <v>42588</v>
      </c>
      <c r="I5" s="769">
        <v>42589</v>
      </c>
      <c r="J5" s="769">
        <v>42590</v>
      </c>
      <c r="K5" s="769">
        <v>42591</v>
      </c>
      <c r="L5" s="769">
        <v>42592</v>
      </c>
      <c r="M5" s="769">
        <v>42593</v>
      </c>
      <c r="N5" s="769">
        <v>42594</v>
      </c>
      <c r="O5" s="769">
        <v>42595</v>
      </c>
      <c r="P5" s="769">
        <v>42596</v>
      </c>
    </row>
    <row r="6" spans="1:18" ht="27" customHeight="1" x14ac:dyDescent="0.25">
      <c r="A6" s="767" t="s">
        <v>2749</v>
      </c>
      <c r="B6" s="856" t="s">
        <v>2742</v>
      </c>
      <c r="C6" s="856"/>
      <c r="D6" s="856"/>
      <c r="E6" s="770" t="s">
        <v>2746</v>
      </c>
      <c r="F6" s="760" t="s">
        <v>2564</v>
      </c>
      <c r="G6" s="760" t="s">
        <v>2564</v>
      </c>
      <c r="H6" s="760" t="s">
        <v>2564</v>
      </c>
      <c r="I6" s="760" t="s">
        <v>2564</v>
      </c>
      <c r="J6" s="760" t="s">
        <v>2564</v>
      </c>
      <c r="K6" s="760" t="s">
        <v>2564</v>
      </c>
      <c r="L6" s="760" t="s">
        <v>2564</v>
      </c>
      <c r="M6" s="760" t="s">
        <v>2564</v>
      </c>
      <c r="N6" s="760" t="s">
        <v>2564</v>
      </c>
      <c r="O6" s="760" t="s">
        <v>2564</v>
      </c>
      <c r="P6" s="760" t="s">
        <v>2564</v>
      </c>
    </row>
    <row r="7" spans="1:18" ht="24" customHeight="1" x14ac:dyDescent="0.25">
      <c r="A7" s="765" t="s">
        <v>298</v>
      </c>
      <c r="B7" s="856" t="s">
        <v>299</v>
      </c>
      <c r="C7" s="856"/>
      <c r="D7" s="856"/>
      <c r="E7" s="761" t="s">
        <v>2746</v>
      </c>
      <c r="F7" s="760" t="s">
        <v>2564</v>
      </c>
      <c r="G7" s="760" t="s">
        <v>2564</v>
      </c>
      <c r="H7" s="760" t="s">
        <v>2564</v>
      </c>
      <c r="I7" s="760" t="s">
        <v>2564</v>
      </c>
      <c r="J7" s="760" t="s">
        <v>2564</v>
      </c>
      <c r="K7" s="760" t="s">
        <v>2564</v>
      </c>
      <c r="L7" s="760" t="s">
        <v>2564</v>
      </c>
      <c r="M7" s="760" t="s">
        <v>2564</v>
      </c>
      <c r="N7" s="760" t="s">
        <v>2564</v>
      </c>
      <c r="O7" s="760" t="s">
        <v>2564</v>
      </c>
      <c r="P7" s="760" t="s">
        <v>2564</v>
      </c>
      <c r="R7" s="768"/>
    </row>
    <row r="8" spans="1:18" ht="28.5" customHeight="1" x14ac:dyDescent="0.25">
      <c r="B8" s="851"/>
      <c r="C8" s="851"/>
      <c r="D8" s="851"/>
      <c r="E8" s="761" t="s">
        <v>2746</v>
      </c>
      <c r="F8" s="760"/>
      <c r="G8" s="762"/>
      <c r="H8" s="762"/>
      <c r="I8" s="762"/>
      <c r="J8" s="762"/>
      <c r="K8" s="762"/>
      <c r="L8" s="762"/>
      <c r="M8" s="762"/>
    </row>
    <row r="9" spans="1:18" ht="26.25" hidden="1" customHeight="1" x14ac:dyDescent="0.25">
      <c r="B9" s="851" t="s">
        <v>2538</v>
      </c>
      <c r="C9" s="851"/>
      <c r="D9" s="851"/>
      <c r="E9" s="761" t="s">
        <v>2746</v>
      </c>
      <c r="F9" s="760"/>
      <c r="G9" s="763"/>
    </row>
    <row r="10" spans="1:18" ht="30" hidden="1" customHeight="1" x14ac:dyDescent="0.25">
      <c r="B10" s="851" t="s">
        <v>2539</v>
      </c>
      <c r="C10" s="851"/>
      <c r="D10" s="851"/>
      <c r="E10" s="761" t="s">
        <v>2746</v>
      </c>
      <c r="F10" s="760"/>
      <c r="G10" s="763"/>
    </row>
    <row r="11" spans="1:18" ht="27" customHeight="1" x14ac:dyDescent="0.25">
      <c r="B11" s="851" t="s">
        <v>2753</v>
      </c>
      <c r="C11" s="849"/>
      <c r="D11" s="849"/>
      <c r="E11" s="761" t="s">
        <v>2746</v>
      </c>
      <c r="F11" s="760" t="s">
        <v>2564</v>
      </c>
      <c r="G11" s="781"/>
    </row>
    <row r="12" spans="1:18" ht="28.5" hidden="1" customHeight="1" x14ac:dyDescent="0.25">
      <c r="B12" s="855" t="s">
        <v>2535</v>
      </c>
      <c r="C12" s="855"/>
      <c r="D12" s="855"/>
      <c r="E12" s="761" t="s">
        <v>2746</v>
      </c>
      <c r="F12" s="760"/>
      <c r="G12" s="776"/>
      <c r="H12" s="776" t="s">
        <v>2564</v>
      </c>
    </row>
    <row r="13" spans="1:18" ht="28.5" hidden="1" customHeight="1" x14ac:dyDescent="0.25">
      <c r="B13" s="851" t="s">
        <v>2536</v>
      </c>
      <c r="C13" s="851"/>
      <c r="D13" s="851"/>
      <c r="E13" s="761" t="s">
        <v>2746</v>
      </c>
      <c r="F13" s="760"/>
      <c r="G13" s="763"/>
    </row>
    <row r="14" spans="1:18" ht="30" hidden="1" customHeight="1" x14ac:dyDescent="0.25">
      <c r="B14" s="855" t="s">
        <v>2540</v>
      </c>
      <c r="C14" s="855"/>
      <c r="D14" s="855"/>
      <c r="E14" s="761" t="s">
        <v>2746</v>
      </c>
      <c r="F14" s="760"/>
      <c r="G14" s="763"/>
    </row>
    <row r="15" spans="1:18" ht="27" customHeight="1" x14ac:dyDescent="0.25">
      <c r="B15" s="851" t="s">
        <v>2675</v>
      </c>
      <c r="C15" s="851"/>
      <c r="D15" s="851"/>
      <c r="E15" s="761" t="s">
        <v>2746</v>
      </c>
      <c r="F15" s="760"/>
      <c r="G15" s="782" t="s">
        <v>2564</v>
      </c>
      <c r="H15" s="782" t="s">
        <v>2564</v>
      </c>
    </row>
    <row r="16" spans="1:18" ht="28.5" customHeight="1" x14ac:dyDescent="0.25">
      <c r="B16" s="851" t="s">
        <v>2541</v>
      </c>
      <c r="C16" s="851"/>
      <c r="D16" s="851"/>
      <c r="E16" s="761" t="s">
        <v>2746</v>
      </c>
      <c r="F16" s="760"/>
      <c r="G16" s="760" t="s">
        <v>2564</v>
      </c>
      <c r="H16" s="760" t="s">
        <v>2564</v>
      </c>
    </row>
    <row r="17" spans="2:16" ht="31.5" hidden="1" customHeight="1" x14ac:dyDescent="0.25">
      <c r="B17" s="855" t="s">
        <v>2542</v>
      </c>
      <c r="C17" s="855"/>
      <c r="D17" s="855"/>
      <c r="E17" s="761" t="s">
        <v>2746</v>
      </c>
      <c r="F17" s="760"/>
      <c r="G17" s="763"/>
    </row>
    <row r="18" spans="2:16" ht="24.75" hidden="1" customHeight="1" x14ac:dyDescent="0.25">
      <c r="B18" s="851" t="s">
        <v>2553</v>
      </c>
      <c r="C18" s="851"/>
      <c r="D18" s="851"/>
      <c r="E18" s="761" t="s">
        <v>2746</v>
      </c>
      <c r="F18" s="760"/>
      <c r="G18" s="763"/>
    </row>
    <row r="19" spans="2:16" ht="24.75" hidden="1" customHeight="1" x14ac:dyDescent="0.25">
      <c r="B19" s="851" t="s">
        <v>2543</v>
      </c>
      <c r="C19" s="851"/>
      <c r="D19" s="851"/>
      <c r="E19" s="761" t="s">
        <v>2746</v>
      </c>
      <c r="F19" s="760"/>
      <c r="G19" s="763"/>
    </row>
    <row r="20" spans="2:16" ht="23.25" hidden="1" customHeight="1" x14ac:dyDescent="0.25">
      <c r="B20" s="855" t="s">
        <v>2544</v>
      </c>
      <c r="C20" s="855"/>
      <c r="D20" s="855"/>
      <c r="E20" s="761" t="s">
        <v>2746</v>
      </c>
      <c r="F20" s="760"/>
      <c r="G20" s="763"/>
    </row>
    <row r="21" spans="2:16" ht="24.75" customHeight="1" x14ac:dyDescent="0.25">
      <c r="B21" s="851" t="s">
        <v>2701</v>
      </c>
      <c r="C21" s="851"/>
      <c r="D21" s="851"/>
      <c r="E21" s="761" t="s">
        <v>2746</v>
      </c>
      <c r="F21" s="760"/>
      <c r="G21" s="776" t="s">
        <v>2564</v>
      </c>
      <c r="H21" s="776" t="s">
        <v>2564</v>
      </c>
    </row>
    <row r="22" spans="2:16" ht="26.25" hidden="1" customHeight="1" x14ac:dyDescent="0.25">
      <c r="B22" s="851" t="s">
        <v>2545</v>
      </c>
      <c r="C22" s="851"/>
      <c r="D22" s="851"/>
      <c r="E22" s="761" t="s">
        <v>2746</v>
      </c>
      <c r="F22" s="760" t="s">
        <v>2564</v>
      </c>
      <c r="G22" s="760" t="s">
        <v>2564</v>
      </c>
      <c r="H22" s="760" t="s">
        <v>2564</v>
      </c>
    </row>
    <row r="23" spans="2:16" ht="29.25" hidden="1" customHeight="1" x14ac:dyDescent="0.25">
      <c r="B23" s="851" t="s">
        <v>2546</v>
      </c>
      <c r="C23" s="851"/>
      <c r="D23" s="851"/>
      <c r="E23" s="761" t="s">
        <v>2746</v>
      </c>
      <c r="F23" s="760"/>
      <c r="G23" s="763"/>
    </row>
    <row r="24" spans="2:16" ht="29.25" hidden="1" customHeight="1" x14ac:dyDescent="0.25">
      <c r="B24" s="855" t="s">
        <v>2547</v>
      </c>
      <c r="C24" s="855"/>
      <c r="D24" s="855"/>
      <c r="E24" s="761" t="s">
        <v>2746</v>
      </c>
      <c r="F24" s="760"/>
      <c r="G24" s="763"/>
    </row>
    <row r="25" spans="2:16" ht="28.5" hidden="1" customHeight="1" x14ac:dyDescent="0.25">
      <c r="B25" s="855" t="s">
        <v>2548</v>
      </c>
      <c r="C25" s="855"/>
      <c r="D25" s="855"/>
      <c r="E25" s="761" t="s">
        <v>2746</v>
      </c>
      <c r="F25" s="760"/>
      <c r="G25" s="763"/>
    </row>
    <row r="26" spans="2:16" ht="37.5" hidden="1" customHeight="1" x14ac:dyDescent="0.25">
      <c r="B26" s="855" t="s">
        <v>2549</v>
      </c>
      <c r="C26" s="855"/>
      <c r="D26" s="855"/>
      <c r="E26" s="761" t="s">
        <v>2746</v>
      </c>
      <c r="F26" s="760"/>
      <c r="G26" s="763"/>
    </row>
    <row r="27" spans="2:16" ht="28.5" hidden="1" customHeight="1" x14ac:dyDescent="0.25">
      <c r="B27" s="855" t="s">
        <v>2550</v>
      </c>
      <c r="C27" s="855"/>
      <c r="D27" s="855"/>
      <c r="E27" s="761" t="s">
        <v>2746</v>
      </c>
      <c r="F27" s="760"/>
      <c r="G27" s="763"/>
    </row>
    <row r="28" spans="2:16" ht="30" hidden="1" customHeight="1" x14ac:dyDescent="0.25">
      <c r="B28" s="855" t="s">
        <v>2551</v>
      </c>
      <c r="C28" s="855"/>
      <c r="D28" s="855"/>
      <c r="E28" s="761" t="s">
        <v>2746</v>
      </c>
      <c r="F28" s="760"/>
      <c r="G28" s="763"/>
    </row>
    <row r="29" spans="2:16" ht="31.5" hidden="1" customHeight="1" x14ac:dyDescent="0.25">
      <c r="B29" s="855" t="s">
        <v>2552</v>
      </c>
      <c r="C29" s="855"/>
      <c r="D29" s="855"/>
      <c r="E29" s="761" t="s">
        <v>2746</v>
      </c>
      <c r="F29" s="760"/>
      <c r="G29" s="763"/>
    </row>
    <row r="30" spans="2:16" ht="30" hidden="1" x14ac:dyDescent="0.25">
      <c r="B30" s="851" t="s">
        <v>2680</v>
      </c>
      <c r="C30" s="851"/>
      <c r="D30" s="851"/>
      <c r="E30" s="761" t="s">
        <v>2746</v>
      </c>
      <c r="F30" s="760"/>
      <c r="G30" s="763"/>
    </row>
    <row r="31" spans="2:16" ht="30" hidden="1" x14ac:dyDescent="0.25">
      <c r="B31" s="851" t="s">
        <v>2681</v>
      </c>
      <c r="C31" s="851"/>
      <c r="D31" s="851"/>
      <c r="E31" s="761" t="s">
        <v>2746</v>
      </c>
      <c r="F31" s="760"/>
      <c r="G31" s="763"/>
    </row>
    <row r="32" spans="2:16" ht="30" x14ac:dyDescent="0.25">
      <c r="B32" s="851"/>
      <c r="C32" s="851"/>
      <c r="D32" s="851"/>
      <c r="E32" s="761" t="s">
        <v>2746</v>
      </c>
      <c r="F32" s="760"/>
      <c r="G32" s="760"/>
      <c r="H32" s="760"/>
      <c r="I32" s="760"/>
      <c r="J32" s="760"/>
      <c r="K32" s="760"/>
      <c r="L32" s="760"/>
      <c r="M32" s="760"/>
      <c r="N32" s="760"/>
      <c r="O32" s="760"/>
      <c r="P32" s="760"/>
    </row>
    <row r="33" spans="1:16" ht="30" x14ac:dyDescent="0.25">
      <c r="B33" s="851"/>
      <c r="C33" s="851"/>
      <c r="D33" s="851"/>
      <c r="E33" s="761" t="s">
        <v>2746</v>
      </c>
      <c r="F33" s="760"/>
      <c r="G33" s="760"/>
      <c r="H33" s="760"/>
      <c r="I33" s="760"/>
      <c r="J33" s="760"/>
      <c r="K33" s="760"/>
      <c r="L33" s="760"/>
      <c r="M33" s="760"/>
      <c r="N33" s="760"/>
      <c r="O33" s="760"/>
      <c r="P33" s="760"/>
    </row>
    <row r="34" spans="1:16" ht="30" x14ac:dyDescent="0.25">
      <c r="B34" s="851"/>
      <c r="C34" s="851"/>
      <c r="D34" s="851"/>
      <c r="E34" s="761" t="s">
        <v>2746</v>
      </c>
      <c r="F34" s="760"/>
      <c r="G34" s="760"/>
      <c r="H34" s="760"/>
      <c r="I34" s="760"/>
      <c r="J34" s="760"/>
      <c r="K34" s="760"/>
      <c r="L34" s="760"/>
      <c r="M34" s="760"/>
      <c r="N34" s="760"/>
      <c r="O34" s="760"/>
      <c r="P34" s="760"/>
    </row>
    <row r="35" spans="1:16" ht="30" x14ac:dyDescent="0.25">
      <c r="B35" s="851"/>
      <c r="C35" s="851"/>
      <c r="D35" s="851"/>
      <c r="E35" s="761" t="s">
        <v>2746</v>
      </c>
      <c r="F35" s="760"/>
      <c r="G35" s="760"/>
      <c r="H35" s="760"/>
      <c r="I35" s="760"/>
      <c r="J35" s="760"/>
      <c r="K35" s="760"/>
      <c r="L35" s="760"/>
      <c r="M35" s="760"/>
      <c r="N35" s="760"/>
      <c r="O35" s="760"/>
      <c r="P35" s="760"/>
    </row>
    <row r="36" spans="1:16" ht="30" x14ac:dyDescent="0.25">
      <c r="B36" s="851"/>
      <c r="C36" s="851"/>
      <c r="D36" s="851"/>
      <c r="E36" s="761" t="s">
        <v>2746</v>
      </c>
      <c r="F36" s="760"/>
      <c r="G36" s="760"/>
      <c r="H36" s="760"/>
      <c r="I36" s="760"/>
      <c r="J36" s="760"/>
      <c r="K36" s="760"/>
      <c r="L36" s="760"/>
      <c r="M36" s="760"/>
      <c r="N36" s="760"/>
      <c r="O36" s="760"/>
      <c r="P36" s="760"/>
    </row>
    <row r="37" spans="1:16" ht="30" x14ac:dyDescent="0.25">
      <c r="B37" s="851"/>
      <c r="C37" s="851"/>
      <c r="D37" s="851"/>
      <c r="E37" s="761" t="s">
        <v>2746</v>
      </c>
      <c r="F37" s="760"/>
      <c r="G37" s="760"/>
      <c r="H37" s="760"/>
      <c r="I37" s="760"/>
      <c r="J37" s="760"/>
      <c r="K37" s="760"/>
      <c r="L37" s="760"/>
      <c r="M37" s="760"/>
      <c r="N37" s="760"/>
      <c r="O37" s="760"/>
      <c r="P37" s="760"/>
    </row>
    <row r="38" spans="1:16" ht="30" x14ac:dyDescent="0.25">
      <c r="B38" s="851"/>
      <c r="C38" s="851"/>
      <c r="D38" s="851"/>
      <c r="E38" s="761" t="s">
        <v>2746</v>
      </c>
      <c r="F38" s="760"/>
      <c r="G38" s="760"/>
      <c r="H38" s="760"/>
      <c r="I38" s="760"/>
      <c r="J38" s="760"/>
      <c r="K38" s="760"/>
      <c r="L38" s="760"/>
      <c r="M38" s="760"/>
      <c r="N38" s="760"/>
      <c r="O38" s="760"/>
      <c r="P38" s="760"/>
    </row>
    <row r="39" spans="1:16" ht="30" x14ac:dyDescent="0.25">
      <c r="B39" s="851"/>
      <c r="C39" s="851"/>
      <c r="D39" s="851"/>
      <c r="E39" s="761" t="s">
        <v>2746</v>
      </c>
      <c r="F39" s="760"/>
      <c r="G39" s="760"/>
      <c r="H39" s="760"/>
      <c r="I39" s="760"/>
      <c r="J39" s="760"/>
      <c r="K39" s="760"/>
      <c r="L39" s="760"/>
      <c r="M39" s="760"/>
      <c r="N39" s="760"/>
      <c r="O39" s="760"/>
      <c r="P39" s="760"/>
    </row>
    <row r="40" spans="1:16" ht="30" x14ac:dyDescent="0.25">
      <c r="B40" s="851"/>
      <c r="C40" s="851"/>
      <c r="D40" s="851"/>
      <c r="E40" s="761" t="s">
        <v>2746</v>
      </c>
      <c r="F40" s="760"/>
      <c r="G40" s="760"/>
      <c r="H40" s="760"/>
      <c r="I40" s="760"/>
      <c r="J40" s="760"/>
      <c r="K40" s="760"/>
      <c r="L40" s="760"/>
      <c r="M40" s="760"/>
      <c r="N40" s="760"/>
      <c r="O40" s="760"/>
      <c r="P40" s="760"/>
    </row>
    <row r="41" spans="1:16" ht="30" x14ac:dyDescent="0.25">
      <c r="B41" s="851"/>
      <c r="C41" s="851"/>
      <c r="D41" s="851"/>
      <c r="E41" s="761" t="s">
        <v>2746</v>
      </c>
      <c r="F41" s="760"/>
      <c r="G41" s="760"/>
      <c r="H41" s="760"/>
      <c r="I41" s="760"/>
      <c r="J41" s="760"/>
      <c r="K41" s="760"/>
      <c r="L41" s="760"/>
      <c r="M41" s="760"/>
      <c r="N41" s="760"/>
      <c r="O41" s="760"/>
      <c r="P41" s="760"/>
    </row>
    <row r="42" spans="1:16" ht="30" x14ac:dyDescent="0.25">
      <c r="B42" s="851"/>
      <c r="C42" s="851"/>
      <c r="D42" s="851"/>
      <c r="E42" s="761" t="s">
        <v>2746</v>
      </c>
      <c r="F42" s="760"/>
      <c r="G42" s="760"/>
      <c r="H42" s="760"/>
      <c r="I42" s="760"/>
      <c r="J42" s="760"/>
      <c r="K42" s="760"/>
      <c r="L42" s="760"/>
      <c r="M42" s="760"/>
      <c r="N42" s="760"/>
      <c r="O42" s="760"/>
      <c r="P42" s="760"/>
    </row>
    <row r="43" spans="1:16" ht="30" x14ac:dyDescent="0.25">
      <c r="B43" s="851"/>
      <c r="C43" s="851"/>
      <c r="D43" s="851"/>
      <c r="E43" s="761" t="s">
        <v>2746</v>
      </c>
      <c r="F43" s="760"/>
      <c r="G43" s="760"/>
      <c r="H43" s="760"/>
      <c r="I43" s="760"/>
      <c r="J43" s="760"/>
      <c r="K43" s="760"/>
      <c r="L43" s="760"/>
      <c r="M43" s="760"/>
      <c r="N43" s="760"/>
      <c r="O43" s="760"/>
      <c r="P43" s="760"/>
    </row>
    <row r="44" spans="1:16" x14ac:dyDescent="0.25">
      <c r="A44" s="5" t="s">
        <v>2517</v>
      </c>
      <c r="D44" s="853" t="s">
        <v>2747</v>
      </c>
      <c r="E44" s="853"/>
      <c r="F44" s="5" t="s">
        <v>2745</v>
      </c>
    </row>
    <row r="45" spans="1:16" x14ac:dyDescent="0.25">
      <c r="B45" s="759"/>
      <c r="C45" s="759"/>
      <c r="D45" s="759"/>
      <c r="F45" s="759"/>
      <c r="G45" s="759"/>
    </row>
    <row r="47" spans="1:16" x14ac:dyDescent="0.25">
      <c r="A47" s="852" t="s">
        <v>2072</v>
      </c>
      <c r="B47" s="853"/>
      <c r="C47" s="689">
        <f>F5</f>
        <v>42586</v>
      </c>
      <c r="D47" s="848"/>
      <c r="E47" s="848"/>
      <c r="F47" s="848"/>
      <c r="G47" s="848"/>
      <c r="H47" s="848"/>
      <c r="I47" s="848"/>
      <c r="J47" s="848"/>
      <c r="K47" s="848"/>
      <c r="L47" s="848"/>
      <c r="M47" s="848"/>
      <c r="N47" s="848"/>
      <c r="O47" s="848"/>
    </row>
    <row r="48" spans="1:16" ht="15.75" x14ac:dyDescent="0.25">
      <c r="A48" s="852" t="s">
        <v>2507</v>
      </c>
      <c r="B48" s="853"/>
      <c r="C48" s="702"/>
      <c r="D48" s="848"/>
      <c r="E48" s="848"/>
      <c r="F48" s="848"/>
      <c r="G48" s="848"/>
      <c r="H48" s="848"/>
      <c r="I48" s="848"/>
      <c r="J48" s="848"/>
      <c r="K48" s="848"/>
      <c r="L48" s="848"/>
      <c r="M48" s="848"/>
      <c r="N48" s="848"/>
      <c r="O48" s="848"/>
    </row>
    <row r="49" spans="1:15" ht="15.75" x14ac:dyDescent="0.25">
      <c r="A49" s="852" t="s">
        <v>2508</v>
      </c>
      <c r="B49" s="853"/>
      <c r="C49" s="702"/>
      <c r="D49" s="848"/>
      <c r="E49" s="848"/>
      <c r="F49" s="848"/>
      <c r="G49" s="848"/>
      <c r="H49" s="848"/>
      <c r="I49" s="848"/>
      <c r="J49" s="848"/>
      <c r="K49" s="848"/>
      <c r="L49" s="848"/>
      <c r="M49" s="848"/>
      <c r="N49" s="848"/>
      <c r="O49" s="848"/>
    </row>
    <row r="50" spans="1:15" ht="15.75" x14ac:dyDescent="0.25">
      <c r="A50" s="852" t="s">
        <v>2509</v>
      </c>
      <c r="B50" s="853"/>
      <c r="C50" s="702"/>
      <c r="D50" s="848"/>
      <c r="E50" s="848"/>
      <c r="F50" s="848"/>
      <c r="G50" s="848"/>
      <c r="H50" s="848"/>
      <c r="I50" s="848"/>
      <c r="J50" s="848"/>
      <c r="K50" s="848"/>
      <c r="L50" s="848"/>
      <c r="M50" s="848"/>
      <c r="N50" s="848"/>
      <c r="O50" s="848"/>
    </row>
    <row r="51" spans="1:15" ht="15.75" x14ac:dyDescent="0.25">
      <c r="A51" s="852" t="s">
        <v>2510</v>
      </c>
      <c r="B51" s="853"/>
      <c r="C51" s="702"/>
      <c r="D51" s="848"/>
      <c r="E51" s="848"/>
      <c r="F51" s="848"/>
      <c r="G51" s="848"/>
      <c r="H51" s="848"/>
      <c r="I51" s="848"/>
      <c r="J51" s="848"/>
      <c r="K51" s="848"/>
      <c r="L51" s="848"/>
      <c r="M51" s="848"/>
      <c r="N51" s="848"/>
      <c r="O51" s="848"/>
    </row>
    <row r="52" spans="1:15" ht="15.75" x14ac:dyDescent="0.25">
      <c r="A52" s="852" t="s">
        <v>2511</v>
      </c>
      <c r="B52" s="853"/>
      <c r="C52" s="702"/>
      <c r="D52" s="848"/>
      <c r="E52" s="848"/>
      <c r="F52" s="848"/>
      <c r="G52" s="848"/>
      <c r="H52" s="848"/>
      <c r="I52" s="848"/>
      <c r="J52" s="848"/>
      <c r="K52" s="848"/>
      <c r="L52" s="848"/>
      <c r="M52" s="848"/>
      <c r="N52" s="848"/>
      <c r="O52" s="848"/>
    </row>
    <row r="53" spans="1:15" ht="15.75" x14ac:dyDescent="0.25">
      <c r="A53" s="852" t="s">
        <v>2512</v>
      </c>
      <c r="B53" s="853"/>
      <c r="C53" s="702"/>
      <c r="D53" s="848"/>
      <c r="E53" s="848"/>
      <c r="F53" s="848"/>
      <c r="G53" s="848"/>
      <c r="H53" s="848"/>
      <c r="I53" s="848"/>
      <c r="J53" s="848"/>
      <c r="K53" s="848"/>
      <c r="L53" s="848"/>
      <c r="M53" s="848"/>
      <c r="N53" s="848"/>
      <c r="O53" s="848"/>
    </row>
    <row r="54" spans="1:15" ht="15.75" x14ac:dyDescent="0.25">
      <c r="A54" s="852" t="s">
        <v>2513</v>
      </c>
      <c r="B54" s="853"/>
      <c r="C54" s="702"/>
      <c r="D54" s="848"/>
      <c r="E54" s="848"/>
      <c r="F54" s="848"/>
      <c r="G54" s="848"/>
      <c r="H54" s="848"/>
      <c r="I54" s="848"/>
      <c r="J54" s="848"/>
      <c r="K54" s="848"/>
      <c r="L54" s="848"/>
      <c r="M54" s="848"/>
      <c r="N54" s="848"/>
      <c r="O54" s="848"/>
    </row>
    <row r="55" spans="1:15" ht="15.75" x14ac:dyDescent="0.25">
      <c r="A55" s="852" t="s">
        <v>2514</v>
      </c>
      <c r="B55" s="853"/>
      <c r="C55" s="702"/>
      <c r="D55" s="848"/>
      <c r="E55" s="848"/>
      <c r="F55" s="848"/>
      <c r="G55" s="848"/>
      <c r="H55" s="848"/>
      <c r="I55" s="848"/>
      <c r="J55" s="848"/>
      <c r="K55" s="848"/>
      <c r="L55" s="848"/>
      <c r="M55" s="848"/>
      <c r="N55" s="848"/>
      <c r="O55" s="848"/>
    </row>
    <row r="56" spans="1:15" ht="15.75" x14ac:dyDescent="0.25">
      <c r="A56" s="852" t="s">
        <v>2525</v>
      </c>
      <c r="B56" s="853"/>
      <c r="C56" s="702"/>
      <c r="D56" s="848"/>
      <c r="E56" s="848"/>
      <c r="F56" s="848"/>
      <c r="G56" s="848"/>
      <c r="H56" s="848"/>
      <c r="I56" s="848"/>
      <c r="J56" s="848"/>
      <c r="K56" s="848"/>
      <c r="L56" s="848"/>
      <c r="M56" s="848"/>
      <c r="N56" s="848"/>
      <c r="O56" s="848"/>
    </row>
    <row r="57" spans="1:15" ht="15.75" x14ac:dyDescent="0.25">
      <c r="A57" s="852" t="s">
        <v>2515</v>
      </c>
      <c r="B57" s="853"/>
      <c r="C57" s="702"/>
      <c r="D57" s="848"/>
      <c r="E57" s="848"/>
      <c r="F57" s="848"/>
      <c r="G57" s="848"/>
      <c r="H57" s="848"/>
      <c r="I57" s="848"/>
      <c r="J57" s="848"/>
      <c r="K57" s="848"/>
      <c r="L57" s="848"/>
      <c r="M57" s="848"/>
      <c r="N57" s="848"/>
      <c r="O57" s="848"/>
    </row>
    <row r="58" spans="1:15" ht="15" customHeight="1" x14ac:dyDescent="0.25">
      <c r="A58" s="852" t="s">
        <v>2516</v>
      </c>
      <c r="B58" s="853"/>
      <c r="C58" s="702"/>
      <c r="D58" s="848"/>
      <c r="E58" s="848"/>
      <c r="F58" s="848"/>
      <c r="G58" s="848"/>
      <c r="H58" s="848"/>
      <c r="I58" s="848"/>
      <c r="J58" s="848"/>
      <c r="K58" s="848"/>
      <c r="L58" s="848"/>
      <c r="M58" s="848"/>
      <c r="N58" s="848"/>
      <c r="O58" s="848"/>
    </row>
    <row r="59" spans="1:15" ht="15.75" x14ac:dyDescent="0.25">
      <c r="A59" s="852" t="s">
        <v>2518</v>
      </c>
      <c r="B59" s="853"/>
      <c r="C59" s="702"/>
      <c r="D59" s="848"/>
      <c r="E59" s="848"/>
      <c r="F59" s="848"/>
      <c r="G59" s="848"/>
      <c r="H59" s="848"/>
      <c r="I59" s="848"/>
      <c r="J59" s="848"/>
      <c r="K59" s="848"/>
      <c r="L59" s="848"/>
      <c r="M59" s="848"/>
      <c r="N59" s="848"/>
      <c r="O59" s="848"/>
    </row>
    <row r="60" spans="1:15" ht="15.75" x14ac:dyDescent="0.25">
      <c r="A60" s="852" t="s">
        <v>2212</v>
      </c>
      <c r="B60" s="853"/>
      <c r="C60" s="702"/>
      <c r="D60" s="848"/>
      <c r="E60" s="848"/>
      <c r="F60" s="848"/>
      <c r="G60" s="848"/>
      <c r="H60" s="848"/>
      <c r="I60" s="848"/>
      <c r="J60" s="848"/>
      <c r="K60" s="848"/>
      <c r="L60" s="848"/>
      <c r="M60" s="848"/>
      <c r="N60" s="848"/>
      <c r="O60" s="848"/>
    </row>
    <row r="61" spans="1:15" ht="15.75" x14ac:dyDescent="0.25">
      <c r="A61" s="852" t="s">
        <v>1435</v>
      </c>
      <c r="B61" s="853"/>
      <c r="C61" s="702"/>
      <c r="D61" s="848"/>
      <c r="E61" s="848"/>
      <c r="F61" s="848"/>
      <c r="G61" s="848"/>
      <c r="H61" s="848"/>
      <c r="I61" s="848"/>
      <c r="J61" s="848"/>
      <c r="K61" s="848"/>
      <c r="L61" s="848"/>
      <c r="M61" s="848"/>
      <c r="N61" s="848"/>
      <c r="O61" s="848"/>
    </row>
    <row r="62" spans="1:15" ht="15.75" x14ac:dyDescent="0.25">
      <c r="A62" s="852" t="s">
        <v>2519</v>
      </c>
      <c r="B62" s="853"/>
      <c r="C62" s="702"/>
      <c r="D62" s="848"/>
      <c r="E62" s="848"/>
      <c r="F62" s="848"/>
      <c r="G62" s="848"/>
      <c r="H62" s="848"/>
      <c r="I62" s="848"/>
      <c r="J62" s="848"/>
      <c r="K62" s="848"/>
      <c r="L62" s="848"/>
      <c r="M62" s="848"/>
      <c r="N62" s="848"/>
      <c r="O62" s="848"/>
    </row>
    <row r="63" spans="1:15" ht="15.75" x14ac:dyDescent="0.25">
      <c r="A63" s="852" t="s">
        <v>2520</v>
      </c>
      <c r="B63" s="853"/>
      <c r="C63" s="702"/>
      <c r="D63" s="848"/>
      <c r="E63" s="848"/>
      <c r="F63" s="848"/>
      <c r="G63" s="848"/>
      <c r="H63" s="848"/>
      <c r="I63" s="848"/>
      <c r="J63" s="848"/>
      <c r="K63" s="848"/>
      <c r="L63" s="848"/>
      <c r="M63" s="848"/>
      <c r="N63" s="848"/>
      <c r="O63" s="848"/>
    </row>
    <row r="64" spans="1:15" ht="15.75" x14ac:dyDescent="0.25">
      <c r="A64" s="854" t="s">
        <v>2521</v>
      </c>
      <c r="B64" s="849"/>
      <c r="C64" s="702"/>
      <c r="D64" s="848"/>
      <c r="E64" s="848"/>
      <c r="F64" s="848"/>
      <c r="G64" s="848"/>
      <c r="H64" s="848"/>
      <c r="I64" s="848"/>
      <c r="J64" s="848"/>
      <c r="K64" s="848"/>
      <c r="L64" s="848"/>
      <c r="M64" s="848"/>
      <c r="N64" s="848"/>
      <c r="O64" s="848"/>
    </row>
    <row r="65" spans="1:15" ht="15.75" x14ac:dyDescent="0.25">
      <c r="A65" s="852" t="s">
        <v>2522</v>
      </c>
      <c r="B65" s="853"/>
      <c r="C65" s="702"/>
      <c r="D65" s="848"/>
      <c r="E65" s="848"/>
      <c r="F65" s="848"/>
      <c r="G65" s="848"/>
      <c r="H65" s="848"/>
      <c r="I65" s="848"/>
      <c r="J65" s="848"/>
      <c r="K65" s="848"/>
      <c r="L65" s="848"/>
      <c r="M65" s="848"/>
      <c r="N65" s="848"/>
      <c r="O65" s="848"/>
    </row>
    <row r="66" spans="1:15" ht="15.75" x14ac:dyDescent="0.25">
      <c r="A66" s="852" t="s">
        <v>145</v>
      </c>
      <c r="B66" s="853"/>
      <c r="C66" s="702" t="s">
        <v>2564</v>
      </c>
      <c r="D66" s="848"/>
      <c r="E66" s="848"/>
      <c r="F66" s="848"/>
      <c r="G66" s="848"/>
      <c r="H66" s="848"/>
      <c r="I66" s="848"/>
      <c r="J66" s="848"/>
      <c r="K66" s="848"/>
      <c r="L66" s="848"/>
      <c r="M66" s="848"/>
      <c r="N66" s="848"/>
      <c r="O66" s="848"/>
    </row>
    <row r="67" spans="1:15" ht="15.75" x14ac:dyDescent="0.25">
      <c r="A67" s="852" t="s">
        <v>2523</v>
      </c>
      <c r="B67" s="853"/>
      <c r="C67" s="702"/>
      <c r="D67" s="848"/>
      <c r="E67" s="848"/>
      <c r="F67" s="848"/>
      <c r="G67" s="848"/>
      <c r="H67" s="848"/>
      <c r="I67" s="848"/>
      <c r="J67" s="848"/>
      <c r="K67" s="848"/>
      <c r="L67" s="848"/>
      <c r="M67" s="848"/>
      <c r="N67" s="848"/>
      <c r="O67" s="848"/>
    </row>
    <row r="68" spans="1:15" ht="15.75" x14ac:dyDescent="0.25">
      <c r="A68" s="854" t="s">
        <v>2527</v>
      </c>
      <c r="B68" s="849"/>
      <c r="C68" s="702"/>
      <c r="D68" s="848"/>
      <c r="E68" s="848"/>
      <c r="F68" s="848"/>
      <c r="G68" s="848"/>
      <c r="H68" s="848"/>
      <c r="I68" s="848"/>
      <c r="J68" s="848"/>
      <c r="K68" s="848"/>
      <c r="L68" s="848"/>
      <c r="M68" s="848"/>
      <c r="N68" s="848"/>
      <c r="O68" s="848"/>
    </row>
    <row r="69" spans="1:15" ht="15.75" x14ac:dyDescent="0.25">
      <c r="A69" s="852" t="s">
        <v>2526</v>
      </c>
      <c r="B69" s="853"/>
      <c r="C69" s="702"/>
      <c r="D69" s="848"/>
      <c r="E69" s="848"/>
      <c r="F69" s="848"/>
      <c r="G69" s="848"/>
      <c r="H69" s="848"/>
      <c r="I69" s="848"/>
      <c r="J69" s="848"/>
      <c r="K69" s="848"/>
      <c r="L69" s="848"/>
      <c r="M69" s="848"/>
      <c r="N69" s="848"/>
      <c r="O69" s="848"/>
    </row>
    <row r="70" spans="1:15" ht="15.75" x14ac:dyDescent="0.25">
      <c r="A70" s="854" t="s">
        <v>2528</v>
      </c>
      <c r="B70" s="851"/>
      <c r="C70" s="702"/>
      <c r="D70" s="848"/>
      <c r="E70" s="848"/>
      <c r="F70" s="848"/>
      <c r="G70" s="848"/>
      <c r="H70" s="848"/>
      <c r="I70" s="848"/>
      <c r="J70" s="848"/>
      <c r="K70" s="848"/>
      <c r="L70" s="848"/>
      <c r="M70" s="848"/>
      <c r="N70" s="848"/>
      <c r="O70" s="848"/>
    </row>
    <row r="71" spans="1:15" ht="15.75" x14ac:dyDescent="0.25">
      <c r="A71" s="854" t="s">
        <v>2524</v>
      </c>
      <c r="B71" s="851"/>
      <c r="C71" s="702"/>
      <c r="D71" s="848"/>
      <c r="E71" s="848"/>
      <c r="F71" s="848"/>
      <c r="G71" s="848"/>
      <c r="H71" s="848"/>
      <c r="I71" s="848"/>
      <c r="J71" s="848"/>
      <c r="K71" s="848"/>
      <c r="L71" s="848"/>
      <c r="M71" s="848"/>
      <c r="N71" s="848"/>
      <c r="O71" s="848"/>
    </row>
    <row r="72" spans="1:15" ht="15.75" x14ac:dyDescent="0.25">
      <c r="A72" s="851" t="s">
        <v>2450</v>
      </c>
      <c r="B72" s="851"/>
      <c r="C72" s="702" t="s">
        <v>2564</v>
      </c>
      <c r="D72" s="848"/>
      <c r="E72" s="848"/>
      <c r="F72" s="848"/>
      <c r="G72" s="848"/>
      <c r="H72" s="848"/>
      <c r="I72" s="848"/>
      <c r="J72" s="848"/>
      <c r="K72" s="848"/>
      <c r="L72" s="848"/>
      <c r="M72" s="848"/>
      <c r="N72" s="848"/>
      <c r="O72" s="848"/>
    </row>
    <row r="73" spans="1:15" ht="15.75" x14ac:dyDescent="0.25">
      <c r="A73" s="851" t="s">
        <v>2529</v>
      </c>
      <c r="B73" s="851"/>
      <c r="C73" s="702"/>
      <c r="D73" s="848"/>
      <c r="E73" s="848"/>
      <c r="F73" s="848"/>
      <c r="G73" s="848"/>
      <c r="H73" s="848"/>
      <c r="I73" s="848"/>
      <c r="J73" s="848"/>
      <c r="K73" s="848"/>
      <c r="L73" s="848"/>
      <c r="M73" s="848"/>
      <c r="N73" s="848"/>
      <c r="O73" s="848"/>
    </row>
    <row r="74" spans="1:15" ht="15.75" x14ac:dyDescent="0.25">
      <c r="A74" s="851" t="s">
        <v>2530</v>
      </c>
      <c r="B74" s="851"/>
      <c r="C74" s="702"/>
      <c r="D74" s="848"/>
      <c r="E74" s="848"/>
      <c r="F74" s="848"/>
      <c r="G74" s="848"/>
      <c r="H74" s="848"/>
      <c r="I74" s="848"/>
      <c r="J74" s="848"/>
      <c r="K74" s="848"/>
      <c r="L74" s="848"/>
      <c r="M74" s="848"/>
      <c r="N74" s="848"/>
      <c r="O74" s="848"/>
    </row>
    <row r="75" spans="1:15" ht="15.75" x14ac:dyDescent="0.25">
      <c r="A75" s="851" t="s">
        <v>1889</v>
      </c>
      <c r="B75" s="851"/>
      <c r="C75" s="702"/>
      <c r="D75" s="848"/>
      <c r="E75" s="848"/>
      <c r="F75" s="848"/>
      <c r="G75" s="848"/>
      <c r="H75" s="848"/>
      <c r="I75" s="848"/>
      <c r="J75" s="848"/>
      <c r="K75" s="848"/>
      <c r="L75" s="848"/>
      <c r="M75" s="848"/>
      <c r="N75" s="848"/>
      <c r="O75" s="848"/>
    </row>
    <row r="76" spans="1:15" ht="15.75" x14ac:dyDescent="0.25">
      <c r="A76" s="851" t="s">
        <v>2565</v>
      </c>
      <c r="B76" s="851"/>
      <c r="C76" s="702"/>
      <c r="D76" s="848"/>
      <c r="E76" s="848"/>
      <c r="F76" s="848"/>
      <c r="G76" s="848"/>
      <c r="H76" s="848"/>
      <c r="I76" s="848"/>
      <c r="J76" s="848"/>
      <c r="K76" s="848"/>
      <c r="L76" s="848"/>
      <c r="M76" s="848"/>
      <c r="N76" s="848"/>
      <c r="O76" s="848"/>
    </row>
    <row r="77" spans="1:15" ht="15.75" x14ac:dyDescent="0.25">
      <c r="A77" s="851" t="s">
        <v>2647</v>
      </c>
      <c r="B77" s="851"/>
      <c r="C77" s="702"/>
      <c r="D77" s="848"/>
      <c r="E77" s="848"/>
      <c r="F77" s="848"/>
      <c r="G77" s="848"/>
      <c r="H77" s="848"/>
      <c r="I77" s="848"/>
      <c r="J77" s="848"/>
      <c r="K77" s="848"/>
      <c r="L77" s="848"/>
      <c r="M77" s="848"/>
      <c r="N77" s="848"/>
      <c r="O77" s="848"/>
    </row>
    <row r="78" spans="1:15" x14ac:dyDescent="0.25">
      <c r="A78" s="849"/>
      <c r="B78" s="849"/>
      <c r="C78" s="564"/>
      <c r="D78" s="848"/>
      <c r="E78" s="848"/>
      <c r="F78" s="848"/>
      <c r="G78" s="848"/>
      <c r="H78" s="848"/>
      <c r="I78" s="848"/>
      <c r="J78" s="848"/>
      <c r="K78" s="848"/>
      <c r="L78" s="848"/>
      <c r="M78" s="848"/>
      <c r="N78" s="848"/>
      <c r="O78" s="848"/>
    </row>
    <row r="79" spans="1:15" x14ac:dyDescent="0.25">
      <c r="A79" s="849"/>
      <c r="B79" s="849"/>
      <c r="C79" s="564"/>
      <c r="D79" s="848"/>
      <c r="E79" s="848"/>
      <c r="F79" s="848"/>
      <c r="G79" s="848"/>
      <c r="H79" s="848"/>
      <c r="I79" s="848"/>
      <c r="J79" s="848"/>
      <c r="K79" s="848"/>
      <c r="L79" s="848"/>
      <c r="M79" s="848"/>
      <c r="N79" s="848"/>
      <c r="O79" s="848"/>
    </row>
    <row r="80" spans="1:15" x14ac:dyDescent="0.25">
      <c r="A80" s="849"/>
      <c r="B80" s="849"/>
      <c r="C80" s="564"/>
      <c r="D80" s="848"/>
      <c r="E80" s="848"/>
      <c r="F80" s="848"/>
      <c r="G80" s="848"/>
      <c r="H80" s="848"/>
      <c r="I80" s="848"/>
      <c r="J80" s="848"/>
      <c r="K80" s="848"/>
      <c r="L80" s="848"/>
      <c r="M80" s="848"/>
      <c r="N80" s="848"/>
      <c r="O80" s="848"/>
    </row>
    <row r="81" spans="1:15" x14ac:dyDescent="0.25">
      <c r="A81" s="849"/>
      <c r="B81" s="849"/>
      <c r="C81" s="564"/>
      <c r="D81" s="848"/>
      <c r="E81" s="848"/>
      <c r="F81" s="848"/>
      <c r="G81" s="848"/>
      <c r="H81" s="848"/>
      <c r="I81" s="848"/>
      <c r="J81" s="848"/>
      <c r="K81" s="848"/>
      <c r="L81" s="848"/>
      <c r="M81" s="848"/>
      <c r="N81" s="848"/>
      <c r="O81" s="848"/>
    </row>
    <row r="82" spans="1:15" x14ac:dyDescent="0.25">
      <c r="A82" s="849"/>
      <c r="B82" s="849"/>
      <c r="C82" s="564"/>
      <c r="D82" s="848"/>
      <c r="E82" s="848"/>
      <c r="F82" s="848"/>
      <c r="G82" s="848"/>
      <c r="H82" s="848"/>
      <c r="I82" s="848"/>
      <c r="J82" s="848"/>
      <c r="K82" s="848"/>
      <c r="L82" s="848"/>
      <c r="M82" s="848"/>
      <c r="N82" s="848"/>
      <c r="O82" s="848"/>
    </row>
    <row r="83" spans="1:15" x14ac:dyDescent="0.25">
      <c r="A83" s="849"/>
      <c r="B83" s="849"/>
      <c r="C83" s="564"/>
      <c r="D83" s="848"/>
      <c r="E83" s="848"/>
      <c r="F83" s="848"/>
      <c r="G83" s="848"/>
      <c r="H83" s="848"/>
      <c r="I83" s="848"/>
      <c r="J83" s="848"/>
      <c r="K83" s="848"/>
      <c r="L83" s="848"/>
      <c r="M83" s="848"/>
      <c r="N83" s="848"/>
      <c r="O83" s="848"/>
    </row>
    <row r="84" spans="1:15" x14ac:dyDescent="0.25">
      <c r="A84" s="849"/>
      <c r="B84" s="849"/>
      <c r="C84" s="564"/>
      <c r="D84" s="848"/>
      <c r="E84" s="848"/>
      <c r="F84" s="848"/>
      <c r="G84" s="848"/>
      <c r="H84" s="848"/>
      <c r="I84" s="848"/>
      <c r="J84" s="848"/>
      <c r="K84" s="848"/>
      <c r="L84" s="848"/>
      <c r="M84" s="848"/>
      <c r="N84" s="848"/>
      <c r="O84" s="848"/>
    </row>
    <row r="85" spans="1:15" x14ac:dyDescent="0.25">
      <c r="A85" s="849"/>
      <c r="B85" s="849"/>
      <c r="C85" s="564"/>
      <c r="D85" s="848"/>
      <c r="E85" s="848"/>
      <c r="F85" s="848"/>
      <c r="G85" s="848"/>
      <c r="H85" s="848"/>
      <c r="I85" s="848"/>
      <c r="J85" s="848"/>
      <c r="K85" s="848"/>
      <c r="L85" s="848"/>
      <c r="M85" s="848"/>
      <c r="N85" s="848"/>
      <c r="O85" s="848"/>
    </row>
    <row r="86" spans="1:15" x14ac:dyDescent="0.25">
      <c r="A86" s="849"/>
      <c r="B86" s="849"/>
      <c r="C86" s="564"/>
      <c r="D86" s="848"/>
      <c r="E86" s="848"/>
      <c r="F86" s="848"/>
      <c r="G86" s="848"/>
      <c r="H86" s="848"/>
      <c r="I86" s="848"/>
      <c r="J86" s="848"/>
      <c r="K86" s="848"/>
      <c r="L86" s="848"/>
      <c r="M86" s="848"/>
      <c r="N86" s="848"/>
      <c r="O86" s="848"/>
    </row>
    <row r="87" spans="1:15" x14ac:dyDescent="0.25">
      <c r="A87" s="849"/>
      <c r="B87" s="849"/>
      <c r="C87" s="564"/>
      <c r="D87" s="848"/>
      <c r="E87" s="848"/>
      <c r="F87" s="848"/>
      <c r="G87" s="848"/>
      <c r="H87" s="848"/>
      <c r="I87" s="848"/>
      <c r="J87" s="848"/>
      <c r="K87" s="848"/>
      <c r="L87" s="848"/>
      <c r="M87" s="848"/>
      <c r="N87" s="848"/>
      <c r="O87" s="848"/>
    </row>
    <row r="88" spans="1:15" x14ac:dyDescent="0.25">
      <c r="A88" s="849"/>
      <c r="B88" s="849"/>
      <c r="C88" s="564"/>
      <c r="D88" s="848"/>
      <c r="E88" s="848"/>
      <c r="F88" s="848"/>
      <c r="G88" s="848"/>
      <c r="H88" s="848"/>
      <c r="I88" s="848"/>
      <c r="J88" s="848"/>
      <c r="K88" s="848"/>
      <c r="L88" s="848"/>
      <c r="M88" s="848"/>
      <c r="N88" s="848"/>
      <c r="O88" s="848"/>
    </row>
    <row r="89" spans="1:15" x14ac:dyDescent="0.25">
      <c r="A89" s="849"/>
      <c r="B89" s="849"/>
      <c r="C89" s="564"/>
      <c r="D89" s="848"/>
      <c r="E89" s="848"/>
      <c r="F89" s="848"/>
      <c r="G89" s="848"/>
      <c r="H89" s="848"/>
      <c r="I89" s="848"/>
      <c r="J89" s="848"/>
      <c r="K89" s="848"/>
      <c r="L89" s="848"/>
      <c r="M89" s="848"/>
      <c r="N89" s="848"/>
      <c r="O89" s="848"/>
    </row>
    <row r="90" spans="1:15" x14ac:dyDescent="0.25">
      <c r="A90" s="849"/>
      <c r="B90" s="849"/>
      <c r="C90" s="564"/>
      <c r="D90" s="848"/>
      <c r="E90" s="848"/>
      <c r="F90" s="848"/>
      <c r="G90" s="848"/>
      <c r="H90" s="848"/>
      <c r="I90" s="848"/>
      <c r="J90" s="848"/>
      <c r="K90" s="848"/>
      <c r="L90" s="848"/>
      <c r="M90" s="848"/>
      <c r="N90" s="848"/>
      <c r="O90" s="848"/>
    </row>
    <row r="91" spans="1:15" x14ac:dyDescent="0.25">
      <c r="A91" s="849"/>
      <c r="B91" s="849"/>
      <c r="C91" s="564"/>
      <c r="D91" s="848"/>
      <c r="E91" s="848"/>
      <c r="F91" s="848"/>
      <c r="G91" s="848"/>
      <c r="H91" s="848"/>
      <c r="I91" s="848"/>
      <c r="J91" s="848"/>
      <c r="K91" s="848"/>
      <c r="L91" s="848"/>
      <c r="M91" s="848"/>
      <c r="N91" s="848"/>
      <c r="O91" s="848"/>
    </row>
    <row r="92" spans="1:15" x14ac:dyDescent="0.25">
      <c r="A92" s="849"/>
      <c r="B92" s="849"/>
      <c r="C92" s="564"/>
      <c r="D92" s="848"/>
      <c r="E92" s="848"/>
      <c r="F92" s="848"/>
      <c r="G92" s="848"/>
      <c r="H92" s="848"/>
      <c r="I92" s="848"/>
      <c r="J92" s="848"/>
      <c r="K92" s="848"/>
      <c r="L92" s="848"/>
      <c r="M92" s="848"/>
      <c r="N92" s="848"/>
      <c r="O92" s="848"/>
    </row>
    <row r="93" spans="1:15" x14ac:dyDescent="0.25">
      <c r="A93" s="849"/>
      <c r="B93" s="849"/>
      <c r="C93" s="564"/>
      <c r="D93" s="848"/>
      <c r="E93" s="848"/>
      <c r="F93" s="848"/>
      <c r="G93" s="848"/>
      <c r="H93" s="848"/>
      <c r="I93" s="848"/>
      <c r="J93" s="848"/>
      <c r="K93" s="848"/>
      <c r="L93" s="848"/>
      <c r="M93" s="848"/>
      <c r="N93" s="848"/>
      <c r="O93" s="848"/>
    </row>
    <row r="94" spans="1:15" x14ac:dyDescent="0.25">
      <c r="A94" s="849"/>
      <c r="B94" s="849"/>
      <c r="C94" s="564"/>
      <c r="D94" s="848"/>
      <c r="E94" s="848"/>
      <c r="F94" s="848"/>
      <c r="G94" s="848"/>
      <c r="H94" s="848"/>
      <c r="I94" s="848"/>
      <c r="J94" s="848"/>
      <c r="K94" s="848"/>
      <c r="L94" s="848"/>
      <c r="M94" s="848"/>
      <c r="N94" s="848"/>
      <c r="O94" s="848"/>
    </row>
    <row r="95" spans="1:15" x14ac:dyDescent="0.25">
      <c r="A95" s="849"/>
      <c r="B95" s="849"/>
      <c r="C95" s="564"/>
      <c r="D95" s="848"/>
      <c r="E95" s="848"/>
      <c r="F95" s="848"/>
      <c r="G95" s="848"/>
      <c r="H95" s="848"/>
      <c r="I95" s="848"/>
      <c r="J95" s="848"/>
      <c r="K95" s="848"/>
      <c r="L95" s="848"/>
      <c r="M95" s="848"/>
      <c r="N95" s="766"/>
    </row>
  </sheetData>
  <autoFilter ref="B8:D44">
    <filterColumn colId="0" showButton="0">
      <filters blank="1">
        <filter val="Amoksiclav-1,2гм,в\в х3 раза"/>
        <filter val="Drotaverinе-2мл,в\м х2 раза"/>
        <filter val="Ketorol-100mg,в\м,х3 раза"/>
        <filter val="подготовка к операции"/>
      </filters>
    </filterColumn>
    <filterColumn colId="1" showButton="0"/>
  </autoFilter>
  <mergeCells count="385">
    <mergeCell ref="N94:O94"/>
    <mergeCell ref="N85:O85"/>
    <mergeCell ref="N86:O86"/>
    <mergeCell ref="N87:O87"/>
    <mergeCell ref="N88:O88"/>
    <mergeCell ref="N89:O89"/>
    <mergeCell ref="N90:O90"/>
    <mergeCell ref="N91:O91"/>
    <mergeCell ref="N92:O92"/>
    <mergeCell ref="N93:O93"/>
    <mergeCell ref="N76:O76"/>
    <mergeCell ref="N77:O77"/>
    <mergeCell ref="N78:O78"/>
    <mergeCell ref="N79:O79"/>
    <mergeCell ref="N80:O80"/>
    <mergeCell ref="N81:O81"/>
    <mergeCell ref="N82:O82"/>
    <mergeCell ref="N83:O83"/>
    <mergeCell ref="N84:O84"/>
    <mergeCell ref="N67:O67"/>
    <mergeCell ref="N68:O68"/>
    <mergeCell ref="N69:O69"/>
    <mergeCell ref="N70:O70"/>
    <mergeCell ref="N71:O71"/>
    <mergeCell ref="N72:O72"/>
    <mergeCell ref="N73:O73"/>
    <mergeCell ref="N74:O74"/>
    <mergeCell ref="N75:O75"/>
    <mergeCell ref="N58:O58"/>
    <mergeCell ref="N59:O59"/>
    <mergeCell ref="N60:O60"/>
    <mergeCell ref="N61:O61"/>
    <mergeCell ref="N62:O62"/>
    <mergeCell ref="N63:O63"/>
    <mergeCell ref="N64:O64"/>
    <mergeCell ref="N65:O65"/>
    <mergeCell ref="N66:O66"/>
    <mergeCell ref="N49:O49"/>
    <mergeCell ref="N50:O50"/>
    <mergeCell ref="N51:O51"/>
    <mergeCell ref="N52:O52"/>
    <mergeCell ref="N53:O53"/>
    <mergeCell ref="N54:O54"/>
    <mergeCell ref="N55:O55"/>
    <mergeCell ref="N56:O56"/>
    <mergeCell ref="N57:O57"/>
    <mergeCell ref="L87:M87"/>
    <mergeCell ref="L88:M88"/>
    <mergeCell ref="L89:M89"/>
    <mergeCell ref="L90:M90"/>
    <mergeCell ref="L91:M91"/>
    <mergeCell ref="L92:M92"/>
    <mergeCell ref="L93:M93"/>
    <mergeCell ref="L94:M94"/>
    <mergeCell ref="L95:M95"/>
    <mergeCell ref="L78:M78"/>
    <mergeCell ref="L79:M79"/>
    <mergeCell ref="L80:M80"/>
    <mergeCell ref="L81:M81"/>
    <mergeCell ref="L82:M82"/>
    <mergeCell ref="L83:M83"/>
    <mergeCell ref="L84:M84"/>
    <mergeCell ref="L85:M85"/>
    <mergeCell ref="L86:M86"/>
    <mergeCell ref="L69:M69"/>
    <mergeCell ref="L70:M70"/>
    <mergeCell ref="L71:M71"/>
    <mergeCell ref="L72:M72"/>
    <mergeCell ref="L73:M73"/>
    <mergeCell ref="L74:M74"/>
    <mergeCell ref="L75:M75"/>
    <mergeCell ref="L76:M76"/>
    <mergeCell ref="L77:M77"/>
    <mergeCell ref="J94:K94"/>
    <mergeCell ref="J95:K95"/>
    <mergeCell ref="L47:M47"/>
    <mergeCell ref="L48:M48"/>
    <mergeCell ref="L49:M49"/>
    <mergeCell ref="L50:M50"/>
    <mergeCell ref="L51:M51"/>
    <mergeCell ref="L52:M52"/>
    <mergeCell ref="L53:M53"/>
    <mergeCell ref="L54:M54"/>
    <mergeCell ref="L55:M55"/>
    <mergeCell ref="L56:M56"/>
    <mergeCell ref="L57:M57"/>
    <mergeCell ref="L58:M58"/>
    <mergeCell ref="L59:M59"/>
    <mergeCell ref="L60:M60"/>
    <mergeCell ref="L61:M61"/>
    <mergeCell ref="L62:M62"/>
    <mergeCell ref="L63:M63"/>
    <mergeCell ref="L64:M64"/>
    <mergeCell ref="L65:M65"/>
    <mergeCell ref="L66:M66"/>
    <mergeCell ref="L67:M67"/>
    <mergeCell ref="L68:M68"/>
    <mergeCell ref="J85:K85"/>
    <mergeCell ref="J86:K86"/>
    <mergeCell ref="J87:K87"/>
    <mergeCell ref="J88:K88"/>
    <mergeCell ref="J89:K89"/>
    <mergeCell ref="J90:K90"/>
    <mergeCell ref="J91:K91"/>
    <mergeCell ref="J92:K92"/>
    <mergeCell ref="J93:K93"/>
    <mergeCell ref="J76:K76"/>
    <mergeCell ref="J77:K77"/>
    <mergeCell ref="J78:K78"/>
    <mergeCell ref="J79:K79"/>
    <mergeCell ref="J80:K80"/>
    <mergeCell ref="J81:K81"/>
    <mergeCell ref="J82:K82"/>
    <mergeCell ref="J83:K83"/>
    <mergeCell ref="J84:K84"/>
    <mergeCell ref="J67:K67"/>
    <mergeCell ref="J68:K68"/>
    <mergeCell ref="J69:K69"/>
    <mergeCell ref="J70:K70"/>
    <mergeCell ref="J71:K71"/>
    <mergeCell ref="J72:K72"/>
    <mergeCell ref="J73:K73"/>
    <mergeCell ref="J74:K74"/>
    <mergeCell ref="J75:K75"/>
    <mergeCell ref="J58:K58"/>
    <mergeCell ref="J59:K59"/>
    <mergeCell ref="J60:K60"/>
    <mergeCell ref="J61:K61"/>
    <mergeCell ref="J62:K62"/>
    <mergeCell ref="J63:K63"/>
    <mergeCell ref="J64:K64"/>
    <mergeCell ref="J65:K65"/>
    <mergeCell ref="J66:K66"/>
    <mergeCell ref="J49:K49"/>
    <mergeCell ref="J50:K50"/>
    <mergeCell ref="J51:K51"/>
    <mergeCell ref="J52:K52"/>
    <mergeCell ref="J53:K53"/>
    <mergeCell ref="J54:K54"/>
    <mergeCell ref="J55:K55"/>
    <mergeCell ref="J56:K56"/>
    <mergeCell ref="J57:K57"/>
    <mergeCell ref="H87:I87"/>
    <mergeCell ref="H88:I88"/>
    <mergeCell ref="H89:I89"/>
    <mergeCell ref="H90:I90"/>
    <mergeCell ref="H91:I91"/>
    <mergeCell ref="H92:I92"/>
    <mergeCell ref="H93:I93"/>
    <mergeCell ref="H94:I94"/>
    <mergeCell ref="H95:I95"/>
    <mergeCell ref="H78:I78"/>
    <mergeCell ref="H79:I79"/>
    <mergeCell ref="H80:I80"/>
    <mergeCell ref="H81:I81"/>
    <mergeCell ref="H82:I82"/>
    <mergeCell ref="H83:I83"/>
    <mergeCell ref="H84:I84"/>
    <mergeCell ref="H85:I85"/>
    <mergeCell ref="H86:I86"/>
    <mergeCell ref="H69:I69"/>
    <mergeCell ref="H70:I70"/>
    <mergeCell ref="H71:I71"/>
    <mergeCell ref="H72:I72"/>
    <mergeCell ref="H73:I73"/>
    <mergeCell ref="H74:I74"/>
    <mergeCell ref="H75:I75"/>
    <mergeCell ref="H76:I76"/>
    <mergeCell ref="H77:I77"/>
    <mergeCell ref="F94:G94"/>
    <mergeCell ref="F95:G95"/>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F85:G85"/>
    <mergeCell ref="F86:G86"/>
    <mergeCell ref="F87:G87"/>
    <mergeCell ref="F88:G88"/>
    <mergeCell ref="F89:G89"/>
    <mergeCell ref="F90:G90"/>
    <mergeCell ref="F91:G91"/>
    <mergeCell ref="F92:G92"/>
    <mergeCell ref="F93:G93"/>
    <mergeCell ref="F76:G76"/>
    <mergeCell ref="F77:G77"/>
    <mergeCell ref="F78:G78"/>
    <mergeCell ref="F79:G79"/>
    <mergeCell ref="F80:G80"/>
    <mergeCell ref="F81:G81"/>
    <mergeCell ref="F82:G82"/>
    <mergeCell ref="F83:G83"/>
    <mergeCell ref="F84:G84"/>
    <mergeCell ref="F67:G67"/>
    <mergeCell ref="F68:G68"/>
    <mergeCell ref="F69:G69"/>
    <mergeCell ref="F70:G70"/>
    <mergeCell ref="F71:G71"/>
    <mergeCell ref="F72:G72"/>
    <mergeCell ref="F73:G73"/>
    <mergeCell ref="F74:G74"/>
    <mergeCell ref="F75:G75"/>
    <mergeCell ref="F58:G58"/>
    <mergeCell ref="F59:G59"/>
    <mergeCell ref="F60:G60"/>
    <mergeCell ref="F61:G61"/>
    <mergeCell ref="F62:G62"/>
    <mergeCell ref="F63:G63"/>
    <mergeCell ref="F64:G64"/>
    <mergeCell ref="F65:G65"/>
    <mergeCell ref="F66:G66"/>
    <mergeCell ref="C3:H3"/>
    <mergeCell ref="B6:D6"/>
    <mergeCell ref="B7:D7"/>
    <mergeCell ref="B12:D12"/>
    <mergeCell ref="B13:D13"/>
    <mergeCell ref="F4:P4"/>
    <mergeCell ref="B5:D5"/>
    <mergeCell ref="D47:E47"/>
    <mergeCell ref="D48:E48"/>
    <mergeCell ref="F47:G47"/>
    <mergeCell ref="F48:G48"/>
    <mergeCell ref="J47:K47"/>
    <mergeCell ref="J48:K48"/>
    <mergeCell ref="N47:O47"/>
    <mergeCell ref="N48:O48"/>
    <mergeCell ref="B19:D19"/>
    <mergeCell ref="B20:D20"/>
    <mergeCell ref="B15:D15"/>
    <mergeCell ref="B16:D16"/>
    <mergeCell ref="B17:D17"/>
    <mergeCell ref="B14:D14"/>
    <mergeCell ref="B8:D8"/>
    <mergeCell ref="B9:D9"/>
    <mergeCell ref="B10:D10"/>
    <mergeCell ref="B18:D18"/>
    <mergeCell ref="B11:D11"/>
    <mergeCell ref="B27:D27"/>
    <mergeCell ref="B28:D28"/>
    <mergeCell ref="B29:D29"/>
    <mergeCell ref="B24:D24"/>
    <mergeCell ref="B25:D25"/>
    <mergeCell ref="B26:D26"/>
    <mergeCell ref="B21:D21"/>
    <mergeCell ref="B22:D22"/>
    <mergeCell ref="B23:D23"/>
    <mergeCell ref="B37:D37"/>
    <mergeCell ref="B38:D38"/>
    <mergeCell ref="B39:D39"/>
    <mergeCell ref="B33:D33"/>
    <mergeCell ref="B34:D34"/>
    <mergeCell ref="B35:D35"/>
    <mergeCell ref="B36:D36"/>
    <mergeCell ref="B30:D30"/>
    <mergeCell ref="B31:D31"/>
    <mergeCell ref="B32:D32"/>
    <mergeCell ref="D52:E52"/>
    <mergeCell ref="D53:E53"/>
    <mergeCell ref="D54:E54"/>
    <mergeCell ref="D55:E55"/>
    <mergeCell ref="D56:E56"/>
    <mergeCell ref="D57:E57"/>
    <mergeCell ref="D44:E44"/>
    <mergeCell ref="B43:D43"/>
    <mergeCell ref="B40:D40"/>
    <mergeCell ref="B41:D41"/>
    <mergeCell ref="B42:D42"/>
    <mergeCell ref="D49:E49"/>
    <mergeCell ref="D50:E50"/>
    <mergeCell ref="D51:E51"/>
    <mergeCell ref="A47:B47"/>
    <mergeCell ref="A48:B48"/>
    <mergeCell ref="A49:B49"/>
    <mergeCell ref="A50:B50"/>
    <mergeCell ref="A57:B57"/>
    <mergeCell ref="F49:G49"/>
    <mergeCell ref="F50:G50"/>
    <mergeCell ref="F51:G51"/>
    <mergeCell ref="F52:G52"/>
    <mergeCell ref="F53:G53"/>
    <mergeCell ref="F54:G54"/>
    <mergeCell ref="F55:G55"/>
    <mergeCell ref="F56:G56"/>
    <mergeCell ref="F57:G57"/>
    <mergeCell ref="A58:B58"/>
    <mergeCell ref="A59:B59"/>
    <mergeCell ref="A60:B60"/>
    <mergeCell ref="A61:B61"/>
    <mergeCell ref="A62:B62"/>
    <mergeCell ref="A51:B51"/>
    <mergeCell ref="A52:B52"/>
    <mergeCell ref="A53:B53"/>
    <mergeCell ref="A54:B54"/>
    <mergeCell ref="A55:B55"/>
    <mergeCell ref="A56:B56"/>
    <mergeCell ref="A70:B70"/>
    <mergeCell ref="A71:B71"/>
    <mergeCell ref="A72:B72"/>
    <mergeCell ref="A73:B73"/>
    <mergeCell ref="A74:B74"/>
    <mergeCell ref="A63:B63"/>
    <mergeCell ref="A64:B64"/>
    <mergeCell ref="A65:B65"/>
    <mergeCell ref="A66:B66"/>
    <mergeCell ref="A67:B67"/>
    <mergeCell ref="A68:B68"/>
    <mergeCell ref="A93:B93"/>
    <mergeCell ref="A94:B94"/>
    <mergeCell ref="A95:B95"/>
    <mergeCell ref="A4:D4"/>
    <mergeCell ref="A87:B87"/>
    <mergeCell ref="A88:B88"/>
    <mergeCell ref="A89:B89"/>
    <mergeCell ref="A90:B90"/>
    <mergeCell ref="A91:B91"/>
    <mergeCell ref="A92:B92"/>
    <mergeCell ref="A81:B81"/>
    <mergeCell ref="A82:B82"/>
    <mergeCell ref="A83:B83"/>
    <mergeCell ref="A84:B84"/>
    <mergeCell ref="A85:B85"/>
    <mergeCell ref="A86:B86"/>
    <mergeCell ref="A75:B75"/>
    <mergeCell ref="A76:B76"/>
    <mergeCell ref="A77:B77"/>
    <mergeCell ref="A78:B78"/>
    <mergeCell ref="A79:B79"/>
    <mergeCell ref="A80:B80"/>
    <mergeCell ref="A69:B69"/>
    <mergeCell ref="D58:E58"/>
    <mergeCell ref="D59:E59"/>
    <mergeCell ref="D60:E60"/>
    <mergeCell ref="D61:E61"/>
    <mergeCell ref="D62:E62"/>
    <mergeCell ref="D63:E63"/>
    <mergeCell ref="D64:E64"/>
    <mergeCell ref="D65:E65"/>
    <mergeCell ref="D66:E66"/>
    <mergeCell ref="D67:E67"/>
    <mergeCell ref="D68:E68"/>
    <mergeCell ref="D69:E69"/>
    <mergeCell ref="D70:E70"/>
    <mergeCell ref="D71:E71"/>
    <mergeCell ref="D72:E72"/>
    <mergeCell ref="D73:E73"/>
    <mergeCell ref="D74:E74"/>
    <mergeCell ref="D75:E75"/>
    <mergeCell ref="D76:E76"/>
    <mergeCell ref="D77:E77"/>
    <mergeCell ref="D78:E78"/>
    <mergeCell ref="D79:E79"/>
    <mergeCell ref="D80:E80"/>
    <mergeCell ref="D81:E81"/>
    <mergeCell ref="D82:E82"/>
    <mergeCell ref="D83:E83"/>
    <mergeCell ref="D84:E84"/>
    <mergeCell ref="D94:E94"/>
    <mergeCell ref="D95:E95"/>
    <mergeCell ref="D85:E85"/>
    <mergeCell ref="D86:E86"/>
    <mergeCell ref="D87:E87"/>
    <mergeCell ref="D88:E88"/>
    <mergeCell ref="D89:E89"/>
    <mergeCell ref="D90:E90"/>
    <mergeCell ref="D91:E91"/>
    <mergeCell ref="D92:E92"/>
    <mergeCell ref="D93:E93"/>
  </mergeCells>
  <dataValidations count="1">
    <dataValidation type="list" allowBlank="1" showInputMessage="1" showErrorMessage="1" sqref="C48:C77">
      <formula1>INDIRECT("Таблица124[Столбец1]")</formula1>
    </dataValidation>
  </dataValidations>
  <printOptions horizontalCentered="1" gridLines="1"/>
  <pageMargins left="0.70866141732283472" right="0.70866141732283472" top="0.74803149606299213" bottom="0.74803149606299213" header="0.31496062992125984" footer="0.31496062992125984"/>
  <pageSetup paperSize="9" orientation="portrait" blackAndWhite="1" r:id="rId1"/>
  <rowBreaks count="1" manualBreakCount="1">
    <brk id="46" max="16383"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Ссылки!$H$2:$H$3</xm:f>
          </x14:formula1>
          <xm:sqref>G6:P7 F6:F43 G32:P43 G12:H12 G21:H22 G11 G15:H16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W49"/>
  <sheetViews>
    <sheetView view="pageLayout" topLeftCell="A7" zoomScale="75" zoomScaleNormal="100" zoomScaleSheetLayoutView="85" zoomScalePageLayoutView="75" workbookViewId="0">
      <selection activeCell="A17" sqref="A17:K17"/>
    </sheetView>
  </sheetViews>
  <sheetFormatPr defaultRowHeight="15" x14ac:dyDescent="0.25"/>
  <cols>
    <col min="1" max="1" width="9.140625" style="8"/>
    <col min="2" max="2" width="10.28515625" style="8" bestFit="1" customWidth="1"/>
    <col min="3" max="17" width="9.140625" style="8"/>
    <col min="18" max="18" width="10.28515625" style="8" bestFit="1" customWidth="1"/>
    <col min="19" max="19" width="9.140625" style="8"/>
    <col min="20" max="20" width="6.28515625" style="8" customWidth="1"/>
    <col min="21" max="21" width="13.42578125" style="8" customWidth="1"/>
    <col min="22" max="22" width="9.140625" style="8"/>
    <col min="23" max="23" width="100.140625" style="143" hidden="1" customWidth="1"/>
    <col min="24" max="24" width="10.140625" style="8" customWidth="1"/>
    <col min="25" max="16384" width="9.140625" style="8"/>
  </cols>
  <sheetData>
    <row r="1" spans="1:22" ht="15.75" x14ac:dyDescent="0.25">
      <c r="K1" s="44"/>
      <c r="L1" s="12"/>
      <c r="M1" s="12"/>
      <c r="N1" s="12"/>
      <c r="O1" s="12"/>
      <c r="P1" s="12"/>
      <c r="Q1" s="12"/>
      <c r="R1" s="12"/>
      <c r="S1" s="12"/>
      <c r="T1" s="12"/>
      <c r="U1" s="12"/>
      <c r="V1" s="12"/>
    </row>
    <row r="2" spans="1:22" ht="15.75" x14ac:dyDescent="0.25">
      <c r="K2" s="44" t="s">
        <v>2694</v>
      </c>
      <c r="L2" s="12"/>
      <c r="M2" s="12"/>
      <c r="N2" s="12"/>
      <c r="O2" s="12"/>
      <c r="P2" s="12"/>
      <c r="Q2" s="12"/>
      <c r="R2" s="12"/>
      <c r="S2" s="12"/>
      <c r="T2" s="12"/>
      <c r="U2" s="12"/>
      <c r="V2" s="12"/>
    </row>
    <row r="3" spans="1:22" ht="15.75" x14ac:dyDescent="0.25">
      <c r="K3" s="44"/>
      <c r="L3" s="12"/>
      <c r="M3" s="12"/>
      <c r="N3" s="12"/>
      <c r="O3" s="12"/>
      <c r="P3" s="12"/>
      <c r="Q3" s="12"/>
      <c r="R3" s="12"/>
      <c r="S3" s="12"/>
      <c r="T3" s="12"/>
      <c r="U3" s="12"/>
      <c r="V3" s="12"/>
    </row>
    <row r="4" spans="1:22" ht="15.75" x14ac:dyDescent="0.25">
      <c r="F4" s="4"/>
      <c r="L4" s="12"/>
      <c r="M4" s="12"/>
      <c r="N4" s="12"/>
      <c r="O4" s="12"/>
      <c r="P4" s="12"/>
      <c r="Q4" s="4" t="s">
        <v>2694</v>
      </c>
      <c r="R4" s="12"/>
      <c r="S4" s="12"/>
      <c r="T4" s="12"/>
      <c r="U4" s="12"/>
      <c r="V4" s="12"/>
    </row>
    <row r="5" spans="1:22" ht="15.75" x14ac:dyDescent="0.25">
      <c r="F5" s="4"/>
      <c r="L5" s="12"/>
      <c r="M5" s="12"/>
      <c r="N5" s="12"/>
      <c r="O5" s="12"/>
      <c r="P5" s="12"/>
      <c r="Q5" s="12"/>
      <c r="R5" s="12"/>
      <c r="S5" s="12"/>
      <c r="T5" s="12"/>
      <c r="U5" s="12"/>
      <c r="V5" s="12"/>
    </row>
    <row r="6" spans="1:22" ht="15.75" x14ac:dyDescent="0.25">
      <c r="F6" s="4" t="s">
        <v>354</v>
      </c>
      <c r="L6" s="12"/>
      <c r="M6" s="12"/>
      <c r="N6" s="12"/>
      <c r="O6" s="12"/>
      <c r="P6" s="12"/>
      <c r="Q6" s="4" t="s">
        <v>364</v>
      </c>
      <c r="R6" s="12"/>
      <c r="S6" s="12"/>
      <c r="T6" s="12"/>
      <c r="U6" s="12"/>
      <c r="V6" s="12"/>
    </row>
    <row r="7" spans="1:22" ht="18.75" x14ac:dyDescent="0.3">
      <c r="F7" s="19" t="s">
        <v>355</v>
      </c>
      <c r="L7" s="12"/>
      <c r="M7" s="12"/>
      <c r="N7" s="12"/>
      <c r="O7" s="12"/>
      <c r="P7" s="12"/>
      <c r="Q7" s="4" t="s">
        <v>365</v>
      </c>
      <c r="R7" s="12"/>
      <c r="S7" s="12"/>
      <c r="T7" s="12"/>
      <c r="U7" s="12"/>
      <c r="V7" s="12"/>
    </row>
    <row r="8" spans="1:22" ht="15.75" x14ac:dyDescent="0.25">
      <c r="F8" s="4" t="s">
        <v>2783</v>
      </c>
      <c r="L8" s="12"/>
      <c r="M8" s="12"/>
      <c r="N8" s="12"/>
      <c r="O8" s="12"/>
      <c r="P8" s="12"/>
      <c r="Q8" s="4" t="s">
        <v>366</v>
      </c>
      <c r="R8" s="12"/>
      <c r="S8" s="12"/>
      <c r="T8" s="12"/>
      <c r="U8" s="12"/>
      <c r="V8" s="12"/>
    </row>
    <row r="9" spans="1:22" ht="18.75" x14ac:dyDescent="0.3">
      <c r="L9" s="12"/>
      <c r="M9" s="12" t="s">
        <v>367</v>
      </c>
      <c r="N9" s="863" t="str">
        <f>ФИО</f>
        <v>Иванова Е.П.</v>
      </c>
      <c r="O9" s="863"/>
      <c r="P9" s="863"/>
      <c r="Q9" s="863"/>
      <c r="R9" s="863"/>
      <c r="S9" s="863"/>
      <c r="T9" s="863"/>
      <c r="U9" s="863"/>
      <c r="V9" s="12"/>
    </row>
    <row r="10" spans="1:22" ht="15.75" x14ac:dyDescent="0.25">
      <c r="A10" s="866" t="s">
        <v>2700</v>
      </c>
      <c r="B10" s="867"/>
      <c r="C10" s="867"/>
      <c r="D10" s="867"/>
      <c r="E10" s="867"/>
      <c r="F10" s="867"/>
      <c r="G10" s="867"/>
      <c r="H10" s="867"/>
      <c r="I10" s="867"/>
      <c r="J10" s="867"/>
      <c r="K10" s="867"/>
      <c r="L10" s="12"/>
      <c r="M10" s="12"/>
      <c r="N10" s="12"/>
      <c r="O10" s="12"/>
      <c r="P10" s="12"/>
      <c r="Q10" s="11" t="s">
        <v>368</v>
      </c>
      <c r="R10" s="12"/>
      <c r="S10" s="12"/>
      <c r="T10" s="12"/>
      <c r="U10" s="12"/>
      <c r="V10" s="12"/>
    </row>
    <row r="11" spans="1:22" ht="15.75" x14ac:dyDescent="0.25">
      <c r="A11" s="45"/>
      <c r="B11" s="864" t="str">
        <f>ФИО</f>
        <v>Иванова Е.П.</v>
      </c>
      <c r="C11" s="865"/>
      <c r="D11" s="865"/>
      <c r="E11" s="865"/>
      <c r="F11" s="865"/>
      <c r="G11" s="865"/>
      <c r="H11" s="865"/>
      <c r="I11" s="865"/>
      <c r="J11" s="865"/>
      <c r="K11" s="739"/>
      <c r="L11" s="868" t="s">
        <v>2699</v>
      </c>
      <c r="M11" s="869"/>
      <c r="N11" s="869"/>
      <c r="O11" s="869"/>
      <c r="P11" s="869"/>
      <c r="Q11" s="869"/>
      <c r="R11" s="869"/>
      <c r="S11" s="869"/>
      <c r="T11" s="869"/>
      <c r="U11" s="869"/>
      <c r="V11" s="12"/>
    </row>
    <row r="12" spans="1:22" ht="15.75" x14ac:dyDescent="0.25">
      <c r="A12" s="877" t="s">
        <v>1471</v>
      </c>
      <c r="B12" s="878"/>
      <c r="C12" s="878"/>
      <c r="D12" s="875">
        <f>Место_жительства</f>
        <v>0</v>
      </c>
      <c r="E12" s="876"/>
      <c r="F12" s="876"/>
      <c r="G12" s="876"/>
      <c r="H12" s="876"/>
      <c r="I12" s="876"/>
      <c r="J12" s="876"/>
      <c r="K12" s="876"/>
      <c r="L12" s="869"/>
      <c r="M12" s="869"/>
      <c r="N12" s="869"/>
      <c r="O12" s="869"/>
      <c r="P12" s="869"/>
      <c r="Q12" s="869"/>
      <c r="R12" s="869"/>
      <c r="S12" s="869"/>
      <c r="T12" s="869"/>
      <c r="U12" s="869"/>
      <c r="V12" s="12"/>
    </row>
    <row r="13" spans="1:22" ht="15.75" x14ac:dyDescent="0.25">
      <c r="A13" s="878"/>
      <c r="B13" s="878"/>
      <c r="C13" s="878"/>
      <c r="D13" s="876"/>
      <c r="E13" s="876"/>
      <c r="F13" s="876"/>
      <c r="G13" s="876"/>
      <c r="H13" s="876"/>
      <c r="I13" s="876"/>
      <c r="J13" s="876"/>
      <c r="K13" s="876"/>
      <c r="L13" s="869"/>
      <c r="M13" s="869"/>
      <c r="N13" s="869"/>
      <c r="O13" s="869"/>
      <c r="P13" s="869"/>
      <c r="Q13" s="869"/>
      <c r="R13" s="869"/>
      <c r="S13" s="869"/>
      <c r="T13" s="869"/>
      <c r="U13" s="869"/>
      <c r="V13" s="12"/>
    </row>
    <row r="14" spans="1:22" ht="15.75" x14ac:dyDescent="0.25">
      <c r="B14" s="860" t="s">
        <v>1476</v>
      </c>
      <c r="C14" s="822"/>
      <c r="D14" s="822"/>
      <c r="E14" s="822"/>
      <c r="F14" s="822"/>
      <c r="G14" s="822"/>
      <c r="H14" s="822"/>
      <c r="I14" s="822"/>
      <c r="J14" s="822"/>
      <c r="K14" s="822"/>
      <c r="L14" s="869"/>
      <c r="M14" s="869"/>
      <c r="N14" s="869"/>
      <c r="O14" s="869"/>
      <c r="P14" s="869"/>
      <c r="Q14" s="869"/>
      <c r="R14" s="869"/>
      <c r="S14" s="869"/>
      <c r="T14" s="869"/>
      <c r="U14" s="869"/>
      <c r="V14" s="12"/>
    </row>
    <row r="15" spans="1:22" ht="15.75" x14ac:dyDescent="0.25">
      <c r="A15" s="12"/>
      <c r="B15" s="822"/>
      <c r="C15" s="822"/>
      <c r="D15" s="822"/>
      <c r="E15" s="822"/>
      <c r="F15" s="822"/>
      <c r="G15" s="822"/>
      <c r="H15" s="822"/>
      <c r="I15" s="822"/>
      <c r="J15" s="822"/>
      <c r="K15" s="822"/>
      <c r="L15" s="869"/>
      <c r="M15" s="869"/>
      <c r="N15" s="869"/>
      <c r="O15" s="869"/>
      <c r="P15" s="869"/>
      <c r="Q15" s="869"/>
      <c r="R15" s="869"/>
      <c r="S15" s="869"/>
      <c r="T15" s="869"/>
      <c r="U15" s="869"/>
      <c r="V15" s="12"/>
    </row>
    <row r="16" spans="1:22" ht="30.75" customHeight="1" x14ac:dyDescent="0.25">
      <c r="L16" s="869"/>
      <c r="M16" s="869"/>
      <c r="N16" s="869"/>
      <c r="O16" s="869"/>
      <c r="P16" s="869"/>
      <c r="Q16" s="869"/>
      <c r="R16" s="869"/>
      <c r="S16" s="869"/>
      <c r="T16" s="869"/>
      <c r="U16" s="869"/>
      <c r="V16" s="12"/>
    </row>
    <row r="17" spans="1:23" ht="33" customHeight="1" x14ac:dyDescent="0.4">
      <c r="A17" s="879" t="str">
        <f>Планируемое_оперативное_вмешательство__проведенное</f>
        <v xml:space="preserve">Комбинированная нефролитолапаксия. Стентирование справа. </v>
      </c>
      <c r="B17" s="879"/>
      <c r="C17" s="879"/>
      <c r="D17" s="879"/>
      <c r="E17" s="879"/>
      <c r="F17" s="879"/>
      <c r="G17" s="879"/>
      <c r="H17" s="879"/>
      <c r="I17" s="879"/>
      <c r="J17" s="879"/>
      <c r="K17" s="879"/>
      <c r="L17" s="870" t="s">
        <v>1477</v>
      </c>
      <c r="M17" s="871"/>
      <c r="N17" s="871"/>
      <c r="O17" s="871"/>
      <c r="P17" s="871"/>
      <c r="Q17" s="871"/>
      <c r="R17" s="871"/>
      <c r="S17" s="871"/>
      <c r="T17" s="871"/>
      <c r="U17" s="871"/>
      <c r="V17" s="12"/>
      <c r="W17" s="155" t="str">
        <f>A17</f>
        <v xml:space="preserve">Комбинированная нефролитолапаксия. Стентирование справа. </v>
      </c>
    </row>
    <row r="18" spans="1:23" ht="15.75" x14ac:dyDescent="0.25">
      <c r="A18" s="862" t="s">
        <v>2698</v>
      </c>
      <c r="B18" s="822"/>
      <c r="C18" s="822"/>
      <c r="D18" s="822"/>
      <c r="E18" s="822"/>
      <c r="F18" s="822"/>
      <c r="G18" s="822"/>
      <c r="H18" s="822"/>
      <c r="I18" s="822"/>
      <c r="J18" s="822"/>
      <c r="K18" s="822"/>
      <c r="L18" s="871"/>
      <c r="M18" s="871"/>
      <c r="N18" s="871"/>
      <c r="O18" s="871"/>
      <c r="P18" s="871"/>
      <c r="Q18" s="871"/>
      <c r="R18" s="871"/>
      <c r="S18" s="871"/>
      <c r="T18" s="871"/>
      <c r="U18" s="871"/>
      <c r="V18" s="12"/>
    </row>
    <row r="19" spans="1:23" ht="58.5" customHeight="1" x14ac:dyDescent="0.25">
      <c r="A19" s="822"/>
      <c r="B19" s="822"/>
      <c r="C19" s="822"/>
      <c r="D19" s="822"/>
      <c r="E19" s="822"/>
      <c r="F19" s="822"/>
      <c r="G19" s="822"/>
      <c r="H19" s="822"/>
      <c r="I19" s="822"/>
      <c r="J19" s="822"/>
      <c r="K19" s="822"/>
      <c r="L19" s="871"/>
      <c r="M19" s="871"/>
      <c r="N19" s="871"/>
      <c r="O19" s="871"/>
      <c r="P19" s="871"/>
      <c r="Q19" s="871"/>
      <c r="R19" s="871"/>
      <c r="S19" s="871"/>
      <c r="T19" s="871"/>
      <c r="U19" s="871"/>
      <c r="V19" s="12"/>
    </row>
    <row r="20" spans="1:23" ht="15.75" x14ac:dyDescent="0.25">
      <c r="A20" s="18" t="s">
        <v>356</v>
      </c>
      <c r="B20" s="862" t="s">
        <v>1472</v>
      </c>
      <c r="C20" s="822"/>
      <c r="D20" s="822"/>
      <c r="E20" s="822"/>
      <c r="F20" s="822"/>
      <c r="G20" s="822"/>
      <c r="H20" s="822"/>
      <c r="I20" s="822"/>
      <c r="J20" s="822"/>
      <c r="K20" s="822"/>
      <c r="L20" s="871"/>
      <c r="M20" s="871"/>
      <c r="N20" s="871"/>
      <c r="O20" s="871"/>
      <c r="P20" s="871"/>
      <c r="Q20" s="871"/>
      <c r="R20" s="871"/>
      <c r="S20" s="871"/>
      <c r="T20" s="871"/>
      <c r="U20" s="871"/>
      <c r="V20" s="12"/>
    </row>
    <row r="21" spans="1:23" ht="15.75" x14ac:dyDescent="0.25">
      <c r="A21" s="12"/>
      <c r="B21" s="822"/>
      <c r="C21" s="822"/>
      <c r="D21" s="822"/>
      <c r="E21" s="822"/>
      <c r="F21" s="822"/>
      <c r="G21" s="822"/>
      <c r="H21" s="822"/>
      <c r="I21" s="822"/>
      <c r="J21" s="822"/>
      <c r="K21" s="822"/>
      <c r="L21" s="871"/>
      <c r="M21" s="871"/>
      <c r="N21" s="871"/>
      <c r="O21" s="871"/>
      <c r="P21" s="871"/>
      <c r="Q21" s="871"/>
      <c r="R21" s="871"/>
      <c r="S21" s="871"/>
      <c r="T21" s="871"/>
      <c r="U21" s="871"/>
      <c r="V21" s="12"/>
    </row>
    <row r="22" spans="1:23" ht="15.75" x14ac:dyDescent="0.25">
      <c r="A22" s="12"/>
      <c r="B22" s="822"/>
      <c r="C22" s="822"/>
      <c r="D22" s="822"/>
      <c r="E22" s="822"/>
      <c r="F22" s="822"/>
      <c r="G22" s="822"/>
      <c r="H22" s="822"/>
      <c r="I22" s="822"/>
      <c r="J22" s="822"/>
      <c r="K22" s="822"/>
      <c r="L22" s="12"/>
      <c r="M22" s="12"/>
      <c r="N22" s="12"/>
      <c r="O22" s="12"/>
      <c r="P22" s="12"/>
      <c r="Q22" s="12"/>
      <c r="R22" s="12"/>
      <c r="S22" s="12"/>
      <c r="T22" s="12"/>
      <c r="U22" s="12"/>
      <c r="V22" s="12"/>
    </row>
    <row r="23" spans="1:23" ht="18.75" x14ac:dyDescent="0.3">
      <c r="A23" s="46"/>
      <c r="B23" s="822"/>
      <c r="C23" s="822"/>
      <c r="D23" s="822"/>
      <c r="E23" s="822"/>
      <c r="F23" s="822"/>
      <c r="G23" s="822"/>
      <c r="H23" s="822"/>
      <c r="I23" s="822"/>
      <c r="J23" s="822"/>
      <c r="K23" s="822"/>
      <c r="L23" s="3" t="s">
        <v>1417</v>
      </c>
      <c r="M23" s="12"/>
      <c r="N23" s="12"/>
      <c r="O23" s="12"/>
      <c r="P23" s="12"/>
      <c r="Q23" s="99" t="s">
        <v>2709</v>
      </c>
      <c r="S23" s="12"/>
      <c r="T23" s="12"/>
      <c r="U23" s="12"/>
      <c r="V23" s="99"/>
    </row>
    <row r="24" spans="1:23" ht="15.75" x14ac:dyDescent="0.25">
      <c r="A24" s="18" t="s">
        <v>357</v>
      </c>
      <c r="B24" s="862" t="s">
        <v>1473</v>
      </c>
      <c r="C24" s="822"/>
      <c r="D24" s="822"/>
      <c r="E24" s="822"/>
      <c r="F24" s="822"/>
      <c r="G24" s="822"/>
      <c r="H24" s="822"/>
      <c r="I24" s="822"/>
      <c r="J24" s="822"/>
      <c r="K24" s="822"/>
      <c r="L24" s="12"/>
      <c r="M24" s="12"/>
      <c r="N24" s="12"/>
      <c r="O24" s="872" t="str">
        <f>ФИО</f>
        <v>Иванова Е.П.</v>
      </c>
      <c r="P24" s="865"/>
      <c r="Q24" s="865"/>
      <c r="R24" s="865"/>
      <c r="S24" s="865"/>
      <c r="T24" s="865"/>
      <c r="U24" s="873">
        <f ca="1">NOW()</f>
        <v>42601.314983912038</v>
      </c>
      <c r="V24" s="874"/>
    </row>
    <row r="25" spans="1:23" ht="15.75" x14ac:dyDescent="0.25">
      <c r="A25" s="12"/>
      <c r="B25" s="822"/>
      <c r="C25" s="822"/>
      <c r="D25" s="822"/>
      <c r="E25" s="822"/>
      <c r="F25" s="822"/>
      <c r="G25" s="822"/>
      <c r="H25" s="822"/>
      <c r="I25" s="822"/>
      <c r="J25" s="822"/>
      <c r="K25" s="822"/>
      <c r="L25" s="103" t="s">
        <v>370</v>
      </c>
      <c r="M25" s="103"/>
      <c r="N25" s="103"/>
      <c r="O25" s="103"/>
      <c r="P25" s="103"/>
      <c r="Q25" s="103"/>
      <c r="R25" s="103"/>
      <c r="S25" s="103"/>
      <c r="T25" s="103"/>
      <c r="U25" s="103"/>
      <c r="V25" s="103"/>
    </row>
    <row r="26" spans="1:23" x14ac:dyDescent="0.25">
      <c r="A26" s="18" t="s">
        <v>358</v>
      </c>
      <c r="B26" s="860" t="s">
        <v>1474</v>
      </c>
      <c r="C26" s="822"/>
      <c r="D26" s="822"/>
      <c r="E26" s="822"/>
      <c r="F26" s="822"/>
      <c r="G26" s="822"/>
      <c r="H26" s="822"/>
      <c r="I26" s="822"/>
      <c r="J26" s="822"/>
      <c r="K26" s="822"/>
      <c r="L26" s="103" t="s">
        <v>371</v>
      </c>
      <c r="M26" s="103"/>
      <c r="N26" s="103"/>
      <c r="O26" s="103"/>
      <c r="P26" s="103"/>
      <c r="Q26" s="103"/>
      <c r="R26" s="103"/>
      <c r="S26" s="103"/>
      <c r="T26" s="103"/>
      <c r="U26" s="103"/>
      <c r="V26" s="103"/>
    </row>
    <row r="27" spans="1:23" ht="15.75" x14ac:dyDescent="0.25">
      <c r="A27" s="12" t="s">
        <v>408</v>
      </c>
      <c r="B27" s="822"/>
      <c r="C27" s="822"/>
      <c r="D27" s="822"/>
      <c r="E27" s="822"/>
      <c r="F27" s="822"/>
      <c r="G27" s="822"/>
      <c r="H27" s="822"/>
      <c r="I27" s="822"/>
      <c r="J27" s="822"/>
      <c r="K27" s="822"/>
      <c r="L27" s="103" t="s">
        <v>1478</v>
      </c>
      <c r="M27" s="103"/>
      <c r="N27" s="103"/>
      <c r="O27" s="103"/>
      <c r="P27" s="103"/>
      <c r="Q27" s="103"/>
      <c r="R27" s="103"/>
      <c r="S27" s="103"/>
      <c r="T27" s="103"/>
      <c r="U27" s="103"/>
      <c r="V27" s="103"/>
    </row>
    <row r="28" spans="1:23" ht="15.75" x14ac:dyDescent="0.25">
      <c r="A28" s="12"/>
      <c r="B28" s="822"/>
      <c r="C28" s="822"/>
      <c r="D28" s="822"/>
      <c r="E28" s="822"/>
      <c r="F28" s="822"/>
      <c r="G28" s="822"/>
      <c r="H28" s="822"/>
      <c r="I28" s="822"/>
      <c r="J28" s="822"/>
      <c r="K28" s="822"/>
      <c r="L28" s="103"/>
      <c r="M28" s="103"/>
      <c r="N28" s="103"/>
      <c r="O28" s="103"/>
      <c r="P28" s="103"/>
      <c r="Q28" s="740" t="s">
        <v>372</v>
      </c>
      <c r="R28" s="103"/>
      <c r="S28" s="103"/>
      <c r="T28" s="103"/>
      <c r="U28" s="103"/>
      <c r="V28" s="103"/>
    </row>
    <row r="29" spans="1:23" ht="15.75" x14ac:dyDescent="0.25">
      <c r="A29" s="12"/>
      <c r="B29" s="822"/>
      <c r="C29" s="822"/>
      <c r="D29" s="822"/>
      <c r="E29" s="822"/>
      <c r="F29" s="822"/>
      <c r="G29" s="822"/>
      <c r="H29" s="822"/>
      <c r="I29" s="822"/>
      <c r="J29" s="822"/>
      <c r="K29" s="822"/>
      <c r="L29" s="103" t="s">
        <v>1479</v>
      </c>
      <c r="M29" s="103"/>
      <c r="N29" s="103"/>
      <c r="O29" s="103"/>
      <c r="P29" s="103"/>
      <c r="Q29" s="103"/>
      <c r="R29" s="103"/>
      <c r="S29" s="103"/>
      <c r="T29" s="103"/>
      <c r="U29" s="103"/>
      <c r="V29" s="103"/>
    </row>
    <row r="30" spans="1:23" ht="15.75" x14ac:dyDescent="0.25">
      <c r="A30" s="12"/>
      <c r="B30" s="822"/>
      <c r="C30" s="822"/>
      <c r="D30" s="822"/>
      <c r="E30" s="822"/>
      <c r="F30" s="822"/>
      <c r="G30" s="822"/>
      <c r="H30" s="822"/>
      <c r="I30" s="822"/>
      <c r="J30" s="822"/>
      <c r="K30" s="822"/>
      <c r="L30" s="103"/>
      <c r="M30" s="103"/>
      <c r="N30" s="103"/>
      <c r="O30" s="103"/>
      <c r="P30" s="103"/>
      <c r="Q30" s="740" t="s">
        <v>373</v>
      </c>
      <c r="R30" s="103"/>
      <c r="S30" s="103"/>
      <c r="T30" s="103"/>
      <c r="U30" s="103"/>
      <c r="V30" s="103"/>
    </row>
    <row r="31" spans="1:23" x14ac:dyDescent="0.25">
      <c r="A31" s="18" t="s">
        <v>359</v>
      </c>
      <c r="B31" s="862" t="s">
        <v>1475</v>
      </c>
      <c r="C31" s="822"/>
      <c r="D31" s="822"/>
      <c r="E31" s="822"/>
      <c r="F31" s="822"/>
      <c r="G31" s="822"/>
      <c r="H31" s="822"/>
      <c r="I31" s="822"/>
      <c r="J31" s="822"/>
      <c r="K31" s="822"/>
      <c r="L31" s="103" t="s">
        <v>374</v>
      </c>
      <c r="M31" s="103"/>
      <c r="N31" s="103"/>
      <c r="O31" s="103"/>
      <c r="P31" s="103"/>
      <c r="Q31" s="741" t="str">
        <f>Лечащий_врач</f>
        <v>Еременко А. Н.</v>
      </c>
      <c r="R31" s="103" t="s">
        <v>189</v>
      </c>
      <c r="S31" s="103"/>
      <c r="T31" s="103"/>
      <c r="U31" s="103"/>
      <c r="V31" s="103"/>
    </row>
    <row r="32" spans="1:23" ht="15.75" x14ac:dyDescent="0.25">
      <c r="A32" s="12"/>
      <c r="B32" s="822"/>
      <c r="C32" s="822"/>
      <c r="D32" s="822"/>
      <c r="E32" s="822"/>
      <c r="F32" s="822"/>
      <c r="G32" s="822"/>
      <c r="H32" s="822"/>
      <c r="I32" s="822"/>
      <c r="J32" s="822"/>
      <c r="K32" s="822"/>
      <c r="L32" s="103"/>
      <c r="M32" s="103"/>
      <c r="N32" s="103"/>
      <c r="O32" s="103"/>
      <c r="P32" s="103"/>
      <c r="Q32" s="103"/>
      <c r="R32" s="103"/>
      <c r="S32" s="740" t="s">
        <v>375</v>
      </c>
      <c r="T32" s="103"/>
      <c r="U32" s="103"/>
      <c r="V32" s="103"/>
    </row>
    <row r="33" spans="1:22" ht="15.75" x14ac:dyDescent="0.25">
      <c r="A33" s="3"/>
      <c r="B33" s="822"/>
      <c r="C33" s="822"/>
      <c r="D33" s="822"/>
      <c r="E33" s="822"/>
      <c r="F33" s="822"/>
      <c r="G33" s="822"/>
      <c r="H33" s="822"/>
      <c r="I33" s="822"/>
      <c r="J33" s="822"/>
      <c r="K33" s="822"/>
      <c r="L33" s="103" t="s">
        <v>1479</v>
      </c>
      <c r="M33" s="103"/>
      <c r="N33" s="103"/>
      <c r="O33" s="103"/>
      <c r="P33" s="103"/>
      <c r="Q33" s="103"/>
      <c r="R33" s="103"/>
      <c r="S33" s="103"/>
      <c r="T33" s="103"/>
      <c r="U33" s="103"/>
      <c r="V33" s="103"/>
    </row>
    <row r="34" spans="1:22" x14ac:dyDescent="0.25">
      <c r="A34" s="18" t="s">
        <v>2706</v>
      </c>
      <c r="B34" s="861" t="s">
        <v>2707</v>
      </c>
      <c r="C34" s="853"/>
      <c r="D34" s="853"/>
      <c r="E34" s="853"/>
      <c r="F34" s="853"/>
      <c r="G34" s="853"/>
      <c r="H34" s="853"/>
      <c r="I34" s="853"/>
      <c r="J34" s="853"/>
      <c r="K34" s="853"/>
      <c r="L34" s="103"/>
      <c r="M34" s="103"/>
      <c r="N34" s="103"/>
      <c r="O34" s="103"/>
      <c r="P34" s="103"/>
      <c r="Q34" s="740" t="s">
        <v>376</v>
      </c>
      <c r="R34" s="103"/>
      <c r="S34" s="103"/>
      <c r="T34" s="103"/>
      <c r="U34" s="103"/>
      <c r="V34" s="103"/>
    </row>
    <row r="35" spans="1:22" ht="30.75" customHeight="1" x14ac:dyDescent="0.25">
      <c r="B35" s="853"/>
      <c r="C35" s="853"/>
      <c r="D35" s="853"/>
      <c r="E35" s="853"/>
      <c r="F35" s="853"/>
      <c r="G35" s="853"/>
      <c r="H35" s="853"/>
      <c r="I35" s="853"/>
      <c r="J35" s="853"/>
      <c r="K35" s="853"/>
      <c r="L35" s="103"/>
      <c r="M35" s="103"/>
      <c r="N35" s="103"/>
      <c r="O35" s="103"/>
      <c r="P35" s="103"/>
      <c r="Q35" s="103"/>
      <c r="R35" s="103"/>
      <c r="S35" s="103"/>
      <c r="T35" s="103"/>
      <c r="U35" s="103"/>
      <c r="V35" s="103"/>
    </row>
    <row r="36" spans="1:22" ht="18.75" customHeight="1" x14ac:dyDescent="0.3">
      <c r="B36" s="858">
        <f ca="1">NOW()</f>
        <v>42601.314983912038</v>
      </c>
      <c r="C36" s="859"/>
      <c r="D36" s="859"/>
      <c r="I36" s="9" t="s">
        <v>2708</v>
      </c>
      <c r="K36" s="164"/>
      <c r="L36" s="742" t="s">
        <v>2695</v>
      </c>
      <c r="M36" s="103"/>
      <c r="N36" s="103"/>
      <c r="O36" s="103"/>
      <c r="P36" s="103"/>
      <c r="Q36" s="103"/>
      <c r="R36" s="103" t="s">
        <v>369</v>
      </c>
      <c r="S36" s="103"/>
      <c r="T36" s="103"/>
      <c r="U36" s="103"/>
      <c r="V36" s="103"/>
    </row>
    <row r="37" spans="1:22" x14ac:dyDescent="0.25">
      <c r="I37" s="48" t="s">
        <v>361</v>
      </c>
      <c r="L37" s="103"/>
      <c r="M37" s="103"/>
      <c r="N37" s="103"/>
      <c r="O37" s="103"/>
      <c r="P37" s="103"/>
      <c r="Q37" s="103"/>
      <c r="R37" s="103"/>
      <c r="S37" s="103"/>
      <c r="T37" s="103"/>
      <c r="U37" s="743"/>
      <c r="V37" s="103"/>
    </row>
    <row r="38" spans="1:22" x14ac:dyDescent="0.25">
      <c r="L38" s="103" t="s">
        <v>370</v>
      </c>
      <c r="M38" s="103"/>
      <c r="N38" s="103"/>
      <c r="O38" s="103"/>
      <c r="P38" s="103"/>
      <c r="Q38" s="103"/>
      <c r="R38" s="103"/>
      <c r="S38" s="103"/>
      <c r="T38" s="103"/>
      <c r="U38" s="103"/>
      <c r="V38" s="103"/>
    </row>
    <row r="39" spans="1:22" ht="15.75" x14ac:dyDescent="0.25">
      <c r="B39" s="2" t="s">
        <v>1418</v>
      </c>
      <c r="L39" s="103" t="s">
        <v>371</v>
      </c>
      <c r="M39" s="103"/>
      <c r="N39" s="103"/>
      <c r="O39" s="103"/>
      <c r="P39" s="103"/>
      <c r="Q39" s="103"/>
      <c r="R39" s="103"/>
      <c r="S39" s="103"/>
      <c r="T39" s="103"/>
      <c r="U39" s="103"/>
      <c r="V39" s="103"/>
    </row>
    <row r="40" spans="1:22" ht="15.75" x14ac:dyDescent="0.25">
      <c r="B40" s="2" t="s">
        <v>1419</v>
      </c>
      <c r="L40" s="103" t="s">
        <v>1478</v>
      </c>
      <c r="M40" s="103"/>
      <c r="N40" s="103"/>
      <c r="O40" s="103"/>
      <c r="P40" s="103"/>
      <c r="Q40" s="103"/>
      <c r="R40" s="103"/>
      <c r="S40" s="103"/>
      <c r="T40" s="103"/>
      <c r="U40" s="103"/>
      <c r="V40" s="103"/>
    </row>
    <row r="41" spans="1:22" ht="15.75" x14ac:dyDescent="0.25">
      <c r="B41" s="47" t="s">
        <v>1420</v>
      </c>
      <c r="L41" s="103"/>
      <c r="M41" s="103"/>
      <c r="N41" s="103"/>
      <c r="O41" s="103"/>
      <c r="P41" s="103"/>
      <c r="Q41" s="740" t="s">
        <v>372</v>
      </c>
      <c r="R41" s="103"/>
      <c r="S41" s="103"/>
      <c r="T41" s="103"/>
      <c r="U41" s="103"/>
      <c r="V41" s="103"/>
    </row>
    <row r="42" spans="1:22" ht="15.75" x14ac:dyDescent="0.25">
      <c r="C42" s="12" t="s">
        <v>1421</v>
      </c>
      <c r="H42" s="1" t="s">
        <v>1422</v>
      </c>
      <c r="L42" s="103" t="s">
        <v>1479</v>
      </c>
      <c r="M42" s="103"/>
      <c r="N42" s="103"/>
      <c r="O42" s="103"/>
      <c r="P42" s="103"/>
      <c r="Q42" s="103"/>
      <c r="R42" s="103"/>
      <c r="S42" s="103"/>
      <c r="T42" s="103"/>
      <c r="U42" s="103"/>
      <c r="V42" s="103"/>
    </row>
    <row r="43" spans="1:22" x14ac:dyDescent="0.25">
      <c r="L43" s="103"/>
      <c r="M43" s="103"/>
      <c r="N43" s="103"/>
      <c r="O43" s="103"/>
      <c r="P43" s="103"/>
      <c r="Q43" s="740" t="s">
        <v>373</v>
      </c>
      <c r="R43" s="103"/>
      <c r="S43" s="103"/>
      <c r="T43" s="103"/>
      <c r="U43" s="103"/>
      <c r="V43" s="103"/>
    </row>
    <row r="44" spans="1:22" x14ac:dyDescent="0.25">
      <c r="B44" s="742" t="s">
        <v>2696</v>
      </c>
      <c r="C44" s="103"/>
      <c r="D44" s="103"/>
      <c r="E44" s="103"/>
      <c r="F44" s="103"/>
      <c r="G44" s="103"/>
      <c r="H44" s="103" t="s">
        <v>2697</v>
      </c>
      <c r="I44" s="103"/>
      <c r="J44" s="103" t="str">
        <f>Лечащий_врач</f>
        <v>Еременко А. Н.</v>
      </c>
      <c r="K44" s="103"/>
      <c r="L44" s="103" t="s">
        <v>374</v>
      </c>
      <c r="M44" s="103"/>
      <c r="N44" s="103"/>
      <c r="O44" s="103"/>
      <c r="P44" s="103"/>
      <c r="Q44" s="741" t="str">
        <f>Лечащий_врач</f>
        <v>Еременко А. Н.</v>
      </c>
      <c r="R44" s="103" t="s">
        <v>189</v>
      </c>
      <c r="S44" s="103"/>
      <c r="T44" s="103"/>
      <c r="U44" s="103"/>
      <c r="V44" s="103"/>
    </row>
    <row r="45" spans="1:22" x14ac:dyDescent="0.25">
      <c r="B45" s="103"/>
      <c r="C45" s="103"/>
      <c r="D45" s="103"/>
      <c r="E45" s="103"/>
      <c r="F45" s="103"/>
      <c r="G45" s="103"/>
      <c r="H45" s="103"/>
      <c r="I45" s="103" t="s">
        <v>325</v>
      </c>
      <c r="J45" s="103" t="s">
        <v>362</v>
      </c>
      <c r="K45" s="103"/>
      <c r="L45" s="103"/>
      <c r="M45" s="103"/>
      <c r="N45" s="103"/>
      <c r="O45" s="103"/>
      <c r="P45" s="103"/>
      <c r="Q45" s="103"/>
      <c r="R45" s="103"/>
      <c r="S45" s="740" t="s">
        <v>375</v>
      </c>
      <c r="T45" s="103"/>
      <c r="U45" s="103"/>
      <c r="V45" s="103"/>
    </row>
    <row r="46" spans="1:22" x14ac:dyDescent="0.25">
      <c r="B46" s="742" t="str">
        <f>IF(И.О.ЗАВ.ОТД.=1,"И.о. зав. 36 урологическим отделением","Заведующий урологическим отделением")</f>
        <v>Заведующий урологическим отделением</v>
      </c>
      <c r="C46" s="103"/>
      <c r="D46" s="103"/>
      <c r="E46" s="103"/>
      <c r="F46" s="103"/>
      <c r="G46" s="103"/>
      <c r="H46" s="103" t="s">
        <v>363</v>
      </c>
      <c r="I46" s="103"/>
      <c r="J46" s="103" t="str">
        <f>Зав.отд.</f>
        <v>Еременко С. Н.</v>
      </c>
      <c r="K46" s="103"/>
      <c r="L46" s="103" t="s">
        <v>1479</v>
      </c>
      <c r="M46" s="103"/>
      <c r="N46" s="103"/>
      <c r="O46" s="103"/>
      <c r="P46" s="103"/>
      <c r="Q46" s="103"/>
      <c r="R46" s="103"/>
      <c r="S46" s="103"/>
      <c r="T46" s="103"/>
      <c r="U46" s="103"/>
      <c r="V46" s="103"/>
    </row>
    <row r="47" spans="1:22" x14ac:dyDescent="0.25">
      <c r="B47" s="103"/>
      <c r="C47" s="103"/>
      <c r="D47" s="103"/>
      <c r="E47" s="103"/>
      <c r="F47" s="103"/>
      <c r="G47" s="103"/>
      <c r="H47" s="103" t="s">
        <v>325</v>
      </c>
      <c r="I47" s="103" t="s">
        <v>362</v>
      </c>
      <c r="J47" s="103"/>
      <c r="K47" s="103"/>
      <c r="L47" s="103"/>
      <c r="M47" s="103"/>
      <c r="N47" s="103"/>
      <c r="O47" s="103"/>
      <c r="P47" s="103"/>
      <c r="Q47" s="740" t="s">
        <v>376</v>
      </c>
      <c r="R47" s="103"/>
      <c r="S47" s="103"/>
      <c r="T47" s="103"/>
      <c r="U47" s="103"/>
      <c r="V47" s="103"/>
    </row>
    <row r="48" spans="1:22" x14ac:dyDescent="0.25">
      <c r="L48" s="103"/>
      <c r="M48" s="103"/>
      <c r="N48" s="103"/>
      <c r="O48" s="103"/>
      <c r="P48" s="103"/>
      <c r="Q48" s="103"/>
      <c r="R48" s="103"/>
      <c r="S48" s="103"/>
      <c r="T48" s="103"/>
      <c r="U48" s="103"/>
      <c r="V48" s="103"/>
    </row>
    <row r="49" spans="12:22" x14ac:dyDescent="0.25">
      <c r="L49" s="103"/>
      <c r="M49" s="103"/>
      <c r="N49" s="103"/>
      <c r="O49" s="103"/>
      <c r="P49" s="103"/>
      <c r="Q49" s="103"/>
      <c r="R49" s="103"/>
      <c r="S49" s="103"/>
      <c r="T49" s="103"/>
      <c r="U49" s="103"/>
      <c r="V49" s="103"/>
    </row>
  </sheetData>
  <sheetProtection formatCells="0" formatRows="0"/>
  <mergeCells count="18">
    <mergeCell ref="B14:K15"/>
    <mergeCell ref="A17:K17"/>
    <mergeCell ref="B36:D36"/>
    <mergeCell ref="B26:K30"/>
    <mergeCell ref="B34:K35"/>
    <mergeCell ref="B31:K33"/>
    <mergeCell ref="N9:U9"/>
    <mergeCell ref="B11:J11"/>
    <mergeCell ref="B20:K23"/>
    <mergeCell ref="B24:K25"/>
    <mergeCell ref="A10:K10"/>
    <mergeCell ref="L11:U16"/>
    <mergeCell ref="L17:U21"/>
    <mergeCell ref="O24:T24"/>
    <mergeCell ref="U24:V24"/>
    <mergeCell ref="A18:K19"/>
    <mergeCell ref="D12:K13"/>
    <mergeCell ref="A12:C13"/>
  </mergeCells>
  <pageMargins left="0.82499999999999996" right="0.4375" top="0.75" bottom="0.75" header="0.3" footer="0.3"/>
  <pageSetup paperSize="9"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theme="9" tint="-0.249977111117893"/>
  </sheetPr>
  <dimension ref="A1:M68"/>
  <sheetViews>
    <sheetView view="pageBreakPreview" zoomScale="85" zoomScaleNormal="100" zoomScaleSheetLayoutView="85" zoomScalePageLayoutView="85" workbookViewId="0">
      <selection activeCell="C3" sqref="C3:F3"/>
    </sheetView>
  </sheetViews>
  <sheetFormatPr defaultRowHeight="15" x14ac:dyDescent="0.25"/>
  <cols>
    <col min="1" max="1" width="13.85546875" style="177" customWidth="1"/>
    <col min="2" max="2" width="11" style="125" customWidth="1"/>
    <col min="3" max="3" width="9.140625" style="125" customWidth="1"/>
    <col min="4" max="4" width="11.85546875" style="125" customWidth="1"/>
    <col min="5" max="6" width="9.140625" style="125"/>
    <col min="7" max="7" width="13.140625" style="125" customWidth="1"/>
    <col min="8" max="8" width="18.85546875" style="125" bestFit="1" customWidth="1"/>
    <col min="9" max="9" width="15.7109375" style="125" customWidth="1"/>
    <col min="10" max="10" width="7.140625" style="125" customWidth="1"/>
    <col min="11" max="11" width="94" style="481" hidden="1" customWidth="1"/>
    <col min="12" max="12" width="77" style="481" hidden="1" customWidth="1"/>
    <col min="13" max="13" width="72.85546875" style="481" hidden="1" customWidth="1"/>
    <col min="14" max="14" width="9.140625" style="125"/>
    <col min="15" max="15" width="12.140625" style="125" customWidth="1"/>
    <col min="16" max="16384" width="9.140625" style="125"/>
  </cols>
  <sheetData>
    <row r="1" spans="1:13" ht="18.75" x14ac:dyDescent="0.25">
      <c r="E1" s="484" t="s">
        <v>2676</v>
      </c>
    </row>
    <row r="2" spans="1:13" ht="18.75" x14ac:dyDescent="0.25">
      <c r="E2" s="484"/>
    </row>
    <row r="3" spans="1:13" x14ac:dyDescent="0.25">
      <c r="B3" s="485" t="s">
        <v>33</v>
      </c>
      <c r="C3" s="896" t="s">
        <v>2801</v>
      </c>
      <c r="D3" s="897"/>
      <c r="E3" s="897"/>
      <c r="F3" s="898"/>
      <c r="G3" s="7" t="s">
        <v>19</v>
      </c>
      <c r="H3" s="17">
        <f>Данные!C5</f>
        <v>5903</v>
      </c>
      <c r="I3" s="7"/>
    </row>
    <row r="4" spans="1:13" x14ac:dyDescent="0.25">
      <c r="B4" s="485" t="str">
        <f>Данные!B8</f>
        <v>дата рождения</v>
      </c>
      <c r="C4" s="486"/>
      <c r="D4" s="487">
        <f>№_и_б</f>
        <v>21949</v>
      </c>
      <c r="E4" s="488" t="s">
        <v>35</v>
      </c>
      <c r="G4" s="7" t="s">
        <v>22</v>
      </c>
      <c r="H4" s="488">
        <f>Телефон</f>
        <v>0</v>
      </c>
      <c r="I4" s="7"/>
    </row>
    <row r="5" spans="1:13" x14ac:dyDescent="0.25">
      <c r="B5" s="485" t="s">
        <v>21</v>
      </c>
      <c r="C5" s="899">
        <f>Место_жительства</f>
        <v>0</v>
      </c>
      <c r="D5" s="897"/>
      <c r="E5" s="897"/>
      <c r="F5" s="897"/>
      <c r="G5" s="898"/>
      <c r="H5" s="898"/>
      <c r="I5" s="898"/>
    </row>
    <row r="6" spans="1:13" x14ac:dyDescent="0.25">
      <c r="B6" s="485" t="s">
        <v>23</v>
      </c>
      <c r="D6" s="900">
        <f>дата_поступления</f>
        <v>42592</v>
      </c>
      <c r="E6" s="901"/>
    </row>
    <row r="8" spans="1:13" x14ac:dyDescent="0.25">
      <c r="B8" s="7" t="s">
        <v>71</v>
      </c>
      <c r="C8" s="7"/>
      <c r="D8" s="7"/>
      <c r="E8" s="7"/>
      <c r="F8" s="7"/>
      <c r="G8" s="7"/>
      <c r="H8" s="7"/>
      <c r="I8" s="7"/>
    </row>
    <row r="9" spans="1:13" ht="30.75" customHeight="1" x14ac:dyDescent="0.25">
      <c r="B9" s="893"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C9" s="893"/>
      <c r="D9" s="893"/>
      <c r="E9" s="893"/>
      <c r="F9" s="893"/>
      <c r="G9" s="893"/>
      <c r="H9" s="893"/>
      <c r="I9" s="893"/>
      <c r="K9" s="481" t="str">
        <f>B9</f>
        <v>МКБ, рецидив. Резидуальный камень н\чашки справа 20 мм.                                                                                                                                                                                                                                                                                                                                                           Гидронефроз справа 1 ст. Хронический калькулезный пиелонефрит , латентное течение. ХПН 0-1</v>
      </c>
    </row>
    <row r="10" spans="1:13" x14ac:dyDescent="0.25">
      <c r="B10" s="7" t="str">
        <f>IF(Сопутствующий_диагноз=0, " ", "Сопутствующий диагноз:")</f>
        <v>Сопутствующий диагноз:</v>
      </c>
      <c r="C10" s="7"/>
      <c r="D10" s="7"/>
      <c r="E10" s="7"/>
      <c r="F10" s="7"/>
      <c r="G10" s="7"/>
      <c r="H10" s="7"/>
      <c r="I10" s="7"/>
    </row>
    <row r="11" spans="1:13" s="175" customFormat="1" x14ac:dyDescent="0.25">
      <c r="A11" s="502"/>
      <c r="B11" s="894" t="str">
        <f>IF(Сопутствующий_диагноз=0, " ", Сопутствующий_диагноз)</f>
        <v xml:space="preserve">ИБС: АКС. САГ 2 ст, 2 ст, риск 3. Ожирение 3-4 ст. П\о вентральная грыжа. </v>
      </c>
      <c r="C11" s="894"/>
      <c r="D11" s="894"/>
      <c r="E11" s="894"/>
      <c r="F11" s="894"/>
      <c r="G11" s="894"/>
      <c r="H11" s="894"/>
      <c r="I11" s="894"/>
      <c r="K11" s="481" t="str">
        <f>B11</f>
        <v xml:space="preserve">ИБС: АКС. САГ 2 ст, 2 ст, риск 3. Ожирение 3-4 ст. П\о вентральная грыжа. </v>
      </c>
      <c r="L11" s="481"/>
      <c r="M11" s="481"/>
    </row>
    <row r="13" spans="1:13" ht="18" customHeight="1" x14ac:dyDescent="0.25">
      <c r="B13" s="839" t="str">
        <f>Показание_для_операции</f>
        <v xml:space="preserve">Наличие камня н\ чашки почки, вызывающего  воспаление и нарушение функции почек. </v>
      </c>
      <c r="C13" s="839"/>
      <c r="D13" s="839"/>
      <c r="E13" s="839"/>
      <c r="F13" s="839"/>
      <c r="G13" s="839"/>
      <c r="H13" s="839"/>
      <c r="I13" s="839"/>
      <c r="K13" s="481" t="str">
        <f>B13</f>
        <v xml:space="preserve">Наличие камня н\ чашки почки, вызывающего  воспаление и нарушение функции почек. </v>
      </c>
    </row>
    <row r="14" spans="1:13" x14ac:dyDescent="0.25">
      <c r="B14" s="167" t="s">
        <v>73</v>
      </c>
    </row>
    <row r="15" spans="1:13" ht="34.5" customHeight="1" x14ac:dyDescent="0.25">
      <c r="B15" s="895" t="str">
        <f>Планируемое_оперативное_вмешательство__проведенное</f>
        <v xml:space="preserve">Комбинированная нефролитолапаксия. Стентирование справа. </v>
      </c>
      <c r="C15" s="895"/>
      <c r="D15" s="895"/>
      <c r="E15" s="895"/>
      <c r="F15" s="895"/>
      <c r="G15" s="895"/>
      <c r="H15" s="895"/>
      <c r="I15" s="895"/>
      <c r="K15" s="481" t="str">
        <f>B15</f>
        <v xml:space="preserve">Комбинированная нефролитолапаксия. Стентирование справа. </v>
      </c>
    </row>
    <row r="17" spans="1:11" x14ac:dyDescent="0.25">
      <c r="B17" s="125" t="s">
        <v>74</v>
      </c>
      <c r="E17" s="125" t="str">
        <f>Лечащий_врач</f>
        <v>Еременко А. Н.</v>
      </c>
    </row>
    <row r="19" spans="1:11" x14ac:dyDescent="0.25">
      <c r="B19" s="125" t="str">
        <f>IF(И.О.ЗАВ.ОТД.=1,"И.о. зав.отд.","Зав.отд.")</f>
        <v>Зав.отд.</v>
      </c>
      <c r="E19" s="125" t="str">
        <f>Зав.отд.</f>
        <v>Еременко С. Н.</v>
      </c>
    </row>
    <row r="23" spans="1:11" x14ac:dyDescent="0.25">
      <c r="A23" s="178"/>
      <c r="B23" s="17"/>
      <c r="C23" s="17"/>
      <c r="D23" s="17"/>
      <c r="E23" s="486" t="s">
        <v>2417</v>
      </c>
      <c r="F23" s="17"/>
      <c r="G23" s="17"/>
      <c r="H23" s="17"/>
      <c r="I23" s="17"/>
    </row>
    <row r="24" spans="1:11" x14ac:dyDescent="0.25">
      <c r="A24" s="178"/>
      <c r="B24" s="17"/>
      <c r="C24" s="17"/>
      <c r="D24" s="17"/>
      <c r="E24" s="486" t="s">
        <v>2418</v>
      </c>
      <c r="F24" s="17"/>
      <c r="G24" s="17"/>
      <c r="H24" s="17"/>
      <c r="I24" s="17"/>
    </row>
    <row r="25" spans="1:11" x14ac:dyDescent="0.25">
      <c r="A25" s="178"/>
      <c r="B25" s="17"/>
      <c r="C25" s="17"/>
      <c r="D25" s="17"/>
      <c r="E25" s="489" t="s">
        <v>78</v>
      </c>
      <c r="F25" s="17"/>
      <c r="G25" s="17"/>
      <c r="H25" s="17"/>
      <c r="I25" s="17"/>
    </row>
    <row r="26" spans="1:11" x14ac:dyDescent="0.25">
      <c r="A26" s="503" t="s">
        <v>1408</v>
      </c>
      <c r="B26" s="918" t="str">
        <f>ФИО</f>
        <v>Иванова Е.П.</v>
      </c>
      <c r="C26" s="918"/>
      <c r="D26" s="918"/>
      <c r="E26" s="490" t="s">
        <v>79</v>
      </c>
      <c r="F26" s="491">
        <f>Данные!C5</f>
        <v>5903</v>
      </c>
      <c r="G26" s="490" t="s">
        <v>80</v>
      </c>
      <c r="H26" s="492">
        <f>Телефон</f>
        <v>0</v>
      </c>
      <c r="I26" s="493"/>
    </row>
    <row r="27" spans="1:11" x14ac:dyDescent="0.25">
      <c r="A27" s="503" t="s">
        <v>1407</v>
      </c>
      <c r="B27" s="921">
        <f>дата_поступления</f>
        <v>42592</v>
      </c>
      <c r="C27" s="922"/>
      <c r="D27" s="492"/>
      <c r="E27" s="492"/>
      <c r="F27" s="492"/>
      <c r="G27" s="492"/>
      <c r="H27" s="492"/>
      <c r="I27" s="493"/>
    </row>
    <row r="28" spans="1:11" x14ac:dyDescent="0.25">
      <c r="A28" s="503" t="s">
        <v>8</v>
      </c>
      <c r="B28" s="880" t="str">
        <f>Жалобы</f>
        <v>боли в поясничной области;справа</v>
      </c>
      <c r="C28" s="881"/>
      <c r="D28" s="881"/>
      <c r="E28" s="881"/>
      <c r="F28" s="881"/>
      <c r="G28" s="881"/>
      <c r="H28" s="881"/>
      <c r="I28" s="882"/>
      <c r="K28" s="481" t="str">
        <f>B28</f>
        <v>боли в поясничной области;справа</v>
      </c>
    </row>
    <row r="29" spans="1:11" x14ac:dyDescent="0.25">
      <c r="A29" s="923" t="s">
        <v>191</v>
      </c>
      <c r="B29" s="494" t="s">
        <v>71</v>
      </c>
      <c r="C29" s="494"/>
      <c r="D29" s="494"/>
      <c r="E29" s="494"/>
      <c r="F29" s="494"/>
      <c r="G29" s="494"/>
      <c r="H29" s="494"/>
      <c r="I29" s="495"/>
    </row>
    <row r="30" spans="1:11" ht="43.5" customHeight="1" x14ac:dyDescent="0.25">
      <c r="A30" s="924"/>
      <c r="B30" s="838"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C30" s="838"/>
      <c r="D30" s="838"/>
      <c r="E30" s="838"/>
      <c r="F30" s="838"/>
      <c r="G30" s="838"/>
      <c r="H30" s="838"/>
      <c r="I30" s="919"/>
      <c r="K30" s="481" t="str">
        <f>B30</f>
        <v>МКБ, рецидив. Резидуальный камень н\чашки справа 20 мм.                                                                                                                                                                                                                                                                                                                                                           Гидронефроз справа 1 ст. Хронический калькулезный пиелонефрит , латентное течение. ХПН 0-1</v>
      </c>
    </row>
    <row r="31" spans="1:11" x14ac:dyDescent="0.25">
      <c r="A31" s="924"/>
      <c r="B31" s="7" t="str">
        <f>IF(Сопутствующий_диагноз=0, " ", "Сопутствующий диагноз:")</f>
        <v>Сопутствующий диагноз:</v>
      </c>
      <c r="C31" s="7"/>
      <c r="D31" s="7"/>
      <c r="E31" s="7"/>
      <c r="F31" s="7"/>
      <c r="G31" s="7"/>
      <c r="H31" s="7"/>
      <c r="I31" s="496"/>
    </row>
    <row r="32" spans="1:11" x14ac:dyDescent="0.25">
      <c r="A32" s="925"/>
      <c r="B32" s="889" t="str">
        <f>IF(Сопутствующий_диагноз=0, " ", Сопутствующий_диагноз)</f>
        <v xml:space="preserve">ИБС: АКС. САГ 2 ст, 2 ст, риск 3. Ожирение 3-4 ст. П\о вентральная грыжа. </v>
      </c>
      <c r="C32" s="889"/>
      <c r="D32" s="889"/>
      <c r="E32" s="889"/>
      <c r="F32" s="889"/>
      <c r="G32" s="889"/>
      <c r="H32" s="889"/>
      <c r="I32" s="890"/>
      <c r="K32" s="481" t="str">
        <f>B32</f>
        <v xml:space="preserve">ИБС: АКС. САГ 2 ст, 2 ст, риск 3. Ожирение 3-4 ст. П\о вентральная грыжа. </v>
      </c>
    </row>
    <row r="33" spans="1:13" x14ac:dyDescent="0.25">
      <c r="A33" s="923" t="s">
        <v>1406</v>
      </c>
      <c r="B33" s="494" t="s">
        <v>26</v>
      </c>
      <c r="C33" s="494"/>
      <c r="D33" s="494"/>
      <c r="E33" s="494"/>
      <c r="F33" s="494"/>
      <c r="G33" s="494"/>
      <c r="H33" s="494"/>
      <c r="I33" s="495"/>
    </row>
    <row r="34" spans="1:13" ht="70.5" customHeight="1" x14ac:dyDescent="0.25">
      <c r="A34" s="924"/>
      <c r="B34" s="894" t="str">
        <f>Anamnesis_morbi</f>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c r="C34" s="894"/>
      <c r="D34" s="894"/>
      <c r="E34" s="894"/>
      <c r="F34" s="894"/>
      <c r="G34" s="894"/>
      <c r="H34" s="894"/>
      <c r="I34" s="920"/>
      <c r="K34" s="481" t="str">
        <f>B34</f>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row>
    <row r="35" spans="1:13" x14ac:dyDescent="0.25">
      <c r="A35" s="924"/>
      <c r="B35" s="7" t="s">
        <v>27</v>
      </c>
      <c r="C35" s="7"/>
      <c r="D35" s="7"/>
      <c r="E35" s="7"/>
      <c r="F35" s="7"/>
      <c r="G35" s="7"/>
      <c r="H35" s="7"/>
      <c r="I35" s="496"/>
    </row>
    <row r="36" spans="1:13" ht="45" x14ac:dyDescent="0.25">
      <c r="A36" s="924"/>
      <c r="B36" s="894" t="str">
        <f>Anamnesis_vitae</f>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c r="C36" s="894"/>
      <c r="D36" s="894"/>
      <c r="E36" s="894"/>
      <c r="F36" s="894"/>
      <c r="G36" s="894"/>
      <c r="H36" s="894"/>
      <c r="I36" s="920"/>
      <c r="K36" s="481" t="str">
        <f>B36</f>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row>
    <row r="37" spans="1:13" x14ac:dyDescent="0.25">
      <c r="A37" s="924"/>
      <c r="B37" s="7" t="s">
        <v>34</v>
      </c>
      <c r="C37" s="7"/>
      <c r="D37" s="894" t="str">
        <f>Аллергоанамнез</f>
        <v>левомицетин, новокаин</v>
      </c>
      <c r="E37" s="894"/>
      <c r="F37" s="894"/>
      <c r="G37" s="894"/>
      <c r="H37" s="894"/>
      <c r="I37" s="920"/>
      <c r="M37" s="481" t="str">
        <f>D37</f>
        <v>левомицетин, новокаин</v>
      </c>
    </row>
    <row r="38" spans="1:13" x14ac:dyDescent="0.25">
      <c r="A38" s="924"/>
      <c r="B38" s="7" t="s">
        <v>28</v>
      </c>
      <c r="C38" s="7"/>
      <c r="D38" s="7"/>
      <c r="E38" s="7"/>
      <c r="F38" s="7"/>
      <c r="G38" s="7"/>
      <c r="H38" s="7"/>
      <c r="I38" s="496"/>
    </row>
    <row r="39" spans="1:13" x14ac:dyDescent="0.25">
      <c r="A39" s="924"/>
      <c r="B39" s="896" t="str">
        <f>трудовой_анамнез</f>
        <v>пенсионер, в б\л не нуждается</v>
      </c>
      <c r="C39" s="896"/>
      <c r="D39" s="896"/>
      <c r="E39" s="896"/>
      <c r="F39" s="896"/>
      <c r="G39" s="896"/>
      <c r="H39" s="896"/>
      <c r="I39" s="928"/>
      <c r="K39" s="481" t="str">
        <f>B39</f>
        <v>пенсионер, в б\л не нуждается</v>
      </c>
    </row>
    <row r="40" spans="1:13" x14ac:dyDescent="0.25">
      <c r="A40" s="925"/>
      <c r="B40" s="497" t="s">
        <v>29</v>
      </c>
      <c r="C40" s="497"/>
      <c r="D40" s="497"/>
      <c r="E40" s="887" t="str">
        <f>Трансфузии</f>
        <v>не отягощен</v>
      </c>
      <c r="F40" s="888"/>
      <c r="G40" s="888"/>
      <c r="H40" s="888"/>
      <c r="I40" s="498"/>
    </row>
    <row r="41" spans="1:13" x14ac:dyDescent="0.25">
      <c r="A41" s="923" t="s">
        <v>1405</v>
      </c>
      <c r="B41" s="494" t="s">
        <v>30</v>
      </c>
      <c r="C41" s="494"/>
      <c r="D41" s="494"/>
      <c r="E41" s="494"/>
      <c r="F41" s="499"/>
      <c r="G41" s="499"/>
      <c r="H41" s="499"/>
      <c r="I41" s="500"/>
    </row>
    <row r="42" spans="1:13" ht="120" x14ac:dyDescent="0.25">
      <c r="A42" s="924"/>
      <c r="B42" s="891" t="str">
        <f>Данные!C17</f>
        <v xml:space="preserve">Состояние  удовлетворительное. Температура 36,9 С. Кожные покровы обычной окраски. Л/у доступные пальпации не увеличены. Дыхание в легких везикулярное. ЧД 16 в мин. Тоны сердца приглушены, ритмичные. АД 140/80, ЧСС 78 в мин. Живот не вздут, симметричный, мягкий, участвует в акте дыхания, чувствительный над лоном.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   Мочевой пузырь пальпаторно и перкуторно не определяется. Мочится  самостоятельно.  Уретрита нет.  </v>
      </c>
      <c r="C42" s="891"/>
      <c r="D42" s="891"/>
      <c r="E42" s="891"/>
      <c r="F42" s="891"/>
      <c r="G42" s="891"/>
      <c r="H42" s="891"/>
      <c r="I42" s="892"/>
      <c r="K42" s="481" t="str">
        <f>B42</f>
        <v xml:space="preserve">Состояние  удовлетворительное. Температура 36,9 С. Кожные покровы обычной окраски. Л/у доступные пальпации не увеличены. Дыхание в легких везикулярное. ЧД 16 в мин. Тоны сердца приглушены, ритмичные. АД 140/80, ЧСС 78 в мин. Живот не вздут, симметричный, мягкий, участвует в акте дыхания, чувствительный над лоном.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   Мочевой пузырь пальпаторно и перкуторно не определяется. Мочится  самостоятельно.  Уретрита нет.  </v>
      </c>
    </row>
    <row r="43" spans="1:13" x14ac:dyDescent="0.25">
      <c r="A43" s="924"/>
      <c r="B43" s="7" t="s">
        <v>2627</v>
      </c>
      <c r="C43" s="7"/>
      <c r="D43" s="7"/>
      <c r="E43" s="7"/>
      <c r="F43" s="7"/>
      <c r="G43" s="7"/>
      <c r="H43" s="7"/>
      <c r="I43" s="496"/>
    </row>
    <row r="44" spans="1:13" ht="27" customHeight="1" x14ac:dyDescent="0.25">
      <c r="A44" s="925"/>
      <c r="B44" s="885">
        <f>Данные!C18</f>
        <v>0</v>
      </c>
      <c r="C44" s="885"/>
      <c r="D44" s="885"/>
      <c r="E44" s="885"/>
      <c r="F44" s="885"/>
      <c r="G44" s="885"/>
      <c r="H44" s="885"/>
      <c r="I44" s="886"/>
      <c r="K44" s="481">
        <f t="shared" ref="K44:K51" si="0">B44</f>
        <v>0</v>
      </c>
    </row>
    <row r="45" spans="1:13" x14ac:dyDescent="0.25">
      <c r="A45" s="923" t="s">
        <v>1409</v>
      </c>
      <c r="B45" s="883" t="str">
        <f>IF(данные_проведенного_обследования=0, " ", данные_проведенного_обследования)</f>
        <v xml:space="preserve">НА УЗИ и урограмме ( 11.07.16) -   в н\ чашке - 20 мм каменьУмеренное расширение ЧЛС справа. </v>
      </c>
      <c r="C45" s="883"/>
      <c r="D45" s="883"/>
      <c r="E45" s="883"/>
      <c r="F45" s="883"/>
      <c r="G45" s="883"/>
      <c r="H45" s="883"/>
      <c r="I45" s="884"/>
      <c r="K45" s="481" t="str">
        <f t="shared" si="0"/>
        <v xml:space="preserve">НА УЗИ и урограмме ( 11.07.16) -   в н\ чашке - 20 мм каменьУмеренное расширение ЧЛС справа. </v>
      </c>
    </row>
    <row r="46" spans="1:13" x14ac:dyDescent="0.25">
      <c r="A46" s="924"/>
      <c r="B46" s="894" t="str">
        <f>IF(ГИСТОЛОГИЯ=0, " ", ГИСТОЛОГИЯ)</f>
        <v xml:space="preserve"> </v>
      </c>
      <c r="C46" s="926"/>
      <c r="D46" s="926"/>
      <c r="E46" s="926"/>
      <c r="F46" s="926"/>
      <c r="G46" s="926"/>
      <c r="H46" s="926"/>
      <c r="I46" s="927"/>
      <c r="K46" s="481" t="str">
        <f t="shared" si="0"/>
        <v xml:space="preserve"> </v>
      </c>
    </row>
    <row r="47" spans="1:13" ht="30" x14ac:dyDescent="0.25">
      <c r="A47" s="925"/>
      <c r="B47" s="889" t="str">
        <f>IF(Данные_амбулаторного_обследования=0, " ", Данные_амбулаторного_обследования)</f>
        <v xml:space="preserve">ФЛГ (амб): без свежих инфильтративных изменений.
Терапевт (амб): противопоказаний для оперативного лечения нет. </v>
      </c>
      <c r="C47" s="889"/>
      <c r="D47" s="889"/>
      <c r="E47" s="889"/>
      <c r="F47" s="889"/>
      <c r="G47" s="889"/>
      <c r="H47" s="889"/>
      <c r="I47" s="890"/>
      <c r="K47" s="481" t="str">
        <f t="shared" si="0"/>
        <v xml:space="preserve">ФЛГ (амб): без свежих инфильтративных изменений.
Терапевт (амб): противопоказаний для оперативного лечения нет. </v>
      </c>
    </row>
    <row r="48" spans="1:13" ht="24" x14ac:dyDescent="0.25">
      <c r="A48" s="503" t="s">
        <v>1404</v>
      </c>
      <c r="B48" s="880" t="str">
        <f>Показание_для_операции</f>
        <v xml:space="preserve">Наличие камня н\ чашки почки, вызывающего  воспаление и нарушение функции почек. </v>
      </c>
      <c r="C48" s="881"/>
      <c r="D48" s="881"/>
      <c r="E48" s="881"/>
      <c r="F48" s="881"/>
      <c r="G48" s="881"/>
      <c r="H48" s="881"/>
      <c r="I48" s="882"/>
      <c r="K48" s="481" t="str">
        <f t="shared" si="0"/>
        <v xml:space="preserve">Наличие камня н\ чашки почки, вызывающего  воспаление и нарушение функции почек. </v>
      </c>
    </row>
    <row r="49" spans="1:12" ht="24" x14ac:dyDescent="0.25">
      <c r="A49" s="503" t="s">
        <v>1403</v>
      </c>
      <c r="B49" s="905" t="str">
        <f>Цель_операции</f>
        <v>Удаление камня</v>
      </c>
      <c r="C49" s="905"/>
      <c r="D49" s="905"/>
      <c r="E49" s="905"/>
      <c r="F49" s="905"/>
      <c r="G49" s="905"/>
      <c r="H49" s="905"/>
      <c r="I49" s="906"/>
      <c r="K49" s="481" t="str">
        <f t="shared" si="0"/>
        <v>Удаление камня</v>
      </c>
    </row>
    <row r="50" spans="1:12" ht="24" x14ac:dyDescent="0.25">
      <c r="A50" s="503" t="s">
        <v>1402</v>
      </c>
      <c r="B50" s="905" t="str">
        <f>Планируемое_оперативное_вмешательство__проведенное</f>
        <v xml:space="preserve">Комбинированная нефролитолапаксия. Стентирование справа. </v>
      </c>
      <c r="C50" s="907"/>
      <c r="D50" s="907"/>
      <c r="E50" s="907"/>
      <c r="F50" s="907"/>
      <c r="G50" s="907"/>
      <c r="H50" s="907"/>
      <c r="I50" s="908"/>
      <c r="K50" s="481" t="str">
        <f t="shared" si="0"/>
        <v xml:space="preserve">Комбинированная нефролитолапаксия. Стентирование справа. </v>
      </c>
    </row>
    <row r="51" spans="1:12" ht="30" x14ac:dyDescent="0.25">
      <c r="A51" s="503" t="s">
        <v>81</v>
      </c>
      <c r="B51" s="880" t="str">
        <f>Возможные_осложнения</f>
        <v>Стриктура,  кровотечение, перфорация, инфекционно- воспалительные изменения, необходимость открытого оперативного вмешательства.</v>
      </c>
      <c r="C51" s="881"/>
      <c r="D51" s="881"/>
      <c r="E51" s="881"/>
      <c r="F51" s="881"/>
      <c r="G51" s="881"/>
      <c r="H51" s="881"/>
      <c r="I51" s="882"/>
      <c r="K51" s="481" t="str">
        <f t="shared" si="0"/>
        <v>Стриктура,  кровотечение, перфорация, инфекционно- воспалительные изменения, необходимость открытого оперативного вмешательства.</v>
      </c>
    </row>
    <row r="52" spans="1:12" ht="24" x14ac:dyDescent="0.25">
      <c r="A52" s="503" t="s">
        <v>1401</v>
      </c>
      <c r="B52" s="913" t="str">
        <f>Оперирующий.хирург</f>
        <v>Еременко А. Н.</v>
      </c>
      <c r="C52" s="914"/>
      <c r="D52" s="915"/>
      <c r="E52" s="916"/>
      <c r="F52" s="915"/>
      <c r="G52" s="916"/>
      <c r="H52" s="915"/>
      <c r="I52" s="917"/>
    </row>
    <row r="53" spans="1:12" x14ac:dyDescent="0.25">
      <c r="A53" s="503" t="s">
        <v>1400</v>
      </c>
      <c r="B53" s="910" t="str">
        <f>Анестезия</f>
        <v>СМА</v>
      </c>
      <c r="C53" s="911"/>
      <c r="D53" s="911"/>
      <c r="E53" s="911"/>
      <c r="F53" s="911"/>
      <c r="G53" s="911"/>
      <c r="H53" s="911"/>
      <c r="I53" s="912"/>
    </row>
    <row r="54" spans="1:12" x14ac:dyDescent="0.25">
      <c r="A54" s="503" t="s">
        <v>37</v>
      </c>
      <c r="B54" s="492" t="str">
        <f>Лечащий_врач</f>
        <v>Еременко А. Н.</v>
      </c>
      <c r="C54" s="492"/>
      <c r="D54" s="492"/>
      <c r="E54" s="492"/>
      <c r="F54" s="492"/>
      <c r="G54" s="492"/>
      <c r="H54" s="492"/>
      <c r="I54" s="493"/>
    </row>
    <row r="55" spans="1:12" x14ac:dyDescent="0.25">
      <c r="A55" s="503" t="str">
        <f>IF(И.О.ЗАВ.ОТД.=1,"И.о. зав.отд.","Зав.отд.")</f>
        <v>Зав.отд.</v>
      </c>
      <c r="B55" s="492" t="str">
        <f>Зав.отд.</f>
        <v>Еременко С. Н.</v>
      </c>
      <c r="C55" s="492"/>
      <c r="D55" s="492"/>
      <c r="E55" s="492"/>
      <c r="F55" s="492"/>
      <c r="G55" s="492"/>
      <c r="H55" s="492"/>
      <c r="I55" s="493"/>
    </row>
    <row r="56" spans="1:12" x14ac:dyDescent="0.25">
      <c r="A56" s="503"/>
      <c r="B56" s="492"/>
      <c r="C56" s="492"/>
      <c r="D56" s="492"/>
      <c r="E56" s="492"/>
      <c r="F56" s="492"/>
      <c r="G56" s="492"/>
      <c r="H56" s="492"/>
      <c r="I56" s="493"/>
    </row>
    <row r="57" spans="1:12" x14ac:dyDescent="0.25">
      <c r="A57" s="503" t="s">
        <v>83</v>
      </c>
      <c r="B57" s="909">
        <f>Дата_операции</f>
        <v>42587</v>
      </c>
      <c r="C57" s="909"/>
      <c r="D57" s="909"/>
      <c r="E57" s="492"/>
      <c r="F57" s="492"/>
      <c r="G57" s="492"/>
      <c r="H57" s="492"/>
      <c r="I57" s="493"/>
    </row>
    <row r="59" spans="1:12" x14ac:dyDescent="0.25">
      <c r="A59" s="134">
        <f>Дата_операции</f>
        <v>42587</v>
      </c>
      <c r="C59" s="125" t="s">
        <v>84</v>
      </c>
    </row>
    <row r="60" spans="1:12" x14ac:dyDescent="0.25">
      <c r="A60" s="135"/>
    </row>
    <row r="61" spans="1:12" x14ac:dyDescent="0.25">
      <c r="B61" s="501" t="s">
        <v>339</v>
      </c>
      <c r="C61" s="902" t="str">
        <f>Данные!C11</f>
        <v>боли в поясничной области;справа</v>
      </c>
      <c r="D61" s="903"/>
      <c r="E61" s="903"/>
      <c r="F61" s="903"/>
      <c r="G61" s="903"/>
      <c r="H61" s="903"/>
      <c r="I61" s="903"/>
      <c r="L61" s="481" t="str">
        <f>C61</f>
        <v>боли в поясничной области;справа</v>
      </c>
    </row>
    <row r="62" spans="1:12" ht="105" customHeight="1" x14ac:dyDescent="0.25">
      <c r="B62" s="833" t="str">
        <f>Данные!C17</f>
        <v xml:space="preserve">Состояние  удовлетворительное. Температура 36,9 С. Кожные покровы обычной окраски. Л/у доступные пальпации не увеличены. Дыхание в легких везикулярное. ЧД 16 в мин. Тоны сердца приглушены, ритмичные. АД 140/80, ЧСС 78 в мин. Живот не вздут, симметричный, мягкий, участвует в акте дыхания, чувствительный над лоном.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   Мочевой пузырь пальпаторно и перкуторно не определяется. Мочится  самостоятельно.  Уретрита нет.  </v>
      </c>
      <c r="C62" s="833"/>
      <c r="D62" s="833"/>
      <c r="E62" s="833"/>
      <c r="F62" s="833"/>
      <c r="G62" s="833"/>
      <c r="H62" s="833"/>
      <c r="I62" s="833"/>
      <c r="K62" s="481" t="str">
        <f>B62</f>
        <v xml:space="preserve">Состояние  удовлетворительное. Температура 36,9 С. Кожные покровы обычной окраски. Л/у доступные пальпации не увеличены. Дыхание в легких везикулярное. ЧД 16 в мин. Тоны сердца приглушены, ритмичные. АД 140/80, ЧСС 78 в мин. Живот не вздут, симметричный, мягкий, участвует в акте дыхания, чувствительный над лоном.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   Мочевой пузырь пальпаторно и перкуторно не определяется. Мочится  самостоятельно.  Уретрита нет.  </v>
      </c>
    </row>
    <row r="63" spans="1:12" x14ac:dyDescent="0.25">
      <c r="B63" s="169" t="s">
        <v>85</v>
      </c>
      <c r="C63" s="904"/>
      <c r="D63" s="904"/>
      <c r="E63" s="904"/>
      <c r="F63" s="904"/>
      <c r="G63" s="904"/>
      <c r="H63" s="904"/>
      <c r="I63" s="904"/>
      <c r="L63" s="481">
        <f>C63</f>
        <v>0</v>
      </c>
    </row>
    <row r="64" spans="1:12" x14ac:dyDescent="0.25">
      <c r="C64" s="902"/>
      <c r="D64" s="903"/>
      <c r="E64" s="903"/>
      <c r="F64" s="903"/>
      <c r="G64" s="903"/>
      <c r="H64" s="903"/>
      <c r="I64" s="903"/>
      <c r="L64" s="481">
        <f>C64</f>
        <v>0</v>
      </c>
    </row>
    <row r="65" spans="3:12" x14ac:dyDescent="0.25">
      <c r="C65" s="902"/>
      <c r="D65" s="903"/>
      <c r="E65" s="903"/>
      <c r="F65" s="903"/>
      <c r="G65" s="903"/>
      <c r="H65" s="903"/>
      <c r="I65" s="903"/>
      <c r="L65" s="481">
        <f>C65</f>
        <v>0</v>
      </c>
    </row>
    <row r="66" spans="3:12" x14ac:dyDescent="0.25">
      <c r="G66" s="125" t="s">
        <v>74</v>
      </c>
      <c r="H66" s="125" t="str">
        <f>Лечащий_врач</f>
        <v>Еременко А. Н.</v>
      </c>
    </row>
    <row r="68" spans="3:12" x14ac:dyDescent="0.25">
      <c r="G68" s="750" t="str">
        <f>IF(И.О.ЗАВ.ОТД.=1,"И.о. зав.отд.","Зав.отд.")</f>
        <v>Зав.отд.</v>
      </c>
      <c r="H68" s="750" t="str">
        <f>Зав.отд.</f>
        <v>Еременко С. Н.</v>
      </c>
    </row>
  </sheetData>
  <sheetProtection formatCells="0" formatRows="0" autoFilter="0"/>
  <mergeCells count="41">
    <mergeCell ref="D37:I37"/>
    <mergeCell ref="A29:A32"/>
    <mergeCell ref="A33:A40"/>
    <mergeCell ref="A41:A44"/>
    <mergeCell ref="A45:A47"/>
    <mergeCell ref="B36:I36"/>
    <mergeCell ref="B46:I46"/>
    <mergeCell ref="B39:I39"/>
    <mergeCell ref="B26:D26"/>
    <mergeCell ref="B30:I30"/>
    <mergeCell ref="B32:I32"/>
    <mergeCell ref="B34:I34"/>
    <mergeCell ref="B28:I28"/>
    <mergeCell ref="B27:C27"/>
    <mergeCell ref="C65:I65"/>
    <mergeCell ref="C61:I61"/>
    <mergeCell ref="C63:I63"/>
    <mergeCell ref="B49:I49"/>
    <mergeCell ref="C64:I64"/>
    <mergeCell ref="B50:I50"/>
    <mergeCell ref="B57:D57"/>
    <mergeCell ref="B62:I62"/>
    <mergeCell ref="B53:I53"/>
    <mergeCell ref="B52:C52"/>
    <mergeCell ref="D52:E52"/>
    <mergeCell ref="F52:G52"/>
    <mergeCell ref="H52:I52"/>
    <mergeCell ref="B51:I51"/>
    <mergeCell ref="B9:I9"/>
    <mergeCell ref="B11:I11"/>
    <mergeCell ref="B13:I13"/>
    <mergeCell ref="B15:I15"/>
    <mergeCell ref="C3:F3"/>
    <mergeCell ref="C5:I5"/>
    <mergeCell ref="D6:E6"/>
    <mergeCell ref="B48:I48"/>
    <mergeCell ref="B45:I45"/>
    <mergeCell ref="B44:I44"/>
    <mergeCell ref="E40:H40"/>
    <mergeCell ref="B47:I47"/>
    <mergeCell ref="B42:I42"/>
  </mergeCells>
  <pageMargins left="0.90196078431372551" right="0.3125" top="0.35294117647058826" bottom="0.28125" header="0.27559055118110237" footer="0.31496062992125984"/>
  <pageSetup paperSize="9" scale="80" orientation="portrait" r:id="rId1"/>
  <colBreaks count="1" manualBreakCount="1">
    <brk id="9" max="78" man="1"/>
  </colBreak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filterMode="1">
    <tabColor rgb="FFC00000"/>
    <pageSetUpPr fitToPage="1"/>
  </sheetPr>
  <dimension ref="A1:I131"/>
  <sheetViews>
    <sheetView view="pageBreakPreview" topLeftCell="A42" zoomScale="96" zoomScaleNormal="59" zoomScaleSheetLayoutView="96" zoomScalePageLayoutView="84" workbookViewId="0">
      <selection activeCell="A48" sqref="A48:G48"/>
    </sheetView>
  </sheetViews>
  <sheetFormatPr defaultRowHeight="15" x14ac:dyDescent="0.25"/>
  <cols>
    <col min="1" max="1" width="10.5703125" style="8" customWidth="1"/>
    <col min="2" max="2" width="10" style="8" customWidth="1"/>
    <col min="3" max="3" width="10.5703125" style="8" customWidth="1"/>
    <col min="4" max="5" width="9.140625" style="8"/>
    <col min="6" max="6" width="20" style="8" customWidth="1"/>
    <col min="7" max="7" width="8" style="8" customWidth="1"/>
    <col min="8" max="8" width="9.140625" style="8"/>
    <col min="9" max="9" width="76.28515625" style="172" hidden="1" customWidth="1"/>
    <col min="10" max="11" width="9.140625" style="8" customWidth="1"/>
    <col min="12" max="16384" width="9.140625" style="8"/>
  </cols>
  <sheetData>
    <row r="1" spans="1:9" ht="16.350000000000001" customHeight="1" x14ac:dyDescent="0.25">
      <c r="C1" s="136" t="s">
        <v>2660</v>
      </c>
      <c r="D1" s="136" t="s">
        <v>2657</v>
      </c>
    </row>
    <row r="2" spans="1:9" ht="16.350000000000001" customHeight="1" x14ac:dyDescent="0.25">
      <c r="D2" s="136" t="s">
        <v>2421</v>
      </c>
    </row>
    <row r="3" spans="1:9" ht="16.350000000000001" customHeight="1" x14ac:dyDescent="0.25">
      <c r="A3" s="6" t="s">
        <v>33</v>
      </c>
      <c r="B3" s="929" t="str">
        <f>ФИО</f>
        <v>Иванова Е.П.</v>
      </c>
      <c r="C3" s="897"/>
      <c r="D3" s="897"/>
      <c r="E3" s="6" t="s">
        <v>19</v>
      </c>
      <c r="F3" s="61">
        <f>Данные!C5</f>
        <v>5903</v>
      </c>
      <c r="G3" s="61"/>
    </row>
    <row r="4" spans="1:9" ht="16.350000000000001" customHeight="1" x14ac:dyDescent="0.25">
      <c r="A4" s="6" t="str">
        <f>Данные!B8</f>
        <v>дата рождения</v>
      </c>
      <c r="B4" s="62"/>
      <c r="C4" s="730">
        <f>№_и_б</f>
        <v>21949</v>
      </c>
      <c r="D4" s="63" t="s">
        <v>35</v>
      </c>
      <c r="E4" s="6" t="s">
        <v>22</v>
      </c>
      <c r="F4" s="63">
        <f>Телефон</f>
        <v>0</v>
      </c>
      <c r="G4" s="63"/>
    </row>
    <row r="5" spans="1:9" ht="16.350000000000001" customHeight="1" x14ac:dyDescent="0.25">
      <c r="A5" s="6" t="s">
        <v>21</v>
      </c>
      <c r="B5" s="930">
        <f>Место_жительства</f>
        <v>0</v>
      </c>
      <c r="C5" s="931"/>
      <c r="D5" s="931"/>
      <c r="E5" s="851"/>
      <c r="F5" s="851"/>
      <c r="G5" s="131"/>
    </row>
    <row r="6" spans="1:9" ht="16.350000000000001" customHeight="1" x14ac:dyDescent="0.25">
      <c r="A6" s="6" t="s">
        <v>23</v>
      </c>
      <c r="B6" s="6"/>
      <c r="C6" s="730">
        <f>дата_поступления</f>
        <v>42592</v>
      </c>
    </row>
    <row r="7" spans="1:9" ht="16.350000000000001" customHeight="1" x14ac:dyDescent="0.25">
      <c r="A7" s="6"/>
    </row>
    <row r="8" spans="1:9" ht="16.350000000000001" customHeight="1" x14ac:dyDescent="0.25">
      <c r="B8" s="18" t="s">
        <v>1411</v>
      </c>
      <c r="C8" s="102">
        <f>Дата_операции</f>
        <v>42587</v>
      </c>
    </row>
    <row r="9" spans="1:9" ht="16.350000000000001" customHeight="1" x14ac:dyDescent="0.25">
      <c r="B9" s="18" t="s">
        <v>24</v>
      </c>
      <c r="C9" s="357" t="s">
        <v>2715</v>
      </c>
    </row>
    <row r="10" spans="1:9" ht="27.75" customHeight="1" x14ac:dyDescent="0.25">
      <c r="A10" s="933" t="str">
        <f>Данные!C27</f>
        <v xml:space="preserve">Комбинированная нефролитолапаксия. Стентирование справа. </v>
      </c>
      <c r="B10" s="934"/>
      <c r="C10" s="934"/>
      <c r="D10" s="934"/>
      <c r="E10" s="934"/>
      <c r="F10" s="934"/>
      <c r="G10" s="853"/>
    </row>
    <row r="11" spans="1:9" ht="152.25" hidden="1" customHeight="1" x14ac:dyDescent="0.25">
      <c r="A11" s="932" t="s">
        <v>2773</v>
      </c>
      <c r="B11" s="934"/>
      <c r="C11" s="934"/>
      <c r="D11" s="934"/>
      <c r="E11" s="934"/>
      <c r="F11" s="934"/>
      <c r="G11" s="853"/>
      <c r="I11" s="677"/>
    </row>
    <row r="12" spans="1:9" ht="194.25" hidden="1" customHeight="1" x14ac:dyDescent="0.25">
      <c r="A12" s="932" t="s">
        <v>2459</v>
      </c>
      <c r="B12" s="934"/>
      <c r="C12" s="934"/>
      <c r="D12" s="934"/>
      <c r="E12" s="934"/>
      <c r="F12" s="934"/>
      <c r="G12" s="853"/>
      <c r="I12" s="670"/>
    </row>
    <row r="13" spans="1:9" ht="198.75" hidden="1" customHeight="1" x14ac:dyDescent="0.25">
      <c r="A13" s="932" t="s">
        <v>2429</v>
      </c>
      <c r="B13" s="932"/>
      <c r="C13" s="932"/>
      <c r="D13" s="932"/>
      <c r="E13" s="932"/>
      <c r="F13" s="932"/>
      <c r="G13" s="853"/>
      <c r="I13" s="677"/>
    </row>
    <row r="14" spans="1:9" ht="259.5" hidden="1" customHeight="1" x14ac:dyDescent="0.25">
      <c r="A14" s="932" t="s">
        <v>2772</v>
      </c>
      <c r="B14" s="932"/>
      <c r="C14" s="932"/>
      <c r="D14" s="932"/>
      <c r="E14" s="932"/>
      <c r="F14" s="932"/>
      <c r="G14" s="853"/>
      <c r="I14" s="677"/>
    </row>
    <row r="15" spans="1:9" ht="259.5" hidden="1" customHeight="1" x14ac:dyDescent="0.25">
      <c r="A15" s="932" t="s">
        <v>2448</v>
      </c>
      <c r="B15" s="932"/>
      <c r="C15" s="932"/>
      <c r="D15" s="932"/>
      <c r="E15" s="932"/>
      <c r="F15" s="932"/>
      <c r="G15" s="853"/>
      <c r="I15" s="677"/>
    </row>
    <row r="16" spans="1:9" ht="248.25" hidden="1" customHeight="1" x14ac:dyDescent="0.25">
      <c r="A16" s="932" t="s">
        <v>2770</v>
      </c>
      <c r="B16" s="932"/>
      <c r="C16" s="932"/>
      <c r="D16" s="932"/>
      <c r="E16" s="932"/>
      <c r="F16" s="932"/>
      <c r="G16" s="853"/>
      <c r="I16" s="677"/>
    </row>
    <row r="17" spans="1:9" ht="199.5" hidden="1" customHeight="1" x14ac:dyDescent="0.25">
      <c r="A17" s="932" t="s">
        <v>2430</v>
      </c>
      <c r="B17" s="932"/>
      <c r="C17" s="932"/>
      <c r="D17" s="932"/>
      <c r="E17" s="932"/>
      <c r="F17" s="932"/>
      <c r="G17" s="853"/>
      <c r="I17" s="670"/>
    </row>
    <row r="18" spans="1:9" ht="164.25" hidden="1" customHeight="1" x14ac:dyDescent="0.25">
      <c r="A18" s="932" t="s">
        <v>2774</v>
      </c>
      <c r="B18" s="932"/>
      <c r="C18" s="932"/>
      <c r="D18" s="932"/>
      <c r="E18" s="932"/>
      <c r="F18" s="932"/>
      <c r="G18" s="853"/>
      <c r="I18" s="677"/>
    </row>
    <row r="19" spans="1:9" ht="108" hidden="1" customHeight="1" x14ac:dyDescent="0.25">
      <c r="A19" s="932" t="s">
        <v>2432</v>
      </c>
      <c r="B19" s="932"/>
      <c r="C19" s="932"/>
      <c r="D19" s="932"/>
      <c r="E19" s="932"/>
      <c r="F19" s="932"/>
      <c r="G19" s="853"/>
      <c r="I19" s="677"/>
    </row>
    <row r="20" spans="1:9" ht="150.75" hidden="1" customHeight="1" x14ac:dyDescent="0.25">
      <c r="A20" s="932" t="s">
        <v>2431</v>
      </c>
      <c r="B20" s="932"/>
      <c r="C20" s="932"/>
      <c r="D20" s="932"/>
      <c r="E20" s="932"/>
      <c r="F20" s="932"/>
      <c r="G20" s="853"/>
      <c r="I20" s="677"/>
    </row>
    <row r="21" spans="1:9" ht="186" hidden="1" customHeight="1" x14ac:dyDescent="0.25">
      <c r="A21" s="932" t="s">
        <v>2433</v>
      </c>
      <c r="B21" s="932"/>
      <c r="C21" s="932"/>
      <c r="D21" s="932"/>
      <c r="E21" s="932"/>
      <c r="F21" s="932"/>
      <c r="G21" s="853"/>
      <c r="I21" s="677"/>
    </row>
    <row r="22" spans="1:9" ht="125.25" hidden="1" customHeight="1" x14ac:dyDescent="0.25">
      <c r="A22" s="932" t="s">
        <v>2434</v>
      </c>
      <c r="B22" s="932"/>
      <c r="C22" s="932"/>
      <c r="D22" s="932"/>
      <c r="E22" s="932"/>
      <c r="F22" s="932"/>
      <c r="G22" s="853"/>
      <c r="I22" s="677"/>
    </row>
    <row r="23" spans="1:9" ht="124.5" hidden="1" customHeight="1" x14ac:dyDescent="0.25">
      <c r="A23" s="932" t="s">
        <v>2435</v>
      </c>
      <c r="B23" s="932"/>
      <c r="C23" s="932"/>
      <c r="D23" s="932"/>
      <c r="E23" s="932"/>
      <c r="F23" s="932"/>
      <c r="G23" s="853"/>
      <c r="I23" s="677"/>
    </row>
    <row r="24" spans="1:9" ht="80.25" hidden="1" customHeight="1" x14ac:dyDescent="0.25">
      <c r="A24" s="932" t="s">
        <v>2436</v>
      </c>
      <c r="B24" s="853"/>
      <c r="C24" s="853"/>
      <c r="D24" s="853"/>
      <c r="E24" s="853"/>
      <c r="F24" s="853"/>
      <c r="G24" s="853"/>
      <c r="I24" s="677"/>
    </row>
    <row r="25" spans="1:9" ht="237" hidden="1" customHeight="1" x14ac:dyDescent="0.25">
      <c r="A25" s="932" t="s">
        <v>2771</v>
      </c>
      <c r="B25" s="932"/>
      <c r="C25" s="932"/>
      <c r="D25" s="932"/>
      <c r="E25" s="932"/>
      <c r="F25" s="932"/>
      <c r="G25" s="853"/>
      <c r="I25" s="677"/>
    </row>
    <row r="26" spans="1:9" ht="96.75" hidden="1" customHeight="1" x14ac:dyDescent="0.25">
      <c r="A26" s="932" t="s">
        <v>2437</v>
      </c>
      <c r="B26" s="932"/>
      <c r="C26" s="932"/>
      <c r="D26" s="932"/>
      <c r="E26" s="932"/>
      <c r="F26" s="932"/>
      <c r="G26" s="853"/>
      <c r="I26" s="677"/>
    </row>
    <row r="27" spans="1:9" ht="160.5" hidden="1" customHeight="1" x14ac:dyDescent="0.25">
      <c r="A27" s="937" t="s">
        <v>2438</v>
      </c>
      <c r="B27" s="937"/>
      <c r="C27" s="937"/>
      <c r="D27" s="937"/>
      <c r="E27" s="937"/>
      <c r="F27" s="937"/>
      <c r="G27" s="853"/>
      <c r="I27" s="677"/>
    </row>
    <row r="28" spans="1:9" ht="201.75" hidden="1" customHeight="1" x14ac:dyDescent="0.25">
      <c r="A28" s="937" t="s">
        <v>2439</v>
      </c>
      <c r="B28" s="937"/>
      <c r="C28" s="937"/>
      <c r="D28" s="937"/>
      <c r="E28" s="937"/>
      <c r="F28" s="937"/>
      <c r="G28" s="853"/>
      <c r="I28" s="677"/>
    </row>
    <row r="29" spans="1:9" ht="155.25" hidden="1" customHeight="1" x14ac:dyDescent="0.25">
      <c r="A29" s="937" t="s">
        <v>2440</v>
      </c>
      <c r="B29" s="937"/>
      <c r="C29" s="937"/>
      <c r="D29" s="937"/>
      <c r="E29" s="937"/>
      <c r="F29" s="937"/>
      <c r="G29" s="853"/>
      <c r="I29" s="677"/>
    </row>
    <row r="30" spans="1:9" ht="115.5" hidden="1" customHeight="1" x14ac:dyDescent="0.25">
      <c r="A30" s="937" t="s">
        <v>2775</v>
      </c>
      <c r="B30" s="937"/>
      <c r="C30" s="937"/>
      <c r="D30" s="937"/>
      <c r="E30" s="937"/>
      <c r="F30" s="937"/>
      <c r="G30" s="853"/>
      <c r="I30" s="677"/>
    </row>
    <row r="31" spans="1:9" ht="198" hidden="1" customHeight="1" x14ac:dyDescent="0.25">
      <c r="A31" s="937" t="s">
        <v>2441</v>
      </c>
      <c r="B31" s="937"/>
      <c r="C31" s="937"/>
      <c r="D31" s="937"/>
      <c r="E31" s="937"/>
      <c r="F31" s="937"/>
      <c r="G31" s="853"/>
      <c r="I31" s="677"/>
    </row>
    <row r="32" spans="1:9" ht="146.25" hidden="1" customHeight="1" x14ac:dyDescent="0.25">
      <c r="A32" s="937" t="s">
        <v>2442</v>
      </c>
      <c r="B32" s="948"/>
      <c r="C32" s="948"/>
      <c r="D32" s="948"/>
      <c r="E32" s="948"/>
      <c r="F32" s="948"/>
      <c r="G32" s="853"/>
      <c r="I32" s="677"/>
    </row>
    <row r="33" spans="1:9" ht="175.5" hidden="1" customHeight="1" x14ac:dyDescent="0.25">
      <c r="A33" s="937" t="s">
        <v>2767</v>
      </c>
      <c r="B33" s="836"/>
      <c r="C33" s="836"/>
      <c r="D33" s="836"/>
      <c r="E33" s="836"/>
      <c r="F33" s="836"/>
      <c r="G33" s="853"/>
      <c r="I33" s="677"/>
    </row>
    <row r="34" spans="1:9" ht="125.25" hidden="1" customHeight="1" x14ac:dyDescent="0.25">
      <c r="A34" s="937" t="s">
        <v>2768</v>
      </c>
      <c r="B34" s="836"/>
      <c r="C34" s="836"/>
      <c r="D34" s="836"/>
      <c r="E34" s="836"/>
      <c r="F34" s="836"/>
      <c r="G34" s="853"/>
      <c r="I34" s="677"/>
    </row>
    <row r="35" spans="1:9" ht="136.5" hidden="1" customHeight="1" x14ac:dyDescent="0.25">
      <c r="A35" s="937" t="s">
        <v>2443</v>
      </c>
      <c r="B35" s="836"/>
      <c r="C35" s="836"/>
      <c r="D35" s="836"/>
      <c r="E35" s="836"/>
      <c r="F35" s="836"/>
      <c r="G35" s="853"/>
      <c r="I35" s="677"/>
    </row>
    <row r="36" spans="1:9" ht="152.25" hidden="1" customHeight="1" x14ac:dyDescent="0.25">
      <c r="A36" s="932" t="s">
        <v>2446</v>
      </c>
      <c r="B36" s="932"/>
      <c r="C36" s="932"/>
      <c r="D36" s="932"/>
      <c r="E36" s="932"/>
      <c r="F36" s="932"/>
      <c r="G36" s="853"/>
      <c r="I36" s="677"/>
    </row>
    <row r="37" spans="1:9" ht="124.5" hidden="1" customHeight="1" x14ac:dyDescent="0.25">
      <c r="A37" s="937" t="s">
        <v>2444</v>
      </c>
      <c r="B37" s="937"/>
      <c r="C37" s="937"/>
      <c r="D37" s="937"/>
      <c r="E37" s="937"/>
      <c r="F37" s="937"/>
      <c r="G37" s="853"/>
      <c r="I37" s="668"/>
    </row>
    <row r="38" spans="1:9" ht="118.5" hidden="1" customHeight="1" x14ac:dyDescent="0.25">
      <c r="A38" s="932" t="s">
        <v>2445</v>
      </c>
      <c r="B38" s="932"/>
      <c r="C38" s="932"/>
      <c r="D38" s="932"/>
      <c r="E38" s="932"/>
      <c r="F38" s="932"/>
      <c r="G38" s="853"/>
      <c r="I38" s="189"/>
    </row>
    <row r="39" spans="1:9" ht="158.25" hidden="1" customHeight="1" x14ac:dyDescent="0.25">
      <c r="A39" s="932" t="s">
        <v>2408</v>
      </c>
      <c r="B39" s="932"/>
      <c r="C39" s="932"/>
      <c r="D39" s="932"/>
      <c r="E39" s="932"/>
      <c r="F39" s="932"/>
      <c r="G39" s="853"/>
      <c r="I39" s="189"/>
    </row>
    <row r="40" spans="1:9" ht="144.75" hidden="1" customHeight="1" x14ac:dyDescent="0.25">
      <c r="A40" s="932" t="s">
        <v>2447</v>
      </c>
      <c r="B40" s="932"/>
      <c r="C40" s="932"/>
      <c r="D40" s="932"/>
      <c r="E40" s="932"/>
      <c r="F40" s="932"/>
      <c r="G40" s="853"/>
      <c r="I40" s="189"/>
    </row>
    <row r="41" spans="1:9" ht="35.25" hidden="1" customHeight="1" x14ac:dyDescent="0.25">
      <c r="A41" s="932" t="s">
        <v>2702</v>
      </c>
      <c r="B41" s="853"/>
      <c r="C41" s="853"/>
      <c r="D41" s="853"/>
      <c r="E41" s="853"/>
      <c r="F41" s="853"/>
      <c r="G41" s="853"/>
      <c r="I41" s="189"/>
    </row>
    <row r="42" spans="1:9" s="103" customFormat="1" ht="16.350000000000001" customHeight="1" x14ac:dyDescent="0.2">
      <c r="A42" s="947" t="s">
        <v>1645</v>
      </c>
      <c r="B42" s="947"/>
      <c r="C42" s="947"/>
      <c r="D42" s="947"/>
      <c r="E42" s="947"/>
      <c r="F42" s="947"/>
      <c r="G42" s="836"/>
      <c r="I42" s="137" t="str">
        <f>A42</f>
        <v xml:space="preserve">
</v>
      </c>
    </row>
    <row r="43" spans="1:9" ht="16.350000000000001" hidden="1" customHeight="1" x14ac:dyDescent="0.25">
      <c r="A43" s="938" t="str">
        <f>IF(A44=0, " ", "Назначить в послеоперационном периоде:")</f>
        <v>Назначить в послеоперационном периоде:</v>
      </c>
      <c r="B43" s="853"/>
      <c r="C43" s="853"/>
      <c r="D43" s="853"/>
      <c r="E43" s="853"/>
      <c r="F43" s="853"/>
      <c r="G43" s="853"/>
    </row>
    <row r="44" spans="1:9" s="758" customFormat="1" ht="164.25" hidden="1" customHeight="1" x14ac:dyDescent="0.25">
      <c r="A44" s="946" t="s">
        <v>2727</v>
      </c>
      <c r="B44" s="946"/>
      <c r="C44" s="946"/>
      <c r="D44" s="946"/>
      <c r="E44" s="946"/>
      <c r="F44" s="946"/>
      <c r="G44" s="946"/>
      <c r="I44" s="176" t="str">
        <f>A44</f>
        <v xml:space="preserve">                                                                                                                                                                                                                                                                                                     Позадилонная аденомэктомия.                                                                                                                  Под общим обезболиванием (см. запись анестезиолога), после обработки операционного поля р-ром хлоргексидинового спирта 2 – ды послойно вскрыты ткани под пупком. Установлен балонный троакар, создано  экстраперитонеально  п-во  . Установлены дополнительные троакраы   - 2- слева , одни справа в типичных точках. , выделена передняя стенка мочевого пузыря и простата. . В области шейки мочевого пузыря обнаружена аденома предстательной железы &gt;120 мл.  вскрыта капсула железа в поперечном направлении.  острым путем выделены узлы, плотно спаянные с капсулой.  Опухоль удалена  2-мя фрагментами. Капсула ушита поперчеными швами.  Кровопотеря – 100 мл. В мочевой пузырь подведен 3- х  ходовой катетер Фолея( объем 20 мл).  препарат извлечен в контейнере. Дренажи в малый таз. . Налажена система орошения мочевого пузыря. Проверка герметичности пузыря. Контроль гемостаза. Сухо. Послойные швы на раны. Ас повязка. Препарат - аденома простаты на ПГИ.</v>
      </c>
    </row>
    <row r="45" spans="1:9" ht="33.75" hidden="1" customHeight="1" x14ac:dyDescent="0.25">
      <c r="A45" s="941" t="s">
        <v>2769</v>
      </c>
      <c r="B45" s="941"/>
      <c r="C45" s="941"/>
      <c r="D45" s="941"/>
      <c r="E45" s="941"/>
      <c r="F45" s="941"/>
      <c r="G45" s="941"/>
    </row>
    <row r="46" spans="1:9" ht="15.75" hidden="1" customHeight="1" x14ac:dyDescent="0.25">
      <c r="A46" s="941"/>
      <c r="B46" s="941"/>
      <c r="C46" s="941"/>
      <c r="D46" s="941"/>
      <c r="E46" s="941"/>
      <c r="F46" s="941"/>
      <c r="G46" s="941"/>
    </row>
    <row r="47" spans="1:9" s="779" customFormat="1" ht="92.25" hidden="1" customHeight="1" x14ac:dyDescent="0.25">
      <c r="A47" s="932" t="s">
        <v>2776</v>
      </c>
      <c r="B47" s="940"/>
      <c r="C47" s="940"/>
      <c r="D47" s="940"/>
      <c r="E47" s="940"/>
      <c r="F47" s="940"/>
      <c r="G47" s="940"/>
    </row>
    <row r="48" spans="1:9" ht="260.25" hidden="1" customHeight="1" x14ac:dyDescent="0.25">
      <c r="A48" s="941" t="s">
        <v>2788</v>
      </c>
      <c r="B48" s="853"/>
      <c r="C48" s="853"/>
      <c r="D48" s="853"/>
      <c r="E48" s="853"/>
      <c r="F48" s="853"/>
      <c r="G48" s="853"/>
      <c r="I48" s="176"/>
    </row>
    <row r="49" spans="1:9" ht="15.75" customHeight="1" x14ac:dyDescent="0.25">
      <c r="A49" s="941"/>
      <c r="B49" s="853"/>
      <c r="C49" s="853"/>
      <c r="D49" s="853"/>
      <c r="E49" s="853"/>
      <c r="F49" s="853"/>
      <c r="G49" s="853"/>
      <c r="I49" s="176"/>
    </row>
    <row r="50" spans="1:9" ht="15.75" customHeight="1" x14ac:dyDescent="0.25">
      <c r="A50" s="943" t="s">
        <v>2571</v>
      </c>
      <c r="B50" s="944"/>
      <c r="C50" s="944"/>
      <c r="D50" s="692"/>
      <c r="E50" s="692"/>
      <c r="F50" s="692"/>
      <c r="G50" s="692"/>
      <c r="I50" s="176"/>
    </row>
    <row r="51" spans="1:9" ht="57.75" customHeight="1" x14ac:dyDescent="0.25">
      <c r="A51" s="939"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51" s="945"/>
      <c r="C51" s="945"/>
      <c r="D51" s="945"/>
      <c r="E51" s="945"/>
      <c r="F51" s="945"/>
      <c r="G51" s="945"/>
      <c r="I51" s="176"/>
    </row>
    <row r="52" spans="1:9" ht="27" customHeight="1" x14ac:dyDescent="0.25">
      <c r="A52" s="939" t="s">
        <v>2646</v>
      </c>
      <c r="B52" s="836"/>
      <c r="C52" s="939" t="str">
        <f>Данные!C24</f>
        <v xml:space="preserve">ИБС: АКС. САГ 2 ст, 2 ст, риск 3. Ожирение 3-4 ст. П\о вентральная грыжа. </v>
      </c>
      <c r="D52" s="895"/>
      <c r="E52" s="895"/>
      <c r="F52" s="895"/>
      <c r="G52" s="895"/>
      <c r="I52" s="176"/>
    </row>
    <row r="53" spans="1:9" ht="15.75" customHeight="1" x14ac:dyDescent="0.25">
      <c r="B53" s="675"/>
      <c r="C53" s="675"/>
      <c r="D53" s="829" t="s">
        <v>2677</v>
      </c>
      <c r="E53" s="829"/>
      <c r="F53" s="675" t="str">
        <f>Оперирующий.хирург</f>
        <v>Еременко А. Н.</v>
      </c>
      <c r="G53" s="675"/>
    </row>
    <row r="54" spans="1:9" ht="15.75" customHeight="1" x14ac:dyDescent="0.25">
      <c r="B54" s="675"/>
      <c r="C54" s="675"/>
      <c r="D54" s="836" t="s">
        <v>2678</v>
      </c>
      <c r="E54" s="836"/>
      <c r="F54" s="675"/>
      <c r="G54" s="675"/>
      <c r="I54" s="687"/>
    </row>
    <row r="55" spans="1:9" ht="15.75" customHeight="1" x14ac:dyDescent="0.25">
      <c r="B55" s="675"/>
      <c r="C55" s="675"/>
      <c r="D55" s="829" t="s">
        <v>2678</v>
      </c>
      <c r="E55" s="829"/>
      <c r="F55" s="675"/>
      <c r="G55" s="675"/>
    </row>
    <row r="56" spans="1:9" ht="15.75" customHeight="1" x14ac:dyDescent="0.25">
      <c r="B56" s="675"/>
      <c r="C56" s="675"/>
      <c r="D56" s="829" t="s">
        <v>2450</v>
      </c>
      <c r="E56" s="829"/>
      <c r="F56" s="675"/>
      <c r="G56" s="675"/>
    </row>
    <row r="57" spans="1:9" ht="15.75" customHeight="1" x14ac:dyDescent="0.25">
      <c r="B57" s="675"/>
      <c r="C57" s="675"/>
      <c r="D57" s="829" t="s">
        <v>2451</v>
      </c>
      <c r="E57" s="829"/>
      <c r="F57" s="675" t="s">
        <v>2456</v>
      </c>
      <c r="G57" s="675"/>
    </row>
    <row r="58" spans="1:9" ht="15.75" customHeight="1" x14ac:dyDescent="0.25">
      <c r="D58" s="942" t="s">
        <v>2679</v>
      </c>
      <c r="E58" s="848"/>
      <c r="F58" s="8" t="s">
        <v>2710</v>
      </c>
    </row>
    <row r="59" spans="1:9" ht="16.350000000000001" customHeight="1" x14ac:dyDescent="0.25">
      <c r="A59" s="693">
        <f ca="1">NOW()</f>
        <v>42601.314983912038</v>
      </c>
      <c r="B59" s="935" t="s">
        <v>2458</v>
      </c>
      <c r="C59" s="936"/>
      <c r="D59" s="936"/>
      <c r="E59" s="936"/>
      <c r="F59" s="936"/>
      <c r="G59" s="936"/>
    </row>
    <row r="60" spans="1:9" x14ac:dyDescent="0.25">
      <c r="B60" s="936"/>
      <c r="C60" s="936"/>
      <c r="D60" s="936"/>
      <c r="E60" s="936"/>
      <c r="F60" s="936"/>
      <c r="G60" s="936"/>
    </row>
    <row r="61" spans="1:9" x14ac:dyDescent="0.25">
      <c r="B61" s="936"/>
      <c r="C61" s="936"/>
      <c r="D61" s="936"/>
      <c r="E61" s="936"/>
      <c r="F61" s="936"/>
      <c r="G61" s="936"/>
    </row>
    <row r="62" spans="1:9" x14ac:dyDescent="0.25">
      <c r="B62" s="936"/>
      <c r="C62" s="936"/>
      <c r="D62" s="936"/>
      <c r="E62" s="936"/>
      <c r="F62" s="936"/>
      <c r="G62" s="936"/>
    </row>
    <row r="63" spans="1:9" x14ac:dyDescent="0.25">
      <c r="D63" s="895" t="s">
        <v>2422</v>
      </c>
      <c r="E63" s="836"/>
      <c r="F63" s="8" t="s">
        <v>2388</v>
      </c>
    </row>
    <row r="65" spans="1:7" x14ac:dyDescent="0.25">
      <c r="A65" s="744">
        <f ca="1">TODAY()</f>
        <v>42601</v>
      </c>
      <c r="B65" s="8" t="s">
        <v>2766</v>
      </c>
    </row>
    <row r="66" spans="1:7" x14ac:dyDescent="0.25">
      <c r="A66" s="678"/>
      <c r="B66" s="125" t="s">
        <v>2449</v>
      </c>
      <c r="C66" s="675"/>
      <c r="D66" s="675"/>
      <c r="E66" s="675"/>
      <c r="F66" s="675"/>
      <c r="G66" s="675"/>
    </row>
    <row r="67" spans="1:7" x14ac:dyDescent="0.25">
      <c r="B67" s="675"/>
      <c r="C67" s="675"/>
      <c r="D67" s="675" t="s">
        <v>2422</v>
      </c>
      <c r="E67" s="675"/>
      <c r="F67" s="675" t="s">
        <v>2687</v>
      </c>
      <c r="G67" s="675"/>
    </row>
    <row r="68" spans="1:7" x14ac:dyDescent="0.25">
      <c r="B68" s="675"/>
      <c r="C68" s="675"/>
      <c r="D68" s="675"/>
      <c r="E68" s="675"/>
      <c r="F68" s="675"/>
      <c r="G68" s="675"/>
    </row>
    <row r="69" spans="1:7" x14ac:dyDescent="0.25">
      <c r="B69" s="675"/>
      <c r="C69" s="675"/>
      <c r="D69" s="675"/>
      <c r="E69" s="675"/>
      <c r="F69" s="675"/>
      <c r="G69" s="675"/>
    </row>
    <row r="70" spans="1:7" x14ac:dyDescent="0.25">
      <c r="B70" s="675"/>
      <c r="C70" s="675"/>
      <c r="D70" s="675"/>
      <c r="E70" s="675"/>
      <c r="F70" s="675"/>
      <c r="G70" s="675"/>
    </row>
    <row r="81" spans="1:7" x14ac:dyDescent="0.25">
      <c r="A81" s="77"/>
      <c r="B81" s="100"/>
      <c r="C81" s="100"/>
      <c r="D81" s="100"/>
      <c r="E81" s="100"/>
      <c r="F81" s="100"/>
      <c r="G81" s="132"/>
    </row>
    <row r="82" spans="1:7" x14ac:dyDescent="0.25">
      <c r="A82" s="77"/>
      <c r="B82" s="100"/>
      <c r="C82" s="100"/>
      <c r="D82" s="100"/>
      <c r="E82" s="100"/>
      <c r="F82" s="100"/>
      <c r="G82" s="132"/>
    </row>
    <row r="83" spans="1:7" x14ac:dyDescent="0.25">
      <c r="A83" s="777"/>
      <c r="B83" s="778"/>
      <c r="C83" s="778"/>
      <c r="D83" s="778"/>
      <c r="E83" s="778"/>
      <c r="F83" s="778"/>
      <c r="G83" s="778"/>
    </row>
    <row r="84" spans="1:7" x14ac:dyDescent="0.25">
      <c r="A84" s="777"/>
      <c r="B84" s="778"/>
      <c r="C84" s="778"/>
      <c r="D84" s="778"/>
      <c r="E84" s="778"/>
      <c r="F84" s="778"/>
      <c r="G84" s="778"/>
    </row>
    <row r="85" spans="1:7" x14ac:dyDescent="0.25">
      <c r="A85" s="777"/>
      <c r="B85" s="778"/>
      <c r="C85" s="778"/>
      <c r="D85" s="778"/>
      <c r="E85" s="778"/>
      <c r="F85" s="778"/>
      <c r="G85" s="778"/>
    </row>
    <row r="86" spans="1:7" x14ac:dyDescent="0.25">
      <c r="A86" s="777"/>
      <c r="B86" s="778"/>
      <c r="C86" s="778"/>
      <c r="D86" s="778"/>
      <c r="E86" s="778"/>
      <c r="F86" s="778"/>
      <c r="G86" s="778"/>
    </row>
    <row r="87" spans="1:7" x14ac:dyDescent="0.25">
      <c r="A87" s="777"/>
      <c r="B87" s="778"/>
      <c r="C87" s="778"/>
      <c r="D87" s="778"/>
      <c r="E87" s="778"/>
      <c r="F87" s="778"/>
      <c r="G87" s="778"/>
    </row>
    <row r="88" spans="1:7" x14ac:dyDescent="0.25">
      <c r="A88" s="777"/>
      <c r="B88" s="778"/>
      <c r="C88" s="778"/>
      <c r="D88" s="778"/>
      <c r="E88" s="778"/>
      <c r="F88" s="778"/>
      <c r="G88" s="778"/>
    </row>
    <row r="89" spans="1:7" x14ac:dyDescent="0.25">
      <c r="A89" s="777"/>
      <c r="B89" s="778"/>
      <c r="C89" s="778"/>
      <c r="D89" s="778"/>
      <c r="E89" s="778"/>
      <c r="F89" s="778"/>
      <c r="G89" s="778"/>
    </row>
    <row r="90" spans="1:7" x14ac:dyDescent="0.25">
      <c r="A90" s="777"/>
      <c r="B90" s="778"/>
      <c r="C90" s="778"/>
      <c r="D90" s="778"/>
      <c r="E90" s="778"/>
      <c r="F90" s="778"/>
      <c r="G90" s="778"/>
    </row>
    <row r="91" spans="1:7" x14ac:dyDescent="0.25">
      <c r="A91" s="777"/>
      <c r="B91" s="778"/>
      <c r="C91" s="778"/>
      <c r="D91" s="778"/>
      <c r="E91" s="778"/>
      <c r="F91" s="778"/>
      <c r="G91" s="778"/>
    </row>
    <row r="92" spans="1:7" x14ac:dyDescent="0.25">
      <c r="A92" s="777"/>
      <c r="B92" s="778"/>
      <c r="C92" s="778"/>
      <c r="D92" s="778"/>
      <c r="E92" s="778"/>
      <c r="F92" s="778"/>
      <c r="G92" s="778"/>
    </row>
    <row r="93" spans="1:7" x14ac:dyDescent="0.25">
      <c r="A93" s="777"/>
      <c r="B93" s="778"/>
      <c r="C93" s="778"/>
      <c r="D93" s="778"/>
      <c r="E93" s="778"/>
      <c r="F93" s="778"/>
      <c r="G93" s="778"/>
    </row>
    <row r="94" spans="1:7" x14ac:dyDescent="0.25">
      <c r="A94" s="777"/>
      <c r="B94" s="778"/>
      <c r="C94" s="778"/>
      <c r="D94" s="778"/>
      <c r="E94" s="778"/>
      <c r="F94" s="778"/>
      <c r="G94" s="778"/>
    </row>
    <row r="95" spans="1:7" x14ac:dyDescent="0.25">
      <c r="A95" s="777"/>
      <c r="B95" s="778"/>
      <c r="C95" s="778"/>
      <c r="D95" s="778"/>
      <c r="E95" s="778"/>
      <c r="F95" s="778"/>
      <c r="G95" s="778"/>
    </row>
    <row r="96" spans="1:7" x14ac:dyDescent="0.25">
      <c r="A96" s="777"/>
      <c r="B96" s="778"/>
      <c r="C96" s="778"/>
      <c r="D96" s="778"/>
      <c r="E96" s="778"/>
      <c r="F96" s="778"/>
      <c r="G96" s="778"/>
    </row>
    <row r="97" spans="1:7" x14ac:dyDescent="0.25">
      <c r="A97" s="777"/>
      <c r="B97" s="778"/>
      <c r="C97" s="778"/>
      <c r="D97" s="778"/>
      <c r="E97" s="778"/>
      <c r="F97" s="778"/>
      <c r="G97" s="778"/>
    </row>
    <row r="98" spans="1:7" x14ac:dyDescent="0.25">
      <c r="A98" s="777"/>
      <c r="B98" s="778"/>
      <c r="C98" s="778"/>
      <c r="D98" s="778"/>
      <c r="E98" s="778"/>
      <c r="F98" s="778"/>
      <c r="G98" s="778"/>
    </row>
    <row r="99" spans="1:7" x14ac:dyDescent="0.25">
      <c r="A99" s="777"/>
      <c r="B99" s="778"/>
      <c r="C99" s="778"/>
      <c r="D99" s="778"/>
      <c r="E99" s="778"/>
      <c r="F99" s="778"/>
      <c r="G99" s="778"/>
    </row>
    <row r="100" spans="1:7" x14ac:dyDescent="0.25">
      <c r="A100" s="777"/>
      <c r="B100" s="778"/>
      <c r="C100" s="778"/>
      <c r="D100" s="778"/>
      <c r="E100" s="778"/>
      <c r="F100" s="778"/>
      <c r="G100" s="778"/>
    </row>
    <row r="101" spans="1:7" x14ac:dyDescent="0.25">
      <c r="A101" s="777"/>
      <c r="B101" s="778"/>
      <c r="C101" s="778"/>
      <c r="D101" s="778"/>
      <c r="E101" s="778"/>
      <c r="F101" s="778"/>
      <c r="G101" s="778"/>
    </row>
    <row r="102" spans="1:7" x14ac:dyDescent="0.25">
      <c r="A102" s="777"/>
      <c r="B102" s="778"/>
      <c r="C102" s="778"/>
      <c r="D102" s="778"/>
      <c r="E102" s="778"/>
      <c r="F102" s="778"/>
      <c r="G102" s="778"/>
    </row>
    <row r="103" spans="1:7" x14ac:dyDescent="0.25">
      <c r="A103" s="777"/>
      <c r="B103" s="778"/>
      <c r="C103" s="778"/>
      <c r="D103" s="778"/>
      <c r="E103" s="778"/>
      <c r="F103" s="778"/>
      <c r="G103" s="778"/>
    </row>
    <row r="104" spans="1:7" x14ac:dyDescent="0.25">
      <c r="A104" s="777"/>
      <c r="B104" s="778"/>
      <c r="C104" s="778"/>
      <c r="D104" s="778"/>
      <c r="E104" s="778"/>
      <c r="F104" s="778"/>
      <c r="G104" s="778"/>
    </row>
    <row r="105" spans="1:7" x14ac:dyDescent="0.25">
      <c r="A105" s="777"/>
      <c r="B105" s="778"/>
      <c r="C105" s="778"/>
      <c r="D105" s="778"/>
      <c r="E105" s="778"/>
      <c r="F105" s="778"/>
      <c r="G105" s="778"/>
    </row>
    <row r="106" spans="1:7" x14ac:dyDescent="0.25">
      <c r="A106" s="777"/>
      <c r="B106" s="778"/>
      <c r="C106" s="778"/>
      <c r="D106" s="778"/>
      <c r="E106" s="778"/>
      <c r="F106" s="778"/>
      <c r="G106" s="778"/>
    </row>
    <row r="107" spans="1:7" x14ac:dyDescent="0.25">
      <c r="A107" s="777"/>
      <c r="B107" s="778"/>
      <c r="C107" s="778"/>
      <c r="D107" s="778"/>
      <c r="E107" s="778"/>
      <c r="F107" s="778"/>
      <c r="G107" s="778"/>
    </row>
    <row r="108" spans="1:7" x14ac:dyDescent="0.25">
      <c r="A108" s="777"/>
      <c r="B108" s="778"/>
      <c r="C108" s="778"/>
      <c r="D108" s="778"/>
      <c r="E108" s="778"/>
      <c r="F108" s="778"/>
      <c r="G108" s="778"/>
    </row>
    <row r="109" spans="1:7" x14ac:dyDescent="0.25">
      <c r="A109" s="777"/>
      <c r="B109" s="778"/>
      <c r="C109" s="778"/>
      <c r="D109" s="778"/>
      <c r="E109" s="778"/>
      <c r="F109" s="778"/>
      <c r="G109" s="778"/>
    </row>
    <row r="110" spans="1:7" x14ac:dyDescent="0.25">
      <c r="A110" s="777"/>
      <c r="B110" s="778"/>
      <c r="C110" s="778"/>
      <c r="D110" s="778"/>
      <c r="E110" s="778"/>
      <c r="F110" s="778"/>
      <c r="G110" s="778"/>
    </row>
    <row r="111" spans="1:7" x14ac:dyDescent="0.25">
      <c r="A111" s="777"/>
      <c r="B111" s="778"/>
      <c r="C111" s="778"/>
      <c r="D111" s="778"/>
      <c r="E111" s="778"/>
      <c r="F111" s="778"/>
      <c r="G111" s="778"/>
    </row>
    <row r="112" spans="1:7" x14ac:dyDescent="0.25">
      <c r="A112" s="777"/>
      <c r="B112" s="778"/>
      <c r="C112" s="778"/>
      <c r="D112" s="778"/>
      <c r="E112" s="778"/>
      <c r="F112" s="778"/>
      <c r="G112" s="778"/>
    </row>
    <row r="113" spans="1:7" x14ac:dyDescent="0.25">
      <c r="A113" s="777"/>
      <c r="B113" s="778"/>
      <c r="C113" s="778"/>
      <c r="D113" s="778"/>
      <c r="E113" s="778"/>
      <c r="F113" s="778"/>
      <c r="G113" s="778"/>
    </row>
    <row r="114" spans="1:7" x14ac:dyDescent="0.25">
      <c r="A114" s="777"/>
      <c r="B114" s="778"/>
      <c r="C114" s="778"/>
      <c r="D114" s="778"/>
      <c r="E114" s="778"/>
      <c r="F114" s="778"/>
      <c r="G114" s="778"/>
    </row>
    <row r="115" spans="1:7" x14ac:dyDescent="0.25">
      <c r="A115" s="777"/>
      <c r="B115" s="778"/>
      <c r="C115" s="778"/>
      <c r="D115" s="778"/>
      <c r="E115" s="778"/>
      <c r="F115" s="778"/>
      <c r="G115" s="778"/>
    </row>
    <row r="116" spans="1:7" x14ac:dyDescent="0.25">
      <c r="A116" s="777"/>
      <c r="B116" s="778"/>
      <c r="C116" s="778"/>
      <c r="D116" s="778"/>
      <c r="E116" s="778"/>
      <c r="F116" s="778"/>
      <c r="G116" s="778"/>
    </row>
    <row r="117" spans="1:7" x14ac:dyDescent="0.25">
      <c r="A117" s="777"/>
      <c r="B117" s="778"/>
      <c r="C117" s="778"/>
      <c r="D117" s="778"/>
      <c r="E117" s="778"/>
      <c r="F117" s="778"/>
      <c r="G117" s="778"/>
    </row>
    <row r="118" spans="1:7" x14ac:dyDescent="0.25">
      <c r="A118" s="777"/>
      <c r="B118" s="778"/>
      <c r="C118" s="778"/>
      <c r="D118" s="778"/>
      <c r="E118" s="778"/>
      <c r="F118" s="778"/>
      <c r="G118" s="778"/>
    </row>
    <row r="119" spans="1:7" x14ac:dyDescent="0.25">
      <c r="A119" s="777"/>
      <c r="B119" s="778"/>
      <c r="C119" s="778"/>
      <c r="D119" s="778"/>
      <c r="E119" s="778"/>
      <c r="F119" s="778"/>
      <c r="G119" s="778"/>
    </row>
    <row r="120" spans="1:7" x14ac:dyDescent="0.25">
      <c r="A120" s="777"/>
      <c r="B120" s="778"/>
      <c r="C120" s="778"/>
      <c r="D120" s="778"/>
      <c r="E120" s="778"/>
      <c r="F120" s="778"/>
      <c r="G120" s="778"/>
    </row>
    <row r="121" spans="1:7" x14ac:dyDescent="0.25">
      <c r="A121" s="777"/>
      <c r="B121" s="778"/>
      <c r="C121" s="778"/>
      <c r="D121" s="778"/>
      <c r="E121" s="778"/>
      <c r="F121" s="778"/>
      <c r="G121" s="778"/>
    </row>
    <row r="122" spans="1:7" x14ac:dyDescent="0.25">
      <c r="A122" s="777"/>
      <c r="B122" s="778"/>
      <c r="C122" s="778"/>
      <c r="D122" s="778"/>
      <c r="E122" s="778"/>
      <c r="F122" s="778"/>
      <c r="G122" s="778"/>
    </row>
    <row r="123" spans="1:7" x14ac:dyDescent="0.25">
      <c r="A123" s="777"/>
      <c r="B123" s="778"/>
      <c r="C123" s="778"/>
      <c r="D123" s="778"/>
      <c r="E123" s="778"/>
      <c r="F123" s="778"/>
      <c r="G123" s="778"/>
    </row>
    <row r="124" spans="1:7" x14ac:dyDescent="0.25">
      <c r="A124" s="777"/>
      <c r="B124" s="778"/>
      <c r="C124" s="778"/>
      <c r="D124" s="778"/>
      <c r="E124" s="778"/>
      <c r="F124" s="778"/>
      <c r="G124" s="778"/>
    </row>
    <row r="125" spans="1:7" x14ac:dyDescent="0.25">
      <c r="A125" s="777"/>
      <c r="B125" s="778"/>
      <c r="C125" s="778"/>
      <c r="D125" s="778"/>
      <c r="E125" s="778"/>
      <c r="F125" s="778"/>
      <c r="G125" s="778"/>
    </row>
    <row r="126" spans="1:7" x14ac:dyDescent="0.25">
      <c r="A126" s="777"/>
      <c r="B126" s="778"/>
      <c r="C126" s="778"/>
      <c r="D126" s="778"/>
      <c r="E126" s="778"/>
      <c r="F126" s="778"/>
      <c r="G126" s="778"/>
    </row>
    <row r="127" spans="1:7" x14ac:dyDescent="0.25">
      <c r="A127" s="777"/>
      <c r="B127" s="778"/>
      <c r="C127" s="778"/>
      <c r="D127" s="778"/>
      <c r="E127" s="778"/>
      <c r="F127" s="778"/>
      <c r="G127" s="778"/>
    </row>
    <row r="128" spans="1:7" x14ac:dyDescent="0.25">
      <c r="A128" s="777"/>
      <c r="B128" s="778"/>
      <c r="C128" s="778"/>
      <c r="D128" s="778"/>
      <c r="E128" s="778"/>
      <c r="F128" s="778"/>
      <c r="G128" s="778"/>
    </row>
    <row r="129" spans="1:7" x14ac:dyDescent="0.25">
      <c r="A129" s="777"/>
      <c r="B129" s="778"/>
      <c r="C129" s="778"/>
      <c r="D129" s="778"/>
      <c r="E129" s="778"/>
      <c r="F129" s="778"/>
      <c r="G129" s="778"/>
    </row>
    <row r="130" spans="1:7" x14ac:dyDescent="0.25">
      <c r="A130" s="777"/>
      <c r="B130" s="778"/>
      <c r="C130" s="778"/>
      <c r="D130" s="778"/>
      <c r="E130" s="778"/>
      <c r="F130" s="778"/>
      <c r="G130" s="778"/>
    </row>
    <row r="131" spans="1:7" x14ac:dyDescent="0.25">
      <c r="A131" s="777"/>
      <c r="B131" s="778"/>
      <c r="C131" s="778"/>
      <c r="D131" s="778"/>
      <c r="E131" s="778"/>
      <c r="F131" s="778"/>
      <c r="G131" s="778"/>
    </row>
  </sheetData>
  <sheetProtection formatCells="0" formatRows="0" autoFilter="0"/>
  <autoFilter ref="A10:G48">
    <filterColumn colId="0" showButton="0">
      <filters>
        <filter val="_x000a_"/>
      </filters>
    </filterColumn>
    <filterColumn colId="1" showButton="0"/>
    <filterColumn colId="2" showButton="0"/>
    <filterColumn colId="3" showButton="0"/>
    <filterColumn colId="4" showButton="0"/>
    <filterColumn colId="5" showButton="0"/>
  </autoFilter>
  <mergeCells count="54">
    <mergeCell ref="A21:G21"/>
    <mergeCell ref="A45:G45"/>
    <mergeCell ref="A40:G40"/>
    <mergeCell ref="A22:G22"/>
    <mergeCell ref="A25:G25"/>
    <mergeCell ref="A32:G32"/>
    <mergeCell ref="A35:G35"/>
    <mergeCell ref="A27:G27"/>
    <mergeCell ref="A28:G28"/>
    <mergeCell ref="A36:G36"/>
    <mergeCell ref="A24:G24"/>
    <mergeCell ref="D63:E63"/>
    <mergeCell ref="D53:E53"/>
    <mergeCell ref="D54:E54"/>
    <mergeCell ref="D55:E55"/>
    <mergeCell ref="A37:G37"/>
    <mergeCell ref="A49:G49"/>
    <mergeCell ref="D58:E58"/>
    <mergeCell ref="D57:E57"/>
    <mergeCell ref="A38:G38"/>
    <mergeCell ref="D56:E56"/>
    <mergeCell ref="A50:C50"/>
    <mergeCell ref="A51:G51"/>
    <mergeCell ref="A46:G46"/>
    <mergeCell ref="A44:G44"/>
    <mergeCell ref="A42:G42"/>
    <mergeCell ref="A48:G48"/>
    <mergeCell ref="B59:G62"/>
    <mergeCell ref="A17:G17"/>
    <mergeCell ref="A18:G18"/>
    <mergeCell ref="A26:G26"/>
    <mergeCell ref="A41:G41"/>
    <mergeCell ref="A34:G34"/>
    <mergeCell ref="A31:G31"/>
    <mergeCell ref="A30:G30"/>
    <mergeCell ref="A43:G43"/>
    <mergeCell ref="A39:G39"/>
    <mergeCell ref="A33:G33"/>
    <mergeCell ref="C52:G52"/>
    <mergeCell ref="A23:G23"/>
    <mergeCell ref="A29:G29"/>
    <mergeCell ref="A47:G47"/>
    <mergeCell ref="A52:B52"/>
    <mergeCell ref="B3:D3"/>
    <mergeCell ref="B5:F5"/>
    <mergeCell ref="A20:G20"/>
    <mergeCell ref="A13:G13"/>
    <mergeCell ref="A14:G14"/>
    <mergeCell ref="A10:G10"/>
    <mergeCell ref="A11:G11"/>
    <mergeCell ref="A12:G12"/>
    <mergeCell ref="A16:G16"/>
    <mergeCell ref="A15:G15"/>
    <mergeCell ref="A19:G19"/>
  </mergeCells>
  <dataValidations count="3">
    <dataValidation type="list" allowBlank="1" showInputMessage="1" showErrorMessage="1" sqref="F54:F55 F63">
      <formula1>INDIRECT("имена_урологов[урологи]")</formula1>
    </dataValidation>
    <dataValidation type="list" allowBlank="1" showInputMessage="1" showErrorMessage="1" sqref="F56">
      <formula1>INDIRECT("Таблица2[анестезиологи]")</formula1>
    </dataValidation>
    <dataValidation type="list" allowBlank="1" showInputMessage="1" showErrorMessage="1" sqref="F57:F58">
      <formula1>INDIRECT("Таблица3[м\с]")</formula1>
    </dataValidation>
  </dataValidations>
  <pageMargins left="0.70866141732283461" right="0.70866141732283461" top="0.74803149606299213" bottom="0.74803149606299213" header="0.31496062992125984" footer="0.31496062992125984"/>
  <pageSetup paperSize="9" orientation="portrait" r:id="rId1"/>
  <colBreaks count="1" manualBreakCount="1">
    <brk id="7" max="1048575" man="1"/>
  </colBreaks>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filterMode="1">
    <tabColor theme="9" tint="0.39997558519241921"/>
  </sheetPr>
  <dimension ref="A1:O110"/>
  <sheetViews>
    <sheetView tabSelected="1" showWhiteSpace="0" view="pageBreakPreview" topLeftCell="A7" zoomScale="106" zoomScaleNormal="100" zoomScaleSheetLayoutView="106" zoomScalePageLayoutView="115" workbookViewId="0">
      <selection activeCell="A2" sqref="A2"/>
    </sheetView>
  </sheetViews>
  <sheetFormatPr defaultRowHeight="15" x14ac:dyDescent="0.25"/>
  <cols>
    <col min="1" max="1" width="9.140625" style="125" customWidth="1"/>
    <col min="2" max="2" width="9.140625" style="125"/>
    <col min="3" max="3" width="9.28515625" style="125" bestFit="1" customWidth="1"/>
    <col min="4" max="5" width="9.140625" style="125"/>
    <col min="6" max="6" width="10.42578125" style="125" customWidth="1"/>
    <col min="7" max="7" width="10.28515625" style="125" bestFit="1" customWidth="1"/>
    <col min="8" max="10" width="9.140625" style="125"/>
    <col min="11" max="11" width="84.85546875" style="172" hidden="1" customWidth="1"/>
    <col min="12" max="12" width="67.42578125" style="433" hidden="1" customWidth="1"/>
    <col min="13" max="13" width="11.140625" style="125" hidden="1" customWidth="1"/>
    <col min="14" max="14" width="9.140625" style="125"/>
    <col min="15" max="15" width="0" style="125" hidden="1" customWidth="1"/>
    <col min="16" max="16384" width="9.140625" style="125"/>
  </cols>
  <sheetData>
    <row r="1" spans="1:15" s="721" customFormat="1" x14ac:dyDescent="0.25">
      <c r="A1" s="722"/>
      <c r="K1" s="720"/>
      <c r="L1" s="720"/>
    </row>
    <row r="2" spans="1:15" ht="15.75" x14ac:dyDescent="0.25">
      <c r="A2" s="656">
        <f ca="1">TODAY()</f>
        <v>42601</v>
      </c>
      <c r="C2" s="842" t="s">
        <v>2409</v>
      </c>
      <c r="D2" s="843"/>
      <c r="E2" s="843"/>
      <c r="F2" s="843"/>
      <c r="G2" s="843"/>
      <c r="H2" s="843"/>
    </row>
    <row r="3" spans="1:15" x14ac:dyDescent="0.25">
      <c r="A3" s="293">
        <v>0.33333333333333331</v>
      </c>
      <c r="F3" s="733" t="str">
        <f>[0]!ФИО</f>
        <v>Иванова Е.П.</v>
      </c>
      <c r="H3" s="544" t="str">
        <f>Данные!B5</f>
        <v>№ и/б</v>
      </c>
      <c r="I3" s="60">
        <f>Данные!C5</f>
        <v>5903</v>
      </c>
    </row>
    <row r="4" spans="1:15" ht="15.75" x14ac:dyDescent="0.25">
      <c r="A4" s="166" t="s">
        <v>339</v>
      </c>
      <c r="C4" s="833" t="s">
        <v>2613</v>
      </c>
      <c r="D4" s="844"/>
      <c r="E4" s="844"/>
      <c r="F4" s="844"/>
      <c r="G4" s="844"/>
      <c r="H4" s="844"/>
      <c r="I4" s="844"/>
      <c r="L4" s="433" t="str">
        <f>C4</f>
        <v>Активно не предьявляет</v>
      </c>
    </row>
    <row r="5" spans="1:15" ht="15.75" x14ac:dyDescent="0.25">
      <c r="A5" s="166" t="s">
        <v>1410</v>
      </c>
    </row>
    <row r="6" spans="1:15" ht="120" x14ac:dyDescent="0.25">
      <c r="A6" s="845" t="s">
        <v>2591</v>
      </c>
      <c r="B6" s="845"/>
      <c r="C6" s="845"/>
      <c r="D6" s="845"/>
      <c r="E6" s="845"/>
      <c r="F6" s="845"/>
      <c r="G6" s="845"/>
      <c r="H6" s="845"/>
      <c r="I6" s="845"/>
      <c r="K6" s="172" t="str">
        <f>A6</f>
        <v xml:space="preserve">Состояние  удовлетворительное. Температура 36,9С. Кожные покровы обычной окраски. Л/у доступные пальпации не увеличены. Дыхание в легких везикулярное. ЧД 16 в мин. Тоны сердца приглушены, ритмичные. АД 120/80, ЧСС 70 в мин. Живот не вздут, симметричный, мягкий, участвует в акте дыхания. Перистальтика выслушивается. С-м Щеткина-Блюмберга отр. Печень по краю реберной дуги.  Поясничная область не изменена. Почки не пальпируются. Пальпация их безболезненная. С-м "поколачивания" отрицательный с обеих сторон. Мочевой пузырь пальпаторно и перкуторно не определяется. Уретрита нет.  </v>
      </c>
    </row>
    <row r="7" spans="1:15" x14ac:dyDescent="0.25">
      <c r="A7" s="704" t="s">
        <v>2575</v>
      </c>
      <c r="B7" s="703" t="s">
        <v>323</v>
      </c>
      <c r="C7" s="845" t="s">
        <v>2579</v>
      </c>
      <c r="D7" s="949"/>
      <c r="E7" s="703">
        <v>2000</v>
      </c>
      <c r="F7" s="703" t="s">
        <v>2580</v>
      </c>
      <c r="G7" s="845" t="s">
        <v>2581</v>
      </c>
      <c r="H7" s="949"/>
      <c r="I7" s="949"/>
      <c r="K7" s="172" t="str">
        <f>A7</f>
        <v>Стул:</v>
      </c>
    </row>
    <row r="8" spans="1:15" x14ac:dyDescent="0.25">
      <c r="A8" s="704" t="s">
        <v>2584</v>
      </c>
      <c r="B8" s="845" t="s">
        <v>2590</v>
      </c>
      <c r="C8" s="949"/>
      <c r="D8" s="949"/>
      <c r="E8" s="703"/>
      <c r="F8" s="703"/>
      <c r="G8" s="703"/>
      <c r="H8" s="703"/>
      <c r="I8" s="703"/>
      <c r="K8" s="694"/>
      <c r="L8" s="694"/>
    </row>
    <row r="9" spans="1:15" x14ac:dyDescent="0.25">
      <c r="A9" s="846"/>
      <c r="B9" s="949"/>
      <c r="C9" s="949"/>
      <c r="D9" s="949"/>
      <c r="E9" s="703"/>
      <c r="F9" s="845"/>
      <c r="G9" s="949"/>
      <c r="H9" s="949"/>
      <c r="I9" s="949"/>
      <c r="K9" s="694"/>
      <c r="L9" s="694"/>
    </row>
    <row r="10" spans="1:15" x14ac:dyDescent="0.25">
      <c r="A10" s="846"/>
      <c r="B10" s="949"/>
      <c r="C10" s="949"/>
      <c r="D10" s="949"/>
      <c r="E10" s="703"/>
      <c r="F10" s="845"/>
      <c r="G10" s="949"/>
      <c r="H10" s="949"/>
      <c r="I10" s="949"/>
      <c r="K10" s="694"/>
      <c r="L10" s="694"/>
    </row>
    <row r="11" spans="1:15" customFormat="1" x14ac:dyDescent="0.25">
      <c r="A11" s="855" t="s">
        <v>2612</v>
      </c>
      <c r="B11" s="855"/>
      <c r="C11" s="950" t="s">
        <v>2589</v>
      </c>
      <c r="D11" s="856"/>
      <c r="E11" s="856"/>
      <c r="F11" s="856"/>
      <c r="G11" s="856"/>
      <c r="H11" s="856"/>
      <c r="I11" s="856"/>
      <c r="K11" s="694"/>
      <c r="L11" s="694"/>
      <c r="M11" s="125"/>
      <c r="O11" s="125"/>
    </row>
    <row r="12" spans="1:15" x14ac:dyDescent="0.25">
      <c r="A12" s="846"/>
      <c r="B12" s="856"/>
      <c r="C12" s="856"/>
      <c r="D12" s="856"/>
      <c r="E12" s="856"/>
      <c r="F12" s="856"/>
      <c r="G12" s="856"/>
      <c r="H12" s="856"/>
      <c r="I12" s="856"/>
      <c r="K12" s="694"/>
      <c r="L12" s="694"/>
    </row>
    <row r="13" spans="1:15" x14ac:dyDescent="0.25">
      <c r="A13" s="167" t="s">
        <v>31</v>
      </c>
      <c r="C13" s="168">
        <f ca="1">A2-дата_поступления</f>
        <v>9</v>
      </c>
      <c r="D13" s="125" t="s">
        <v>384</v>
      </c>
      <c r="F13" s="168">
        <f ca="1">IF((A2-Дата_операции)&lt;1, " ", IF(Дата_операции=0, " ", A2-Дата_операции))</f>
        <v>14</v>
      </c>
      <c r="G13" s="125" t="str">
        <f ca="1">IF((A2-Дата_операции)&lt;1, " ", IF(Дата_операции=0, " ", "сутки после операции"))</f>
        <v>сутки после операции</v>
      </c>
    </row>
    <row r="14" spans="1:15" x14ac:dyDescent="0.25">
      <c r="A14" s="7" t="s">
        <v>71</v>
      </c>
      <c r="B14" s="6"/>
      <c r="C14" s="6"/>
      <c r="D14" s="6"/>
      <c r="E14" s="6"/>
      <c r="F14" s="6"/>
      <c r="G14" s="6"/>
      <c r="H14" s="6"/>
    </row>
    <row r="15" spans="1:15" ht="46.5" customHeight="1" x14ac:dyDescent="0.25">
      <c r="A15" s="838"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15" s="847"/>
      <c r="C15" s="847"/>
      <c r="D15" s="847"/>
      <c r="E15" s="847"/>
      <c r="F15" s="847"/>
      <c r="G15" s="847"/>
      <c r="H15" s="847"/>
      <c r="I15" s="847"/>
      <c r="K15" s="172" t="str">
        <f>A15</f>
        <v>МКБ, рецидив. Резидуальный камень н\чашки справа 20 мм.                                                                                                                                                                                                                                                                                                                                                           Гидронефроз справа 1 ст. Хронический калькулезный пиелонефрит , латентное течение. ХПН 0-1</v>
      </c>
    </row>
    <row r="16" spans="1:15" x14ac:dyDescent="0.25">
      <c r="A16" s="7" t="str">
        <f>IF(Сопутствующий_диагноз=0, " ", "Сопутствующий диагноз:")</f>
        <v>Сопутствующий диагноз:</v>
      </c>
      <c r="B16" s="6"/>
      <c r="C16" s="6"/>
      <c r="D16" s="6"/>
      <c r="E16" s="6"/>
      <c r="F16" s="6"/>
      <c r="G16" s="6"/>
      <c r="H16" s="6"/>
    </row>
    <row r="17" spans="1:12" x14ac:dyDescent="0.25">
      <c r="A17" s="838" t="str">
        <f>IF(Сопутствующий_диагноз=0, " ", Сопутствующий_диагноз)</f>
        <v xml:space="preserve">ИБС: АКС. САГ 2 ст, 2 ст, риск 3. Ожирение 3-4 ст. П\о вентральная грыжа. </v>
      </c>
      <c r="B17" s="839"/>
      <c r="C17" s="839"/>
      <c r="D17" s="839"/>
      <c r="E17" s="839"/>
      <c r="F17" s="839"/>
      <c r="G17" s="839"/>
      <c r="H17" s="839"/>
      <c r="I17" s="839"/>
      <c r="K17" s="172" t="str">
        <f>A17</f>
        <v xml:space="preserve">ИБС: АКС. САГ 2 ст, 2 ст, риск 3. Ожирение 3-4 ст. П\о вентральная грыжа. </v>
      </c>
    </row>
    <row r="18" spans="1:12" x14ac:dyDescent="0.25">
      <c r="A18" s="695"/>
      <c r="B18" s="696"/>
      <c r="C18" s="696"/>
      <c r="D18" s="696"/>
      <c r="E18" s="696"/>
      <c r="F18" s="696"/>
      <c r="G18" s="696"/>
      <c r="H18" s="696"/>
      <c r="I18" s="696"/>
      <c r="K18" s="172">
        <f>A18</f>
        <v>0</v>
      </c>
    </row>
    <row r="19" spans="1:12" x14ac:dyDescent="0.25">
      <c r="B19" s="169" t="s">
        <v>39</v>
      </c>
      <c r="C19" s="833"/>
      <c r="D19" s="834"/>
      <c r="E19" s="834"/>
      <c r="F19" s="834"/>
      <c r="G19" s="834"/>
      <c r="H19" s="834"/>
      <c r="I19" s="834"/>
      <c r="L19" s="433">
        <f>C19</f>
        <v>0</v>
      </c>
    </row>
    <row r="20" spans="1:12" x14ac:dyDescent="0.25">
      <c r="C20" s="833" t="s">
        <v>2410</v>
      </c>
      <c r="D20" s="834"/>
      <c r="E20" s="834"/>
      <c r="F20" s="834"/>
      <c r="G20" s="834"/>
      <c r="H20" s="834"/>
      <c r="I20" s="834"/>
      <c r="L20" s="433" t="str">
        <f t="shared" ref="L20:L68" si="0">C20</f>
        <v xml:space="preserve">Динамическое наблюдение, контроль жалоб, термометрия  </v>
      </c>
    </row>
    <row r="21" spans="1:12" s="8" customFormat="1" hidden="1" x14ac:dyDescent="0.25">
      <c r="C21" s="833" t="s">
        <v>45</v>
      </c>
      <c r="D21" s="834"/>
      <c r="E21" s="834"/>
      <c r="F21" s="834"/>
      <c r="G21" s="834"/>
      <c r="H21" s="834"/>
      <c r="I21" s="834"/>
      <c r="K21" s="186"/>
      <c r="L21" s="433" t="str">
        <f t="shared" si="0"/>
        <v>Стол ОВД, режим палатный</v>
      </c>
    </row>
    <row r="22" spans="1:12" s="133" customFormat="1" hidden="1" x14ac:dyDescent="0.25">
      <c r="C22" s="833" t="s">
        <v>392</v>
      </c>
      <c r="D22" s="834"/>
      <c r="E22" s="834"/>
      <c r="F22" s="834"/>
      <c r="G22" s="834"/>
      <c r="H22" s="834"/>
      <c r="I22" s="834"/>
      <c r="K22" s="172"/>
      <c r="L22" s="433" t="str">
        <f t="shared" si="0"/>
        <v>Ежедневные перевязки</v>
      </c>
    </row>
    <row r="23" spans="1:12" hidden="1" x14ac:dyDescent="0.25">
      <c r="C23" s="833" t="s">
        <v>391</v>
      </c>
      <c r="D23" s="834"/>
      <c r="E23" s="834"/>
      <c r="F23" s="834"/>
      <c r="G23" s="834"/>
      <c r="H23" s="834"/>
      <c r="I23" s="834"/>
      <c r="L23" s="433" t="str">
        <f t="shared" si="0"/>
        <v>Tab. Omezi 20мг х 2р/с per os</v>
      </c>
    </row>
    <row r="24" spans="1:12" s="8" customFormat="1" hidden="1" x14ac:dyDescent="0.25">
      <c r="C24" s="833" t="s">
        <v>2624</v>
      </c>
      <c r="D24" s="834"/>
      <c r="E24" s="834"/>
      <c r="F24" s="834"/>
      <c r="G24" s="834"/>
      <c r="H24" s="834"/>
      <c r="I24" s="834"/>
      <c r="K24" s="172"/>
      <c r="L24" s="433" t="str">
        <f t="shared" si="0"/>
        <v>Sol. Amikacini 1,5 гм в/м</v>
      </c>
    </row>
    <row r="25" spans="1:12" s="8" customFormat="1" hidden="1" x14ac:dyDescent="0.25">
      <c r="C25" s="833" t="s">
        <v>393</v>
      </c>
      <c r="D25" s="834"/>
      <c r="E25" s="834"/>
      <c r="F25" s="834"/>
      <c r="G25" s="834"/>
      <c r="H25" s="834"/>
      <c r="I25" s="834"/>
      <c r="K25" s="172"/>
      <c r="L25" s="433" t="str">
        <f t="shared" si="0"/>
        <v>Sol. Analgini 2мл - 50% в/м</v>
      </c>
    </row>
    <row r="26" spans="1:12" s="8" customFormat="1" hidden="1" x14ac:dyDescent="0.25">
      <c r="C26" s="833" t="s">
        <v>397</v>
      </c>
      <c r="D26" s="834"/>
      <c r="E26" s="834"/>
      <c r="F26" s="834"/>
      <c r="G26" s="834"/>
      <c r="H26" s="834"/>
      <c r="I26" s="834"/>
      <c r="K26" s="172"/>
      <c r="L26" s="433" t="str">
        <f t="shared" si="0"/>
        <v>Sol. Spasmolini 5мл в/м</v>
      </c>
    </row>
    <row r="27" spans="1:12" s="8" customFormat="1" hidden="1" x14ac:dyDescent="0.25">
      <c r="C27" s="833" t="s">
        <v>385</v>
      </c>
      <c r="D27" s="834"/>
      <c r="E27" s="834"/>
      <c r="F27" s="834"/>
      <c r="G27" s="834"/>
      <c r="H27" s="834"/>
      <c r="I27" s="834"/>
      <c r="K27" s="172"/>
      <c r="L27" s="433" t="str">
        <f t="shared" si="0"/>
        <v>Tab. Famotidini 20мг х 2р/с per os</v>
      </c>
    </row>
    <row r="28" spans="1:12" s="8" customFormat="1" hidden="1" x14ac:dyDescent="0.25">
      <c r="C28" s="833" t="s">
        <v>2623</v>
      </c>
      <c r="D28" s="834"/>
      <c r="E28" s="834"/>
      <c r="F28" s="834"/>
      <c r="G28" s="834"/>
      <c r="H28" s="834"/>
      <c r="I28" s="834"/>
      <c r="K28" s="172"/>
      <c r="L28" s="433" t="str">
        <f t="shared" si="0"/>
        <v>Tab. Leflobact 500 мг х 1р/с per os</v>
      </c>
    </row>
    <row r="29" spans="1:12" s="8" customFormat="1" hidden="1" x14ac:dyDescent="0.25">
      <c r="C29" s="833" t="s">
        <v>2084</v>
      </c>
      <c r="D29" s="834"/>
      <c r="E29" s="834"/>
      <c r="F29" s="834"/>
      <c r="G29" s="834"/>
      <c r="H29" s="834"/>
      <c r="I29" s="834"/>
      <c r="K29" s="433"/>
      <c r="L29" s="433" t="str">
        <f t="shared" si="0"/>
        <v>Tab. Asparkami 2т х 3р/с per os</v>
      </c>
    </row>
    <row r="30" spans="1:12" s="8" customFormat="1" hidden="1" x14ac:dyDescent="0.25">
      <c r="C30" s="833" t="s">
        <v>2290</v>
      </c>
      <c r="D30" s="834"/>
      <c r="E30" s="834"/>
      <c r="F30" s="834"/>
      <c r="G30" s="834"/>
      <c r="H30" s="834"/>
      <c r="I30" s="834"/>
      <c r="K30" s="607"/>
      <c r="L30" s="607" t="str">
        <f t="shared" si="0"/>
        <v>Sol. Dicinoni 1,0 х 3 р/с в/м</v>
      </c>
    </row>
    <row r="31" spans="1:12" s="8" customFormat="1" hidden="1" x14ac:dyDescent="0.25">
      <c r="C31" s="833" t="s">
        <v>2428</v>
      </c>
      <c r="D31" s="834"/>
      <c r="E31" s="834"/>
      <c r="F31" s="834"/>
      <c r="G31" s="834"/>
      <c r="H31" s="834"/>
      <c r="I31" s="834"/>
      <c r="K31" s="477"/>
      <c r="L31" s="477" t="str">
        <f t="shared" si="0"/>
        <v xml:space="preserve">Caps. Tamsulosini 0,4мг 1р/с </v>
      </c>
    </row>
    <row r="32" spans="1:12" s="8" customFormat="1" hidden="1" x14ac:dyDescent="0.25">
      <c r="C32" s="833" t="s">
        <v>2114</v>
      </c>
      <c r="D32" s="834"/>
      <c r="E32" s="834"/>
      <c r="F32" s="834"/>
      <c r="G32" s="834"/>
      <c r="H32" s="834"/>
      <c r="I32" s="834"/>
      <c r="K32" s="477"/>
      <c r="L32" s="477" t="str">
        <f t="shared" si="0"/>
        <v>Tab. Nifedipini 10мг х 1р/с под контролем АД</v>
      </c>
    </row>
    <row r="33" spans="3:12" s="8" customFormat="1" hidden="1" x14ac:dyDescent="0.25">
      <c r="C33" s="833" t="s">
        <v>387</v>
      </c>
      <c r="D33" s="834"/>
      <c r="E33" s="834"/>
      <c r="F33" s="834"/>
      <c r="G33" s="834"/>
      <c r="H33" s="834"/>
      <c r="I33" s="834"/>
      <c r="K33" s="172"/>
      <c r="L33" s="433" t="str">
        <f t="shared" si="0"/>
        <v>Tab. Drotaverini 2т х 3р/с per os</v>
      </c>
    </row>
    <row r="34" spans="3:12" s="8" customFormat="1" hidden="1" x14ac:dyDescent="0.25">
      <c r="C34" s="833" t="s">
        <v>388</v>
      </c>
      <c r="D34" s="834"/>
      <c r="E34" s="834"/>
      <c r="F34" s="834"/>
      <c r="G34" s="834"/>
      <c r="H34" s="834"/>
      <c r="I34" s="834"/>
      <c r="K34" s="172"/>
      <c r="L34" s="433" t="str">
        <f t="shared" si="0"/>
        <v>Tab. Cystoni 2т х 3р/с per os</v>
      </c>
    </row>
    <row r="35" spans="3:12" s="8" customFormat="1" hidden="1" x14ac:dyDescent="0.25">
      <c r="C35" s="833" t="s">
        <v>398</v>
      </c>
      <c r="D35" s="834"/>
      <c r="E35" s="834"/>
      <c r="F35" s="834"/>
      <c r="G35" s="834"/>
      <c r="H35" s="834"/>
      <c r="I35" s="834"/>
      <c r="K35" s="172"/>
      <c r="L35" s="433" t="str">
        <f t="shared" si="0"/>
        <v>Sol. Cefotaximi 2,0 х 2р/с в/м</v>
      </c>
    </row>
    <row r="36" spans="3:12" s="8" customFormat="1" hidden="1" x14ac:dyDescent="0.25">
      <c r="C36" s="833" t="s">
        <v>389</v>
      </c>
      <c r="D36" s="834"/>
      <c r="E36" s="834"/>
      <c r="F36" s="834"/>
      <c r="G36" s="834"/>
      <c r="H36" s="834"/>
      <c r="I36" s="834"/>
      <c r="K36" s="172"/>
      <c r="L36" s="433" t="str">
        <f t="shared" si="0"/>
        <v>Tab. Sorbiferi tur 1т х 2р/с per os</v>
      </c>
    </row>
    <row r="37" spans="3:12" s="8" customFormat="1" hidden="1" x14ac:dyDescent="0.25">
      <c r="C37" s="833" t="s">
        <v>2148</v>
      </c>
      <c r="D37" s="834"/>
      <c r="E37" s="834"/>
      <c r="F37" s="834"/>
      <c r="G37" s="834"/>
      <c r="H37" s="834"/>
      <c r="I37" s="834"/>
      <c r="K37" s="552"/>
      <c r="L37" s="552" t="str">
        <f t="shared" si="0"/>
        <v>Tab. Prednisoloni 5мг х 1р/с per os</v>
      </c>
    </row>
    <row r="38" spans="3:12" s="8" customFormat="1" hidden="1" x14ac:dyDescent="0.25">
      <c r="C38" s="833" t="s">
        <v>2149</v>
      </c>
      <c r="D38" s="834"/>
      <c r="E38" s="834"/>
      <c r="F38" s="834"/>
      <c r="G38" s="834"/>
      <c r="H38" s="834"/>
      <c r="I38" s="834"/>
      <c r="K38" s="552"/>
      <c r="L38" s="552" t="str">
        <f t="shared" si="0"/>
        <v>Sol. Diclofenaci 75mg в/м при болях</v>
      </c>
    </row>
    <row r="39" spans="3:12" s="8" customFormat="1" hidden="1" x14ac:dyDescent="0.25">
      <c r="C39" s="833" t="s">
        <v>2151</v>
      </c>
      <c r="D39" s="834"/>
      <c r="E39" s="834"/>
      <c r="F39" s="834"/>
      <c r="G39" s="834"/>
      <c r="H39" s="834"/>
      <c r="I39" s="834"/>
      <c r="K39" s="552"/>
      <c r="L39" s="552" t="str">
        <f t="shared" si="0"/>
        <v>Tab. Trentali 2т х 3р/с per os</v>
      </c>
    </row>
    <row r="40" spans="3:12" s="8" customFormat="1" hidden="1" x14ac:dyDescent="0.25">
      <c r="C40" s="833" t="s">
        <v>390</v>
      </c>
      <c r="D40" s="834"/>
      <c r="E40" s="834"/>
      <c r="F40" s="834"/>
      <c r="G40" s="834"/>
      <c r="H40" s="834"/>
      <c r="I40" s="834"/>
      <c r="K40" s="172"/>
      <c r="L40" s="433" t="str">
        <f t="shared" si="0"/>
        <v>Tab. Furagini 50мг х 3р/с per os</v>
      </c>
    </row>
    <row r="41" spans="3:12" s="8" customFormat="1" hidden="1" x14ac:dyDescent="0.25">
      <c r="C41" s="833" t="s">
        <v>2150</v>
      </c>
      <c r="D41" s="834"/>
      <c r="E41" s="834"/>
      <c r="F41" s="834"/>
      <c r="G41" s="834"/>
      <c r="H41" s="834"/>
      <c r="I41" s="834"/>
      <c r="K41" s="186"/>
      <c r="L41" s="552" t="str">
        <f t="shared" si="0"/>
        <v xml:space="preserve">Sol. Klexani 0,8мл х 1р/с п/к </v>
      </c>
    </row>
    <row r="42" spans="3:12" s="8" customFormat="1" hidden="1" x14ac:dyDescent="0.25">
      <c r="C42" s="833" t="s">
        <v>401</v>
      </c>
      <c r="D42" s="834"/>
      <c r="E42" s="834"/>
      <c r="F42" s="834"/>
      <c r="G42" s="834"/>
      <c r="H42" s="834"/>
      <c r="I42" s="834"/>
      <c r="K42" s="172"/>
      <c r="L42" s="433" t="str">
        <f t="shared" si="0"/>
        <v>Sol. Cefotaximi 2,0 в/м перед операцией</v>
      </c>
    </row>
    <row r="43" spans="3:12" s="8" customFormat="1" hidden="1" x14ac:dyDescent="0.25">
      <c r="C43" s="833" t="s">
        <v>402</v>
      </c>
      <c r="D43" s="834"/>
      <c r="E43" s="834"/>
      <c r="F43" s="834"/>
      <c r="G43" s="834"/>
      <c r="H43" s="834"/>
      <c r="I43" s="834"/>
      <c r="K43" s="172"/>
      <c r="L43" s="433" t="str">
        <f t="shared" si="0"/>
        <v>Sol. NaCl 0,9% - 1200,0 в/в</v>
      </c>
    </row>
    <row r="44" spans="3:12" s="8" customFormat="1" hidden="1" x14ac:dyDescent="0.25">
      <c r="C44" s="833" t="s">
        <v>2625</v>
      </c>
      <c r="D44" s="834"/>
      <c r="E44" s="834"/>
      <c r="F44" s="834"/>
      <c r="G44" s="834"/>
      <c r="H44" s="834"/>
      <c r="I44" s="834"/>
      <c r="K44" s="172"/>
      <c r="L44" s="433" t="str">
        <f t="shared" si="0"/>
        <v>Система постоянного орошения мочевого пуыря-30 кап. в мин.</v>
      </c>
    </row>
    <row r="45" spans="3:12" s="8" customFormat="1" hidden="1" x14ac:dyDescent="0.25">
      <c r="C45" s="833" t="s">
        <v>2622</v>
      </c>
      <c r="D45" s="834"/>
      <c r="E45" s="834"/>
      <c r="F45" s="834"/>
      <c r="G45" s="834"/>
      <c r="H45" s="834"/>
      <c r="I45" s="834"/>
      <c r="K45" s="172"/>
      <c r="L45" s="433" t="str">
        <f t="shared" si="0"/>
        <v>Отключение системы постоянного орошения мочевого пузыря</v>
      </c>
    </row>
    <row r="46" spans="3:12" s="8" customFormat="1" hidden="1" x14ac:dyDescent="0.25">
      <c r="C46" s="833" t="s">
        <v>2291</v>
      </c>
      <c r="D46" s="834"/>
      <c r="E46" s="834"/>
      <c r="F46" s="834"/>
      <c r="G46" s="834"/>
      <c r="H46" s="834"/>
      <c r="I46" s="834"/>
      <c r="K46" s="172"/>
      <c r="L46" s="433" t="str">
        <f t="shared" si="0"/>
        <v>ОАК, ОАМ, б/х крови</v>
      </c>
    </row>
    <row r="47" spans="3:12" s="8" customFormat="1" hidden="1" x14ac:dyDescent="0.25">
      <c r="C47" s="833" t="s">
        <v>42</v>
      </c>
      <c r="D47" s="834"/>
      <c r="E47" s="834"/>
      <c r="F47" s="834"/>
      <c r="G47" s="834"/>
      <c r="H47" s="834"/>
      <c r="I47" s="834"/>
      <c r="K47" s="172"/>
      <c r="L47" s="433" t="str">
        <f t="shared" si="0"/>
        <v>Обзорная урогафия</v>
      </c>
    </row>
    <row r="48" spans="3:12" s="8" customFormat="1" hidden="1" x14ac:dyDescent="0.25">
      <c r="C48" s="833" t="s">
        <v>43</v>
      </c>
      <c r="D48" s="834"/>
      <c r="E48" s="834"/>
      <c r="F48" s="834"/>
      <c r="G48" s="834"/>
      <c r="H48" s="834"/>
      <c r="I48" s="834"/>
      <c r="K48" s="172"/>
      <c r="L48" s="433" t="str">
        <f t="shared" si="0"/>
        <v>Экскреторная урография</v>
      </c>
    </row>
    <row r="49" spans="1:12" s="8" customFormat="1" hidden="1" x14ac:dyDescent="0.25">
      <c r="C49" s="833" t="s">
        <v>53</v>
      </c>
      <c r="D49" s="834"/>
      <c r="E49" s="834"/>
      <c r="F49" s="834"/>
      <c r="G49" s="834"/>
      <c r="H49" s="834"/>
      <c r="I49" s="834"/>
      <c r="K49" s="172"/>
      <c r="L49" s="433" t="str">
        <f t="shared" si="0"/>
        <v>Глюкоза крови на 6:00, 18:00</v>
      </c>
    </row>
    <row r="50" spans="1:12" s="8" customFormat="1" hidden="1" x14ac:dyDescent="0.25">
      <c r="C50" s="833" t="s">
        <v>41</v>
      </c>
      <c r="D50" s="834"/>
      <c r="E50" s="834"/>
      <c r="F50" s="834"/>
      <c r="G50" s="834"/>
      <c r="H50" s="834"/>
      <c r="I50" s="834"/>
      <c r="K50" s="172"/>
      <c r="L50" s="433" t="str">
        <f t="shared" si="0"/>
        <v>Консультация терапевта</v>
      </c>
    </row>
    <row r="51" spans="1:12" s="8" customFormat="1" hidden="1" x14ac:dyDescent="0.25">
      <c r="C51" s="833" t="s">
        <v>52</v>
      </c>
      <c r="D51" s="834"/>
      <c r="E51" s="834"/>
      <c r="F51" s="834"/>
      <c r="G51" s="834"/>
      <c r="H51" s="834"/>
      <c r="I51" s="834"/>
      <c r="K51" s="172"/>
      <c r="L51" s="433" t="str">
        <f t="shared" si="0"/>
        <v>Консультация хирурга</v>
      </c>
    </row>
    <row r="52" spans="1:12" s="8" customFormat="1" hidden="1" x14ac:dyDescent="0.25">
      <c r="C52" s="833" t="s">
        <v>2621</v>
      </c>
      <c r="D52" s="834"/>
      <c r="E52" s="834"/>
      <c r="F52" s="834"/>
      <c r="G52" s="834"/>
      <c r="H52" s="834"/>
      <c r="I52" s="834"/>
      <c r="K52" s="172"/>
      <c r="L52" s="433" t="str">
        <f t="shared" si="0"/>
        <v>Консультация эндокринолога</v>
      </c>
    </row>
    <row r="53" spans="1:12" s="8" customFormat="1" hidden="1" x14ac:dyDescent="0.25">
      <c r="C53" s="833" t="s">
        <v>51</v>
      </c>
      <c r="D53" s="834"/>
      <c r="E53" s="834"/>
      <c r="F53" s="834"/>
      <c r="G53" s="834"/>
      <c r="H53" s="834"/>
      <c r="I53" s="834"/>
      <c r="K53" s="172"/>
      <c r="L53" s="433" t="str">
        <f t="shared" si="0"/>
        <v>Консультация невролога</v>
      </c>
    </row>
    <row r="54" spans="1:12" hidden="1" x14ac:dyDescent="0.25">
      <c r="C54" s="833" t="s">
        <v>1434</v>
      </c>
      <c r="D54" s="834"/>
      <c r="E54" s="834"/>
      <c r="F54" s="834"/>
      <c r="G54" s="834"/>
      <c r="H54" s="834"/>
      <c r="I54" s="834"/>
      <c r="L54" s="433" t="str">
        <f t="shared" si="0"/>
        <v>Контроль АД 2р/сутки</v>
      </c>
    </row>
    <row r="55" spans="1:12" s="8" customFormat="1" hidden="1" x14ac:dyDescent="0.25">
      <c r="C55" s="833" t="s">
        <v>55</v>
      </c>
      <c r="D55" s="834"/>
      <c r="E55" s="834"/>
      <c r="F55" s="834"/>
      <c r="G55" s="834"/>
      <c r="H55" s="834"/>
      <c r="I55" s="834"/>
      <c r="K55" s="172"/>
      <c r="L55" s="433" t="str">
        <f t="shared" si="0"/>
        <v>ЭхоКГ</v>
      </c>
    </row>
    <row r="56" spans="1:12" s="8" customFormat="1" hidden="1" x14ac:dyDescent="0.25">
      <c r="C56" s="833" t="s">
        <v>57</v>
      </c>
      <c r="D56" s="834"/>
      <c r="E56" s="834"/>
      <c r="F56" s="834"/>
      <c r="G56" s="834"/>
      <c r="H56" s="834"/>
      <c r="I56" s="834"/>
      <c r="K56" s="172"/>
      <c r="L56" s="433" t="str">
        <f t="shared" si="0"/>
        <v>КТ натив</v>
      </c>
    </row>
    <row r="57" spans="1:12" s="8" customFormat="1" x14ac:dyDescent="0.25">
      <c r="C57" s="833"/>
      <c r="D57" s="834"/>
      <c r="E57" s="834"/>
      <c r="F57" s="834"/>
      <c r="G57" s="834"/>
      <c r="H57" s="834"/>
      <c r="I57" s="834"/>
      <c r="K57" s="172"/>
      <c r="L57" s="433">
        <f t="shared" si="0"/>
        <v>0</v>
      </c>
    </row>
    <row r="58" spans="1:12" s="8" customFormat="1" ht="15.75" hidden="1" x14ac:dyDescent="0.25">
      <c r="A58" s="3"/>
      <c r="C58" s="833" t="s">
        <v>2617</v>
      </c>
      <c r="D58" s="834"/>
      <c r="E58" s="834"/>
      <c r="F58" s="834"/>
      <c r="G58" s="834"/>
      <c r="H58" s="834"/>
      <c r="I58" s="834"/>
      <c r="K58" s="172"/>
      <c r="L58" s="433" t="str">
        <f t="shared" si="0"/>
        <v>Удаление дренажа(-ей)</v>
      </c>
    </row>
    <row r="59" spans="1:12" s="8" customFormat="1" hidden="1" x14ac:dyDescent="0.25">
      <c r="A59" s="55"/>
      <c r="C59" s="833" t="s">
        <v>2619</v>
      </c>
      <c r="D59" s="834"/>
      <c r="E59" s="834"/>
      <c r="F59" s="834"/>
      <c r="G59" s="834"/>
      <c r="H59" s="834"/>
      <c r="I59" s="834"/>
      <c r="K59" s="172"/>
      <c r="L59" s="433" t="str">
        <f t="shared" si="0"/>
        <v>УЗИ - контроль</v>
      </c>
    </row>
    <row r="60" spans="1:12" s="8" customFormat="1" hidden="1" x14ac:dyDescent="0.25">
      <c r="A60" s="55"/>
      <c r="C60" s="833" t="s">
        <v>63</v>
      </c>
      <c r="D60" s="834"/>
      <c r="E60" s="834"/>
      <c r="F60" s="834"/>
      <c r="G60" s="834"/>
      <c r="H60" s="834"/>
      <c r="I60" s="834"/>
      <c r="K60" s="172"/>
      <c r="L60" s="433" t="str">
        <f t="shared" si="0"/>
        <v>Р-графия органов грудной клетки</v>
      </c>
    </row>
    <row r="61" spans="1:12" s="8" customFormat="1" hidden="1" x14ac:dyDescent="0.25">
      <c r="A61" s="55"/>
      <c r="C61" s="833" t="s">
        <v>64</v>
      </c>
      <c r="D61" s="834"/>
      <c r="E61" s="834"/>
      <c r="F61" s="834"/>
      <c r="G61" s="834"/>
      <c r="H61" s="834"/>
      <c r="I61" s="834"/>
      <c r="K61" s="172"/>
      <c r="L61" s="433" t="str">
        <f t="shared" si="0"/>
        <v>ПСА крови общий</v>
      </c>
    </row>
    <row r="62" spans="1:12" s="8" customFormat="1" hidden="1" x14ac:dyDescent="0.25">
      <c r="A62" s="55"/>
      <c r="C62" s="833" t="s">
        <v>2620</v>
      </c>
      <c r="D62" s="834"/>
      <c r="E62" s="834"/>
      <c r="F62" s="834"/>
      <c r="G62" s="834"/>
      <c r="H62" s="834"/>
      <c r="I62" s="834"/>
      <c r="K62" s="172"/>
      <c r="L62" s="433" t="str">
        <f t="shared" si="0"/>
        <v>Рентген-контроль положения стента</v>
      </c>
    </row>
    <row r="63" spans="1:12" s="8" customFormat="1" hidden="1" x14ac:dyDescent="0.25">
      <c r="A63" s="55"/>
      <c r="C63" s="833" t="s">
        <v>66</v>
      </c>
      <c r="D63" s="834"/>
      <c r="E63" s="834"/>
      <c r="F63" s="834"/>
      <c r="G63" s="834"/>
      <c r="H63" s="834"/>
      <c r="I63" s="834"/>
      <c r="K63" s="172"/>
      <c r="L63" s="433" t="str">
        <f t="shared" si="0"/>
        <v>Посев мочи на микрофлору</v>
      </c>
    </row>
    <row r="64" spans="1:12" s="8" customFormat="1" hidden="1" x14ac:dyDescent="0.25">
      <c r="A64" s="55"/>
      <c r="C64" s="833" t="s">
        <v>2616</v>
      </c>
      <c r="D64" s="834"/>
      <c r="E64" s="834"/>
      <c r="F64" s="834"/>
      <c r="G64" s="834"/>
      <c r="H64" s="834"/>
      <c r="I64" s="834"/>
      <c r="K64" s="172"/>
      <c r="L64" s="433" t="str">
        <f t="shared" si="0"/>
        <v>Удаление катетера</v>
      </c>
    </row>
    <row r="65" spans="1:12" s="8" customFormat="1" ht="15" hidden="1" customHeight="1" x14ac:dyDescent="0.25">
      <c r="A65" s="557"/>
      <c r="C65" s="833" t="s">
        <v>2618</v>
      </c>
      <c r="D65" s="834"/>
      <c r="E65" s="834"/>
      <c r="F65" s="834"/>
      <c r="G65" s="834"/>
      <c r="H65" s="834"/>
      <c r="I65" s="834"/>
      <c r="L65" s="556" t="str">
        <f t="shared" si="0"/>
        <v>Удаление мочеточникового стента</v>
      </c>
    </row>
    <row r="66" spans="1:12" s="8" customFormat="1" ht="15" hidden="1" customHeight="1" x14ac:dyDescent="0.25">
      <c r="A66" s="557"/>
      <c r="C66" s="833" t="s">
        <v>2135</v>
      </c>
      <c r="D66" s="834"/>
      <c r="E66" s="834"/>
      <c r="F66" s="834"/>
      <c r="G66" s="834"/>
      <c r="H66" s="834"/>
      <c r="I66" s="834"/>
      <c r="L66" s="556" t="str">
        <f t="shared" si="0"/>
        <v>Sol. Promedoli 2%-1ml (20mg) в/м, п/к, в/в</v>
      </c>
    </row>
    <row r="67" spans="1:12" s="8" customFormat="1" ht="15" hidden="1" customHeight="1" x14ac:dyDescent="0.25">
      <c r="A67" s="557"/>
      <c r="C67" s="833" t="s">
        <v>2136</v>
      </c>
      <c r="D67" s="834"/>
      <c r="E67" s="834"/>
      <c r="F67" s="834"/>
      <c r="G67" s="834"/>
      <c r="H67" s="834"/>
      <c r="I67" s="834"/>
      <c r="L67" s="556" t="str">
        <f t="shared" si="0"/>
        <v>Sol. Promedoli 2%-4ml (80mg) в/м, п/к, в/в</v>
      </c>
    </row>
    <row r="68" spans="1:12" ht="15" hidden="1" customHeight="1" x14ac:dyDescent="0.25">
      <c r="A68" s="170"/>
      <c r="C68" s="833" t="s">
        <v>2152</v>
      </c>
      <c r="D68" s="834"/>
      <c r="E68" s="834"/>
      <c r="F68" s="834"/>
      <c r="G68" s="834"/>
      <c r="H68" s="834"/>
      <c r="I68" s="834"/>
      <c r="J68" s="8"/>
      <c r="K68" s="8"/>
      <c r="L68" s="556" t="str">
        <f t="shared" si="0"/>
        <v>Sol. Tramadoli 2,0 в/м при болях</v>
      </c>
    </row>
    <row r="69" spans="1:12" ht="15" hidden="1" customHeight="1" x14ac:dyDescent="0.25">
      <c r="A69" s="170"/>
      <c r="C69" s="833" t="s">
        <v>2153</v>
      </c>
      <c r="D69" s="834"/>
      <c r="E69" s="834"/>
      <c r="F69" s="834"/>
      <c r="G69" s="834"/>
      <c r="H69" s="834"/>
      <c r="I69" s="834"/>
      <c r="J69" s="8"/>
      <c r="K69" s="8"/>
      <c r="L69" s="556" t="str">
        <f>C69</f>
        <v>Sol. Ketoroli 2,0 в/м при болях</v>
      </c>
    </row>
    <row r="70" spans="1:12" ht="15" customHeight="1" x14ac:dyDescent="0.25">
      <c r="A70" s="170"/>
      <c r="C70" s="833"/>
      <c r="D70" s="834"/>
      <c r="E70" s="834"/>
      <c r="F70" s="834"/>
      <c r="G70" s="834"/>
      <c r="H70" s="834"/>
      <c r="I70" s="834"/>
      <c r="J70" s="8"/>
      <c r="K70" s="8"/>
      <c r="L70" s="556">
        <f>C70</f>
        <v>0</v>
      </c>
    </row>
    <row r="71" spans="1:12" x14ac:dyDescent="0.25">
      <c r="A71" s="170"/>
      <c r="B71" s="170"/>
      <c r="C71" s="170"/>
      <c r="D71" s="170"/>
      <c r="E71" s="170"/>
      <c r="F71" s="170"/>
      <c r="G71" s="170" t="s">
        <v>74</v>
      </c>
      <c r="H71" s="837" t="str">
        <f>Лечащий_врач</f>
        <v>Еременко А. Н.</v>
      </c>
      <c r="I71" s="837"/>
    </row>
    <row r="72" spans="1:12" x14ac:dyDescent="0.25">
      <c r="A72" s="170"/>
      <c r="B72" s="170"/>
      <c r="C72" s="170"/>
      <c r="D72" s="170"/>
      <c r="G72" s="544" t="str">
        <f>IF(И.О.ЗАВ.ОТД.=1,"И.о. зав.отд.", "Зав.отд.")</f>
        <v>Зав.отд.</v>
      </c>
      <c r="H72" s="837" t="str">
        <f>Зав.отд.</f>
        <v>Еременко С. Н.</v>
      </c>
      <c r="I72" s="837"/>
    </row>
    <row r="73" spans="1:12" x14ac:dyDescent="0.25">
      <c r="A73" s="170"/>
      <c r="B73" s="170"/>
      <c r="C73" s="170"/>
      <c r="D73" s="170"/>
      <c r="H73" s="170"/>
      <c r="I73" s="170"/>
    </row>
    <row r="74" spans="1:12" x14ac:dyDescent="0.25">
      <c r="A74" s="167"/>
      <c r="C74" s="168"/>
      <c r="F74" s="168"/>
    </row>
    <row r="76" spans="1:12" x14ac:dyDescent="0.25">
      <c r="A76" s="7"/>
      <c r="B76" s="6"/>
      <c r="C76" s="6"/>
      <c r="D76" s="6"/>
      <c r="E76" s="6"/>
      <c r="F76" s="6"/>
      <c r="G76" s="6"/>
      <c r="H76" s="6"/>
    </row>
    <row r="77" spans="1:12" x14ac:dyDescent="0.25">
      <c r="A77" s="165"/>
      <c r="B77" s="60"/>
      <c r="C77" s="60"/>
      <c r="D77" s="60"/>
      <c r="E77" s="60"/>
      <c r="F77" s="60"/>
      <c r="G77" s="60"/>
      <c r="H77" s="60"/>
      <c r="I77" s="60"/>
    </row>
    <row r="78" spans="1:12" x14ac:dyDescent="0.25">
      <c r="A78" s="7"/>
      <c r="B78" s="6"/>
      <c r="C78" s="6"/>
      <c r="D78" s="6"/>
      <c r="E78" s="6"/>
      <c r="F78" s="6"/>
      <c r="G78" s="6"/>
      <c r="H78" s="6"/>
    </row>
    <row r="79" spans="1:12" x14ac:dyDescent="0.25">
      <c r="A79" s="171"/>
      <c r="B79" s="60"/>
      <c r="C79" s="60"/>
      <c r="D79" s="60"/>
      <c r="E79" s="60"/>
      <c r="F79" s="60"/>
      <c r="G79" s="60"/>
      <c r="H79" s="60"/>
      <c r="I79" s="60"/>
    </row>
    <row r="85" spans="13:15" x14ac:dyDescent="0.25">
      <c r="M85" s="654">
        <f ca="1">TODAY()+10</f>
        <v>42611</v>
      </c>
      <c r="O85" s="125" t="s">
        <v>338</v>
      </c>
    </row>
    <row r="86" spans="13:15" x14ac:dyDescent="0.25">
      <c r="M86" s="654">
        <f ca="1">TODAY()+9</f>
        <v>42610</v>
      </c>
      <c r="O86" s="125" t="s">
        <v>2349</v>
      </c>
    </row>
    <row r="87" spans="13:15" x14ac:dyDescent="0.25">
      <c r="M87" s="654">
        <f ca="1">TODAY()+8</f>
        <v>42609</v>
      </c>
      <c r="O87" s="125" t="s">
        <v>2350</v>
      </c>
    </row>
    <row r="88" spans="13:15" x14ac:dyDescent="0.25">
      <c r="M88" s="654">
        <f ca="1">TODAY()+8</f>
        <v>42609</v>
      </c>
      <c r="O88" s="125" t="s">
        <v>2353</v>
      </c>
    </row>
    <row r="89" spans="13:15" x14ac:dyDescent="0.25">
      <c r="M89" s="654">
        <f ca="1">TODAY()+7</f>
        <v>42608</v>
      </c>
      <c r="O89" s="125" t="s">
        <v>2354</v>
      </c>
    </row>
    <row r="90" spans="13:15" x14ac:dyDescent="0.25">
      <c r="M90" s="654">
        <f ca="1">TODAY()+6</f>
        <v>42607</v>
      </c>
      <c r="O90" s="125" t="s">
        <v>2355</v>
      </c>
    </row>
    <row r="91" spans="13:15" x14ac:dyDescent="0.25">
      <c r="M91" s="654">
        <f ca="1">TODAY()+5</f>
        <v>42606</v>
      </c>
    </row>
    <row r="92" spans="13:15" x14ac:dyDescent="0.25">
      <c r="M92" s="654">
        <f ca="1">TODAY()+4</f>
        <v>42605</v>
      </c>
    </row>
    <row r="93" spans="13:15" x14ac:dyDescent="0.25">
      <c r="M93" s="654">
        <f ca="1">TODAY()+3</f>
        <v>42604</v>
      </c>
    </row>
    <row r="94" spans="13:15" x14ac:dyDescent="0.25">
      <c r="M94" s="654">
        <f ca="1">TODAY()+2</f>
        <v>42603</v>
      </c>
    </row>
    <row r="95" spans="13:15" x14ac:dyDescent="0.25">
      <c r="M95" s="654">
        <f ca="1">TODAY()+1</f>
        <v>42602</v>
      </c>
    </row>
    <row r="96" spans="13:15" x14ac:dyDescent="0.25">
      <c r="M96" s="654">
        <f ca="1">TODAY()</f>
        <v>42601</v>
      </c>
    </row>
    <row r="97" spans="13:13" x14ac:dyDescent="0.25">
      <c r="M97" s="654">
        <f ca="1">TODAY()-1</f>
        <v>42600</v>
      </c>
    </row>
    <row r="98" spans="13:13" x14ac:dyDescent="0.25">
      <c r="M98" s="654">
        <f ca="1">TODAY()-2</f>
        <v>42599</v>
      </c>
    </row>
    <row r="99" spans="13:13" x14ac:dyDescent="0.25">
      <c r="M99" s="654">
        <f ca="1">TODAY()-3</f>
        <v>42598</v>
      </c>
    </row>
    <row r="100" spans="13:13" x14ac:dyDescent="0.25">
      <c r="M100" s="654">
        <f ca="1">TODAY()-4</f>
        <v>42597</v>
      </c>
    </row>
    <row r="101" spans="13:13" x14ac:dyDescent="0.25">
      <c r="M101" s="654">
        <f ca="1">TODAY()-5</f>
        <v>42596</v>
      </c>
    </row>
    <row r="102" spans="13:13" x14ac:dyDescent="0.25">
      <c r="M102" s="654">
        <f ca="1">TODAY()-6</f>
        <v>42595</v>
      </c>
    </row>
    <row r="103" spans="13:13" x14ac:dyDescent="0.25">
      <c r="M103" s="654">
        <f ca="1">TODAY()-7</f>
        <v>42594</v>
      </c>
    </row>
    <row r="104" spans="13:13" x14ac:dyDescent="0.25">
      <c r="M104" s="654">
        <f ca="1">TODAY()-8</f>
        <v>42593</v>
      </c>
    </row>
    <row r="105" spans="13:13" x14ac:dyDescent="0.25">
      <c r="M105" s="654">
        <f ca="1">TODAY()-9</f>
        <v>42592</v>
      </c>
    </row>
    <row r="106" spans="13:13" x14ac:dyDescent="0.25">
      <c r="M106" s="654">
        <f ca="1">TODAY()-10</f>
        <v>42591</v>
      </c>
    </row>
    <row r="107" spans="13:13" x14ac:dyDescent="0.25">
      <c r="M107" s="654">
        <f ca="1">TODAY()-11</f>
        <v>42590</v>
      </c>
    </row>
    <row r="108" spans="13:13" x14ac:dyDescent="0.25">
      <c r="M108" s="654">
        <f ca="1">TODAY()-12</f>
        <v>42589</v>
      </c>
    </row>
    <row r="109" spans="13:13" x14ac:dyDescent="0.25">
      <c r="M109" s="654">
        <f ca="1">TODAY()-13</f>
        <v>42588</v>
      </c>
    </row>
    <row r="110" spans="13:13" x14ac:dyDescent="0.25">
      <c r="M110" s="654">
        <f ca="1">TODAY()-14</f>
        <v>42587</v>
      </c>
    </row>
  </sheetData>
  <sheetProtection formatCells="0" formatRows="0" autoFilter="0"/>
  <autoFilter ref="C19:I72">
    <filterColumn colId="0" showButton="0">
      <filters blank="1">
        <filter val="Активизация"/>
        <filter val="Динамическое наблюдение, контроль жалоб, термометрия"/>
      </filters>
    </filterColumn>
    <filterColumn colId="1" showButton="0"/>
    <filterColumn colId="2" showButton="0"/>
    <filterColumn colId="3" showButton="0"/>
    <filterColumn colId="4" showButton="0"/>
    <filterColumn colId="5" showButton="0"/>
  </autoFilter>
  <mergeCells count="69">
    <mergeCell ref="C2:H2"/>
    <mergeCell ref="C68:I68"/>
    <mergeCell ref="C25:I25"/>
    <mergeCell ref="C26:I26"/>
    <mergeCell ref="C27:I27"/>
    <mergeCell ref="C28:I28"/>
    <mergeCell ref="C4:I4"/>
    <mergeCell ref="C34:I34"/>
    <mergeCell ref="C35:I35"/>
    <mergeCell ref="C21:I21"/>
    <mergeCell ref="C67:I67"/>
    <mergeCell ref="C19:I19"/>
    <mergeCell ref="C20:I20"/>
    <mergeCell ref="C22:I22"/>
    <mergeCell ref="A15:I15"/>
    <mergeCell ref="C57:I57"/>
    <mergeCell ref="H71:I71"/>
    <mergeCell ref="H72:I72"/>
    <mergeCell ref="A6:I6"/>
    <mergeCell ref="C23:I23"/>
    <mergeCell ref="C24:I24"/>
    <mergeCell ref="C30:I30"/>
    <mergeCell ref="A10:D10"/>
    <mergeCell ref="F10:I10"/>
    <mergeCell ref="C41:I41"/>
    <mergeCell ref="C39:I39"/>
    <mergeCell ref="C69:I69"/>
    <mergeCell ref="C70:I70"/>
    <mergeCell ref="C65:I65"/>
    <mergeCell ref="C66:I66"/>
    <mergeCell ref="A17:I17"/>
    <mergeCell ref="C56:I56"/>
    <mergeCell ref="C52:I52"/>
    <mergeCell ref="C29:I29"/>
    <mergeCell ref="C33:I33"/>
    <mergeCell ref="C53:I53"/>
    <mergeCell ref="C54:I54"/>
    <mergeCell ref="C31:I31"/>
    <mergeCell ref="C32:I32"/>
    <mergeCell ref="C36:I36"/>
    <mergeCell ref="C40:I40"/>
    <mergeCell ref="C42:I42"/>
    <mergeCell ref="C43:I43"/>
    <mergeCell ref="C49:I49"/>
    <mergeCell ref="C50:I50"/>
    <mergeCell ref="C51:I51"/>
    <mergeCell ref="C37:I37"/>
    <mergeCell ref="C38:I38"/>
    <mergeCell ref="C64:I64"/>
    <mergeCell ref="C59:I59"/>
    <mergeCell ref="C60:I60"/>
    <mergeCell ref="C61:I61"/>
    <mergeCell ref="C62:I62"/>
    <mergeCell ref="A12:I12"/>
    <mergeCell ref="C63:I63"/>
    <mergeCell ref="C58:I58"/>
    <mergeCell ref="A11:B11"/>
    <mergeCell ref="C7:D7"/>
    <mergeCell ref="G7:I7"/>
    <mergeCell ref="B8:D8"/>
    <mergeCell ref="A9:D9"/>
    <mergeCell ref="F9:I9"/>
    <mergeCell ref="C11:I11"/>
    <mergeCell ref="C44:I44"/>
    <mergeCell ref="C55:I55"/>
    <mergeCell ref="C45:I45"/>
    <mergeCell ref="C46:I46"/>
    <mergeCell ref="C47:I47"/>
    <mergeCell ref="C48:I48"/>
  </mergeCells>
  <dataValidations count="11">
    <dataValidation type="list" allowBlank="1" showInputMessage="1" showErrorMessage="1" sqref="E7">
      <formula1>INDIRECT("Таблица5[Диурез]")</formula1>
    </dataValidation>
    <dataValidation type="list" allowBlank="1" showInputMessage="1" showErrorMessage="1" sqref="B8 D8 C8">
      <formula1>INDIRECT("Таблица95[Моча]")</formula1>
    </dataValidation>
    <dataValidation type="list" allowBlank="1" showInputMessage="1" showErrorMessage="1" sqref="B9:C9 A9">
      <formula1>INDIRECT("Таблица96[Столбец1]")</formula1>
    </dataValidation>
    <dataValidation type="list" allowBlank="1" showInputMessage="1" showErrorMessage="1" sqref="E9:E10">
      <formula1>INDIRECT("Таблица97[Столбец1]")</formula1>
    </dataValidation>
    <dataValidation type="list" allowBlank="1" showInputMessage="1" showErrorMessage="1" sqref="G9:I9 F9">
      <formula1>INDIRECT("Таблица98[Столбец1]")</formula1>
    </dataValidation>
    <dataValidation type="list" allowBlank="1" showInputMessage="1" showErrorMessage="1" sqref="F10:I10">
      <formula1>INDIRECT("Таблица101[Столбец1]")</formula1>
    </dataValidation>
    <dataValidation type="list" allowBlank="1" showInputMessage="1" showErrorMessage="1" sqref="C11">
      <formula1>INDIRECT("Таблица99[Столбец1]")</formula1>
    </dataValidation>
    <dataValidation type="list" allowBlank="1" showInputMessage="1" showErrorMessage="1" sqref="C4:I4">
      <formula1>INDIRECT("Таблица149[Столбец1]")</formula1>
    </dataValidation>
    <dataValidation type="list" allowBlank="1" showInputMessage="1" showErrorMessage="1" sqref="B7">
      <formula1>INDIRECT("Таблица150[Столбец1]")</formula1>
    </dataValidation>
    <dataValidation type="list" allowBlank="1" showInputMessage="1" showErrorMessage="1" sqref="G7:I7">
      <formula1>INDIRECT("Таблица151[Столбец1]")</formula1>
    </dataValidation>
    <dataValidation type="list" allowBlank="1" showInputMessage="1" showErrorMessage="1" sqref="A10:D10">
      <formula1>INDIRECT("Таблица152[Столбец1]")</formula1>
    </dataValidation>
  </dataValidations>
  <pageMargins left="0.84239130434782605" right="0.56159420289855078" top="0.45833333333333331" bottom="0.74803149606299213" header="0.31496062992125984" footer="0.31496062992125984"/>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
    <tabColor theme="7" tint="-0.249977111117893"/>
  </sheetPr>
  <dimension ref="A1:K26"/>
  <sheetViews>
    <sheetView view="pageBreakPreview" topLeftCell="A19" zoomScale="115" zoomScaleNormal="130" zoomScaleSheetLayoutView="115" workbookViewId="0"/>
  </sheetViews>
  <sheetFormatPr defaultRowHeight="15" x14ac:dyDescent="0.25"/>
  <cols>
    <col min="1" max="10" width="9.140625" style="8"/>
    <col min="11" max="11" width="84.85546875" style="143" hidden="1" customWidth="1"/>
    <col min="12" max="16384" width="9.140625" style="8"/>
  </cols>
  <sheetData>
    <row r="1" spans="1:11" ht="15.75" x14ac:dyDescent="0.25">
      <c r="A1" s="70">
        <f ca="1">TODAY()</f>
        <v>42601</v>
      </c>
      <c r="C1" s="951" t="s">
        <v>2399</v>
      </c>
      <c r="D1" s="851"/>
      <c r="E1" s="851"/>
      <c r="F1" s="851"/>
      <c r="G1" s="851"/>
      <c r="H1" s="851"/>
      <c r="I1" s="851"/>
    </row>
    <row r="2" spans="1:11" x14ac:dyDescent="0.25">
      <c r="A2" s="59">
        <v>0.33333333333333331</v>
      </c>
    </row>
    <row r="3" spans="1:11" ht="15.75" x14ac:dyDescent="0.25">
      <c r="A3" s="3" t="s">
        <v>339</v>
      </c>
      <c r="C3" s="952" t="s">
        <v>730</v>
      </c>
      <c r="D3" s="952"/>
      <c r="E3" s="952"/>
      <c r="F3" s="952"/>
      <c r="G3" s="952"/>
      <c r="H3" s="952"/>
      <c r="I3" s="952"/>
    </row>
    <row r="4" spans="1:11" ht="15.75" x14ac:dyDescent="0.25">
      <c r="A4" s="3" t="s">
        <v>340</v>
      </c>
    </row>
    <row r="5" spans="1:11" ht="144" customHeight="1" x14ac:dyDescent="0.25">
      <c r="A5" s="953" t="s">
        <v>2784</v>
      </c>
      <c r="B5" s="953"/>
      <c r="C5" s="953"/>
      <c r="D5" s="953"/>
      <c r="E5" s="953"/>
      <c r="F5" s="953"/>
      <c r="G5" s="953"/>
      <c r="H5" s="953"/>
      <c r="I5" s="953"/>
      <c r="K5" s="143" t="str">
        <f>A5</f>
        <v xml:space="preserve">Состояние  удовлетворительное. Температура 36,9С. Кожные покровы обычной окраски. Л/у доступные пальпации не увеличены. Дыхание в легких везикулярное. ЧД 16 в мин. Тоны сердца приглушены, ритмичные. АД 120/80, ЧСС 70 в мин. Живот не вздут, симметричный, мягкий, участвует в акте дыхания.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отрицательный с обеих сторон. Мочевой пузырь пальпаторно и перкуторно не определяется. Мочится самостоятельно. Уретрита нет. Мочеиспускание не затрудненное, безболезненное. Моча светлая, без примесей. </v>
      </c>
    </row>
    <row r="6" spans="1:11" x14ac:dyDescent="0.25">
      <c r="A6" s="56" t="s">
        <v>31</v>
      </c>
      <c r="C6" s="57" t="str">
        <f>IF(Дата_выписки=0, " ",A1-дата_поступления+1)</f>
        <v xml:space="preserve"> </v>
      </c>
      <c r="D6" s="851" t="str">
        <f>IF(Дата_выписки=0, " ","сутки в отделении,")</f>
        <v xml:space="preserve"> </v>
      </c>
      <c r="E6" s="851"/>
      <c r="F6" s="57">
        <f ca="1">IF((A1-Дата_операции)&lt;0," ",IF(Дата_операции=0," ",A1-Дата_операции))</f>
        <v>14</v>
      </c>
      <c r="G6" s="851" t="str">
        <f ca="1">IF((A1-Дата_операции)&lt;0," ",IF(Дата_операции=0," ","сутки после операции"))</f>
        <v>сутки после операции</v>
      </c>
      <c r="H6" s="851"/>
      <c r="I6" s="851"/>
    </row>
    <row r="7" spans="1:11" x14ac:dyDescent="0.25">
      <c r="A7" s="7" t="s">
        <v>71</v>
      </c>
      <c r="B7" s="6"/>
      <c r="C7" s="6"/>
      <c r="D7" s="6"/>
      <c r="E7" s="6"/>
      <c r="F7" s="6"/>
      <c r="G7" s="6"/>
      <c r="H7" s="6"/>
    </row>
    <row r="8" spans="1:11" ht="30" customHeight="1" x14ac:dyDescent="0.25">
      <c r="A8" s="954"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8" s="955"/>
      <c r="C8" s="955"/>
      <c r="D8" s="955"/>
      <c r="E8" s="955"/>
      <c r="F8" s="955"/>
      <c r="G8" s="955"/>
      <c r="H8" s="955"/>
      <c r="I8" s="955"/>
      <c r="K8" s="143" t="str">
        <f>A8</f>
        <v>МКБ, рецидив. Резидуальный камень н\чашки справа 20 мм.                                                                                                                                                                                                                                                                                                                                                           Гидронефроз справа 1 ст. Хронический калькулезный пиелонефрит , латентное течение. ХПН 0-1</v>
      </c>
    </row>
    <row r="9" spans="1:11" x14ac:dyDescent="0.25">
      <c r="A9" s="7" t="str">
        <f>IF(Сопутствующий_диагноз=0, " ", "Сопутствующий диагноз:")</f>
        <v>Сопутствующий диагноз:</v>
      </c>
      <c r="B9" s="6"/>
      <c r="C9" s="6"/>
      <c r="D9" s="6"/>
      <c r="E9" s="6"/>
      <c r="F9" s="6"/>
      <c r="G9" s="6"/>
      <c r="H9" s="6"/>
    </row>
    <row r="10" spans="1:11" ht="30.75" customHeight="1" x14ac:dyDescent="0.25">
      <c r="A10" s="954" t="str">
        <f>IF(Сопутствующий_диагноз=0, " ", Сопутствующий_диагноз)</f>
        <v xml:space="preserve">ИБС: АКС. САГ 2 ст, 2 ст, риск 3. Ожирение 3-4 ст. П\о вентральная грыжа. </v>
      </c>
      <c r="B10" s="956"/>
      <c r="C10" s="956"/>
      <c r="D10" s="956"/>
      <c r="E10" s="956"/>
      <c r="F10" s="956"/>
      <c r="G10" s="956"/>
      <c r="H10" s="956"/>
      <c r="I10" s="956"/>
      <c r="K10" s="143" t="str">
        <f>A10</f>
        <v xml:space="preserve">ИБС: АКС. САГ 2 ст, 2 ст, риск 3. Ожирение 3-4 ст. П\о вентральная грыжа. </v>
      </c>
    </row>
    <row r="11" spans="1:11" x14ac:dyDescent="0.25">
      <c r="A11" s="958" t="s">
        <v>731</v>
      </c>
      <c r="B11" s="959"/>
      <c r="C11" s="959"/>
      <c r="D11" s="959"/>
      <c r="E11" s="959"/>
      <c r="F11" s="959"/>
      <c r="G11" s="959"/>
      <c r="H11" s="959"/>
      <c r="I11" s="959"/>
      <c r="K11" s="143" t="str">
        <f>A11</f>
        <v xml:space="preserve">Неосложненное течение послеоперационного периода. </v>
      </c>
    </row>
    <row r="12" spans="1:11" x14ac:dyDescent="0.25">
      <c r="A12" s="101" t="s">
        <v>732</v>
      </c>
      <c r="B12" s="101"/>
      <c r="C12" s="101"/>
      <c r="D12" s="101"/>
      <c r="E12" s="101"/>
      <c r="F12" s="101"/>
      <c r="G12" s="101"/>
      <c r="H12" s="101"/>
      <c r="I12" s="101"/>
      <c r="K12" s="143" t="str">
        <f>A12</f>
        <v>Показана выписка больного с рекомендациями.</v>
      </c>
    </row>
    <row r="13" spans="1:11" x14ac:dyDescent="0.25">
      <c r="G13" s="545" t="s">
        <v>74</v>
      </c>
      <c r="H13" s="851" t="str">
        <f>Лечащий_врач</f>
        <v>Еременко А. Н.</v>
      </c>
      <c r="I13" s="851"/>
    </row>
    <row r="14" spans="1:11" x14ac:dyDescent="0.25">
      <c r="G14" s="18" t="str">
        <f>IF(И.О.ЗАВ.ОТД.=1,"И.о. зав.отд.","Зав.отд.")</f>
        <v>Зав.отд.</v>
      </c>
      <c r="H14" s="957" t="str">
        <f>Зав.отд.</f>
        <v>Еременко С. Н.</v>
      </c>
      <c r="I14" s="957"/>
    </row>
    <row r="16" spans="1:11" ht="15.75" x14ac:dyDescent="0.25">
      <c r="A16" s="70">
        <f ca="1">TODAY()</f>
        <v>42601</v>
      </c>
      <c r="C16" s="951" t="s">
        <v>733</v>
      </c>
      <c r="D16" s="851"/>
      <c r="E16" s="851"/>
      <c r="F16" s="851"/>
      <c r="G16" s="851"/>
      <c r="H16" s="851"/>
      <c r="I16" s="851"/>
    </row>
    <row r="17" spans="1:11" x14ac:dyDescent="0.25">
      <c r="A17" s="59">
        <v>0.41666666666666669</v>
      </c>
    </row>
    <row r="18" spans="1:11" ht="15.75" x14ac:dyDescent="0.25">
      <c r="A18" s="3" t="s">
        <v>339</v>
      </c>
      <c r="C18" s="952" t="s">
        <v>730</v>
      </c>
      <c r="D18" s="952"/>
      <c r="E18" s="952"/>
      <c r="F18" s="952"/>
      <c r="G18" s="952"/>
      <c r="H18" s="952"/>
      <c r="I18" s="952"/>
    </row>
    <row r="19" spans="1:11" ht="15.75" x14ac:dyDescent="0.25">
      <c r="A19" s="3" t="s">
        <v>340</v>
      </c>
    </row>
    <row r="20" spans="1:11" ht="141" customHeight="1" x14ac:dyDescent="0.25">
      <c r="A20" s="953" t="s">
        <v>2785</v>
      </c>
      <c r="B20" s="953"/>
      <c r="C20" s="953"/>
      <c r="D20" s="953"/>
      <c r="E20" s="953"/>
      <c r="F20" s="953"/>
      <c r="G20" s="953"/>
      <c r="H20" s="953"/>
      <c r="I20" s="953"/>
      <c r="K20" s="143" t="str">
        <f>A20</f>
        <v xml:space="preserve">Состояние  удовлетворительное. Температура 36,9С. Кожные покровы обычной окраски. Л/у доступные пальпации не увеличены. Дыхание в легких везикулярное. ЧД 16 в мин. Тоны сердца приглушены, ритмичные. АД 120/80, ЧСС 70 в мин. Живот не вздут, симметричный, мягкий, участвует в акте дыхания.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отрицательный с обеих сторон. Мочевой пузырь пальпаторно и перкуторно не определяется. Мочится самостоятельно. Уретрита нет.  Мочеиспускание не затрудненное,  безболезненное. Моча светлая, без примесей. </v>
      </c>
    </row>
    <row r="21" spans="1:11" x14ac:dyDescent="0.25">
      <c r="A21" s="56" t="s">
        <v>31</v>
      </c>
      <c r="C21" s="57" t="str">
        <f>IF(Дата_выписки=0, " ",A16-дата_поступления+1)</f>
        <v xml:space="preserve"> </v>
      </c>
      <c r="D21" s="851" t="str">
        <f>IF(Дата_выписки=0, " ","сутки в отделении,")</f>
        <v xml:space="preserve"> </v>
      </c>
      <c r="E21" s="851"/>
      <c r="F21" s="57">
        <f ca="1">IF((A16-Дата_операции)&lt;0," ",IF(Дата_операции=0," ",A16-Дата_операции))</f>
        <v>14</v>
      </c>
      <c r="G21" s="851" t="str">
        <f ca="1">IF((A16-Дата_операции)&lt;0," ",IF(Дата_операции=0," ","сутки после операции"))</f>
        <v>сутки после операции</v>
      </c>
      <c r="H21" s="851"/>
      <c r="I21" s="851"/>
    </row>
    <row r="22" spans="1:11" s="142" customFormat="1" ht="45" customHeight="1" x14ac:dyDescent="0.25">
      <c r="A22" s="855" t="s">
        <v>2780</v>
      </c>
      <c r="B22" s="855"/>
      <c r="C22" s="855"/>
      <c r="D22" s="855"/>
      <c r="E22" s="855"/>
      <c r="F22" s="855"/>
      <c r="G22" s="855"/>
      <c r="H22" s="855"/>
      <c r="I22" s="855"/>
      <c r="K22" s="143" t="str">
        <f>A22</f>
        <v xml:space="preserve">Проводилась инфузионная, антибактериальная (лефлобакт), спазмолитическая, анельгезирующая  терапия. Послеоперационный период протекал без осложнений. Цель госпитализации достигнута. 
</v>
      </c>
    </row>
    <row r="23" spans="1:11" s="142" customFormat="1" x14ac:dyDescent="0.25">
      <c r="A23" s="855" t="str">
        <f>Выписка!A38</f>
        <v xml:space="preserve">В дальнейшем стационарном лечении не нуждается. </v>
      </c>
      <c r="B23" s="855"/>
      <c r="C23" s="855"/>
      <c r="D23" s="855"/>
      <c r="E23" s="855"/>
      <c r="F23" s="855"/>
      <c r="G23" s="855"/>
      <c r="H23" s="855"/>
      <c r="I23" s="855"/>
      <c r="K23" s="143" t="str">
        <f>A23</f>
        <v xml:space="preserve">В дальнейшем стационарном лечении не нуждается. </v>
      </c>
    </row>
    <row r="24" spans="1:11" s="142" customFormat="1" x14ac:dyDescent="0.25">
      <c r="A24" s="855" t="s">
        <v>2406</v>
      </c>
      <c r="B24" s="853"/>
      <c r="C24" s="853"/>
      <c r="D24" s="853"/>
      <c r="E24" s="853"/>
      <c r="F24" s="853"/>
      <c r="G24" s="853"/>
      <c r="H24" s="853"/>
      <c r="I24" s="674"/>
      <c r="K24" s="143" t="str">
        <f>A24</f>
        <v>Выписывается  под наблюдение уролога по м/ж с рекомендациями.</v>
      </c>
    </row>
    <row r="25" spans="1:11" x14ac:dyDescent="0.25">
      <c r="G25" s="545" t="s">
        <v>74</v>
      </c>
      <c r="H25" s="957" t="str">
        <f>Лечащий_врач</f>
        <v>Еременко А. Н.</v>
      </c>
      <c r="I25" s="957"/>
    </row>
    <row r="26" spans="1:11" x14ac:dyDescent="0.25">
      <c r="G26" s="18" t="str">
        <f>IF(И.О.ЗАВ.ОТД.=1,"И.о. зав.отд.","Зав.отд.")</f>
        <v>Зав.отд.</v>
      </c>
      <c r="H26" s="957" t="str">
        <f>Зав.отд.</f>
        <v>Еременко С. Н.</v>
      </c>
      <c r="I26" s="957"/>
    </row>
  </sheetData>
  <sheetProtection formatCells="0" formatRows="0"/>
  <mergeCells count="20">
    <mergeCell ref="H26:I26"/>
    <mergeCell ref="A22:I22"/>
    <mergeCell ref="C16:I16"/>
    <mergeCell ref="C18:I18"/>
    <mergeCell ref="A11:I11"/>
    <mergeCell ref="A20:I20"/>
    <mergeCell ref="A23:I23"/>
    <mergeCell ref="H25:I25"/>
    <mergeCell ref="A24:H24"/>
    <mergeCell ref="C1:I1"/>
    <mergeCell ref="C3:I3"/>
    <mergeCell ref="A5:I5"/>
    <mergeCell ref="A8:I8"/>
    <mergeCell ref="G21:I21"/>
    <mergeCell ref="A10:I10"/>
    <mergeCell ref="H13:I13"/>
    <mergeCell ref="H14:I14"/>
    <mergeCell ref="D21:E21"/>
    <mergeCell ref="G6:I6"/>
    <mergeCell ref="D6:E6"/>
  </mergeCells>
  <dataValidations count="1">
    <dataValidation type="list" allowBlank="1" showInputMessage="1" showErrorMessage="1" sqref="A24:H24">
      <formula1>INDIRECT("Таблица203[Столбец1]")</formula1>
    </dataValidation>
  </dataValidations>
  <pageMargins left="0.92708333333333337" right="0.7" top="0.19791666666666666" bottom="0.22916666666666666"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3" tint="0.79998168889431442"/>
  </sheetPr>
  <dimension ref="A1:U135"/>
  <sheetViews>
    <sheetView view="pageBreakPreview" zoomScale="71" zoomScaleNormal="100" zoomScaleSheetLayoutView="71" zoomScalePageLayoutView="59" workbookViewId="0">
      <pane ySplit="11" topLeftCell="A51" activePane="bottomLeft" state="frozen"/>
      <selection pane="bottomLeft" activeCell="G49" sqref="G49:H49"/>
    </sheetView>
  </sheetViews>
  <sheetFormatPr defaultRowHeight="26.25" x14ac:dyDescent="0.4"/>
  <cols>
    <col min="1" max="1" width="10.5703125" style="190" customWidth="1"/>
    <col min="2" max="3" width="10.28515625" style="190" customWidth="1"/>
    <col min="4" max="4" width="10.5703125" style="190" bestFit="1" customWidth="1"/>
    <col min="5" max="5" width="12.42578125" style="190" customWidth="1"/>
    <col min="6" max="6" width="15.5703125" style="190" customWidth="1"/>
    <col min="7" max="7" width="12" style="190" bestFit="1" customWidth="1"/>
    <col min="8" max="8" width="12.5703125" style="190" customWidth="1"/>
    <col min="9" max="9" width="10.5703125" style="190" customWidth="1"/>
    <col min="10" max="10" width="14.42578125" style="190" bestFit="1" customWidth="1"/>
    <col min="11" max="11" width="10.5703125" style="190" bestFit="1" customWidth="1"/>
    <col min="12" max="16" width="9.140625" style="190"/>
    <col min="17" max="17" width="169.85546875" style="191" hidden="1" customWidth="1"/>
    <col min="18" max="18" width="122.5703125" style="192" hidden="1" customWidth="1"/>
    <col min="19" max="19" width="127.5703125" style="192" hidden="1" customWidth="1"/>
    <col min="20" max="20" width="138.140625" style="192" hidden="1" customWidth="1"/>
    <col min="21" max="21" width="127.140625" style="192" hidden="1" customWidth="1"/>
    <col min="22" max="16384" width="9.140625" style="190"/>
  </cols>
  <sheetData>
    <row r="1" spans="1:21" s="164" customFormat="1" x14ac:dyDescent="0.3">
      <c r="O1" s="210"/>
      <c r="Q1" s="191"/>
      <c r="R1" s="192"/>
      <c r="S1" s="192"/>
      <c r="T1" s="192"/>
      <c r="U1" s="341"/>
    </row>
    <row r="2" spans="1:21" s="164" customFormat="1" x14ac:dyDescent="0.3">
      <c r="M2" s="164" t="s">
        <v>2660</v>
      </c>
      <c r="O2" s="715" t="s">
        <v>2423</v>
      </c>
      <c r="Q2" s="191"/>
      <c r="R2" s="192"/>
      <c r="S2" s="192"/>
      <c r="T2" s="192"/>
      <c r="U2" s="341"/>
    </row>
    <row r="3" spans="1:21" s="164" customFormat="1" x14ac:dyDescent="0.3">
      <c r="L3" s="716"/>
      <c r="M3" s="164" t="s">
        <v>2656</v>
      </c>
      <c r="O3" s="210"/>
      <c r="Q3" s="191"/>
      <c r="R3" s="192"/>
      <c r="S3" s="192"/>
      <c r="T3" s="192"/>
      <c r="U3" s="341"/>
    </row>
    <row r="4" spans="1:21" s="164" customFormat="1" x14ac:dyDescent="0.3">
      <c r="O4" s="715" t="s">
        <v>97</v>
      </c>
      <c r="Q4" s="191"/>
      <c r="R4" s="192"/>
      <c r="S4" s="192"/>
      <c r="T4" s="192"/>
      <c r="U4" s="341"/>
    </row>
    <row r="5" spans="1:21" s="164" customFormat="1" x14ac:dyDescent="0.3">
      <c r="M5" s="715"/>
      <c r="N5" s="718" t="s">
        <v>98</v>
      </c>
      <c r="O5" s="717">
        <f>Данные!C5</f>
        <v>5903</v>
      </c>
      <c r="Q5" s="191"/>
      <c r="R5" s="192"/>
      <c r="S5" s="192"/>
      <c r="T5" s="192"/>
      <c r="U5" s="341"/>
    </row>
    <row r="6" spans="1:21" s="211" customFormat="1" ht="30.75" x14ac:dyDescent="0.45">
      <c r="G6" s="212" t="str">
        <f>IF(ПЕРЕВОДНОЙ=1, "Переводной эпикриз", "Выписной эпикриз")</f>
        <v>Выписной эпикриз</v>
      </c>
      <c r="Q6" s="191"/>
      <c r="R6" s="192"/>
      <c r="S6" s="192"/>
      <c r="T6" s="192"/>
      <c r="U6" s="342"/>
    </row>
    <row r="7" spans="1:21" x14ac:dyDescent="0.4">
      <c r="A7" s="193" t="s">
        <v>1438</v>
      </c>
      <c r="C7" s="190" t="str">
        <f>ФИО</f>
        <v>Иванова Е.П.</v>
      </c>
    </row>
    <row r="8" spans="1:21" x14ac:dyDescent="0.4">
      <c r="A8" s="193" t="s">
        <v>2655</v>
      </c>
      <c r="B8" s="714"/>
      <c r="C8" s="194"/>
      <c r="D8" s="999">
        <f>Данные!C8</f>
        <v>21949</v>
      </c>
      <c r="E8" s="991"/>
      <c r="F8" s="195" t="s">
        <v>35</v>
      </c>
      <c r="H8" s="196" t="s">
        <v>22</v>
      </c>
      <c r="I8" s="994">
        <f>Телефон</f>
        <v>0</v>
      </c>
      <c r="J8" s="994"/>
      <c r="K8" s="991"/>
      <c r="L8" s="991"/>
    </row>
    <row r="9" spans="1:21" x14ac:dyDescent="0.4">
      <c r="A9" s="193" t="s">
        <v>1439</v>
      </c>
      <c r="D9" s="995" t="str">
        <f>трудовой_анамнез</f>
        <v>пенсионер, в б\л не нуждается</v>
      </c>
      <c r="E9" s="995"/>
      <c r="F9" s="995"/>
      <c r="G9" s="995"/>
      <c r="H9" s="995"/>
      <c r="I9" s="995"/>
      <c r="J9" s="995"/>
      <c r="K9" s="995"/>
      <c r="L9" s="995"/>
      <c r="M9" s="995"/>
      <c r="N9" s="995"/>
      <c r="O9" s="995"/>
    </row>
    <row r="10" spans="1:21" x14ac:dyDescent="0.4">
      <c r="A10" s="193" t="s">
        <v>2787</v>
      </c>
      <c r="E10" s="196"/>
      <c r="H10" s="1001">
        <f>дата_поступления</f>
        <v>42592</v>
      </c>
      <c r="I10" s="1002"/>
      <c r="J10" s="197" t="s">
        <v>100</v>
      </c>
      <c r="K10" s="1001" t="str">
        <f>IF(Дата_выписки=0," ",Дата_выписки)</f>
        <v xml:space="preserve"> </v>
      </c>
      <c r="L10" s="1002"/>
      <c r="M10" s="1002"/>
    </row>
    <row r="11" spans="1:21" x14ac:dyDescent="0.4">
      <c r="A11" s="193" t="s">
        <v>1440</v>
      </c>
    </row>
    <row r="12" spans="1:21" ht="78.75" x14ac:dyDescent="0.4">
      <c r="A12" s="993" t="str">
        <f>Диагноз_при_поступлении</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c r="B12" s="993"/>
      <c r="C12" s="993"/>
      <c r="D12" s="993"/>
      <c r="E12" s="993"/>
      <c r="F12" s="993"/>
      <c r="G12" s="993"/>
      <c r="H12" s="993"/>
      <c r="I12" s="993"/>
      <c r="J12" s="993"/>
      <c r="K12" s="993"/>
      <c r="L12" s="993"/>
      <c r="M12" s="993"/>
      <c r="N12" s="993"/>
      <c r="O12" s="993"/>
      <c r="Q12" s="191" t="str">
        <f>A12</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row>
    <row r="13" spans="1:21" x14ac:dyDescent="0.4">
      <c r="A13" s="198" t="s">
        <v>71</v>
      </c>
      <c r="B13" s="198"/>
      <c r="C13" s="198"/>
      <c r="D13" s="198"/>
      <c r="E13" s="198"/>
      <c r="F13" s="198"/>
      <c r="G13" s="198"/>
      <c r="H13" s="198"/>
    </row>
    <row r="14" spans="1:21" ht="52.5" x14ac:dyDescent="0.4">
      <c r="A14" s="1000"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14" s="1000"/>
      <c r="C14" s="1000"/>
      <c r="D14" s="1000"/>
      <c r="E14" s="1000"/>
      <c r="F14" s="1000"/>
      <c r="G14" s="1000"/>
      <c r="H14" s="1000"/>
      <c r="I14" s="1000"/>
      <c r="J14" s="1000"/>
      <c r="K14" s="1000"/>
      <c r="L14" s="1000"/>
      <c r="M14" s="1000"/>
      <c r="N14" s="1000"/>
      <c r="O14" s="1000"/>
      <c r="Q14" s="191" t="str">
        <f>A14</f>
        <v>МКБ, рецидив. Резидуальный камень н\чашки справа 20 мм.                                                                                                                                                                                                                                                                                                                                                           Гидронефроз справа 1 ст. Хронический калькулезный пиелонефрит , латентное течение. ХПН 0-1</v>
      </c>
    </row>
    <row r="15" spans="1:21" x14ac:dyDescent="0.4">
      <c r="A15" s="198" t="str">
        <f>IF(Сопутствующий_диагноз=0, " ", "Сопутствующий диагноз:")</f>
        <v>Сопутствующий диагноз:</v>
      </c>
      <c r="B15" s="198"/>
      <c r="C15" s="198"/>
      <c r="D15" s="198"/>
      <c r="E15" s="198"/>
      <c r="F15" s="198"/>
      <c r="G15" s="198"/>
      <c r="H15" s="198"/>
    </row>
    <row r="16" spans="1:21" x14ac:dyDescent="0.4">
      <c r="A16" s="1005" t="str">
        <f>IF(Сопутствующий_диагноз=0, " ", Сопутствующий_диагноз)</f>
        <v xml:space="preserve">ИБС: АКС. САГ 2 ст, 2 ст, риск 3. Ожирение 3-4 ст. П\о вентральная грыжа. </v>
      </c>
      <c r="B16" s="1005"/>
      <c r="C16" s="1005"/>
      <c r="D16" s="1005"/>
      <c r="E16" s="1005"/>
      <c r="F16" s="1005"/>
      <c r="G16" s="1005"/>
      <c r="H16" s="1005"/>
      <c r="I16" s="1005"/>
      <c r="J16" s="1005"/>
      <c r="K16" s="1005"/>
      <c r="L16" s="1005"/>
      <c r="M16" s="1005"/>
      <c r="N16" s="1005"/>
      <c r="O16" s="1005"/>
      <c r="Q16" s="191" t="str">
        <f>A16</f>
        <v xml:space="preserve">ИБС: АКС. САГ 2 ст, 2 ст, риск 3. Ожирение 3-4 ст. П\о вентральная грыжа. </v>
      </c>
    </row>
    <row r="17" spans="1:21" x14ac:dyDescent="0.4">
      <c r="A17" s="198" t="s">
        <v>25</v>
      </c>
      <c r="C17" s="1003" t="str">
        <f>Жалобы</f>
        <v>боли в поясничной области;справа</v>
      </c>
      <c r="D17" s="1004"/>
      <c r="E17" s="1004"/>
      <c r="F17" s="1004"/>
      <c r="G17" s="1004"/>
      <c r="H17" s="1004"/>
      <c r="I17" s="1004"/>
      <c r="J17" s="1004"/>
      <c r="K17" s="1004"/>
      <c r="L17" s="1004"/>
      <c r="M17" s="1004"/>
      <c r="N17" s="1004"/>
      <c r="O17" s="1004"/>
      <c r="T17" s="192" t="str">
        <f>C17</f>
        <v>боли в поясничной области;справа</v>
      </c>
    </row>
    <row r="18" spans="1:21" x14ac:dyDescent="0.4">
      <c r="A18" s="198" t="s">
        <v>26</v>
      </c>
      <c r="B18" s="198"/>
      <c r="C18" s="198"/>
      <c r="D18" s="198"/>
      <c r="E18" s="198"/>
      <c r="F18" s="198"/>
      <c r="G18" s="198"/>
      <c r="H18" s="198"/>
    </row>
    <row r="19" spans="1:21" ht="78.75" x14ac:dyDescent="0.4">
      <c r="A19" s="1006" t="str">
        <f>Anamnesis_morbi</f>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c r="B19" s="1006"/>
      <c r="C19" s="1006"/>
      <c r="D19" s="1006"/>
      <c r="E19" s="1006"/>
      <c r="F19" s="1006"/>
      <c r="G19" s="1006"/>
      <c r="H19" s="1006"/>
      <c r="I19" s="1006"/>
      <c r="J19" s="1006"/>
      <c r="K19" s="1006"/>
      <c r="L19" s="1006"/>
      <c r="M19" s="1006"/>
      <c r="N19" s="1006"/>
      <c r="O19" s="1006"/>
      <c r="Q19" s="191" t="str">
        <f>A19</f>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row>
    <row r="20" spans="1:21" x14ac:dyDescent="0.4">
      <c r="A20" s="198" t="s">
        <v>27</v>
      </c>
      <c r="B20" s="198"/>
      <c r="C20" s="198"/>
      <c r="D20" s="1010"/>
      <c r="E20" s="848"/>
      <c r="F20" s="848"/>
      <c r="G20" s="848"/>
      <c r="H20" s="848"/>
      <c r="I20" s="848"/>
      <c r="J20" s="848"/>
      <c r="K20" s="848"/>
      <c r="L20" s="848"/>
      <c r="M20" s="848"/>
      <c r="N20" s="848"/>
      <c r="O20" s="848"/>
    </row>
    <row r="21" spans="1:21" s="213" customFormat="1" ht="78.75" x14ac:dyDescent="0.25">
      <c r="A21" s="1005" t="str">
        <f>Anamnesis_vitae</f>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c r="B21" s="1005"/>
      <c r="C21" s="1005"/>
      <c r="D21" s="1005"/>
      <c r="E21" s="1005"/>
      <c r="F21" s="1005"/>
      <c r="G21" s="1005"/>
      <c r="H21" s="1005"/>
      <c r="I21" s="1005"/>
      <c r="J21" s="1005"/>
      <c r="K21" s="1005"/>
      <c r="L21" s="1005"/>
      <c r="M21" s="1005"/>
      <c r="N21" s="1005"/>
      <c r="O21" s="1005"/>
      <c r="Q21" s="191" t="str">
        <f>A21</f>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c r="R21" s="192"/>
      <c r="S21" s="192"/>
      <c r="T21" s="192"/>
      <c r="U21" s="192"/>
    </row>
    <row r="22" spans="1:21" x14ac:dyDescent="0.4">
      <c r="A22" s="198" t="s">
        <v>34</v>
      </c>
      <c r="B22" s="198"/>
      <c r="D22" s="1015" t="str">
        <f>Аллергоанамнез</f>
        <v>левомицетин, новокаин</v>
      </c>
      <c r="E22" s="995"/>
      <c r="F22" s="995"/>
      <c r="G22" s="995"/>
      <c r="H22" s="995"/>
      <c r="I22" s="995"/>
      <c r="J22" s="995"/>
      <c r="K22" s="995"/>
      <c r="L22" s="995"/>
      <c r="M22" s="995"/>
      <c r="N22" s="995"/>
      <c r="O22" s="995"/>
    </row>
    <row r="23" spans="1:21" x14ac:dyDescent="0.4">
      <c r="A23" s="198" t="s">
        <v>29</v>
      </c>
      <c r="B23" s="198"/>
      <c r="C23" s="198"/>
      <c r="F23" s="1013" t="str">
        <f>Трансфузии</f>
        <v>не отягощен</v>
      </c>
      <c r="G23" s="995"/>
      <c r="H23" s="995"/>
      <c r="I23" s="995"/>
      <c r="J23" s="995"/>
      <c r="K23" s="995"/>
      <c r="L23" s="995"/>
      <c r="M23" s="995"/>
      <c r="N23" s="995"/>
      <c r="O23" s="995"/>
    </row>
    <row r="24" spans="1:21" x14ac:dyDescent="0.4">
      <c r="A24" s="198" t="s">
        <v>30</v>
      </c>
      <c r="B24" s="198"/>
      <c r="C24" s="198"/>
      <c r="D24" s="198"/>
      <c r="E24" s="198"/>
      <c r="F24" s="198"/>
      <c r="G24" s="198"/>
      <c r="H24" s="198"/>
    </row>
    <row r="25" spans="1:21" ht="210" x14ac:dyDescent="0.4">
      <c r="A25" s="998" t="str">
        <f>Данные!C17</f>
        <v xml:space="preserve">Состояние  удовлетворительное. Температура 36,9 С. Кожные покровы обычной окраски. Л/у доступные пальпации не увеличены. Дыхание в легких везикулярное. ЧД 16 в мин. Тоны сердца приглушены, ритмичные. АД 140/80, ЧСС 78 в мин. Живот не вздут, симметричный, мягкий, участвует в акте дыхания, чувствительный над лоном.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   Мочевой пузырь пальпаторно и перкуторно не определяется. Мочится  самостоятельно.  Уретрита нет.  </v>
      </c>
      <c r="B25" s="998"/>
      <c r="C25" s="998"/>
      <c r="D25" s="998"/>
      <c r="E25" s="998"/>
      <c r="F25" s="998"/>
      <c r="G25" s="998"/>
      <c r="H25" s="998"/>
      <c r="I25" s="998"/>
      <c r="J25" s="998"/>
      <c r="K25" s="998"/>
      <c r="L25" s="998"/>
      <c r="M25" s="998"/>
      <c r="N25" s="998"/>
      <c r="O25" s="998"/>
      <c r="Q25" s="191" t="str">
        <f>A25</f>
        <v xml:space="preserve">Состояние  удовлетворительное. Температура 36,9 С. Кожные покровы обычной окраски. Л/у доступные пальпации не увеличены. Дыхание в легких везикулярное. ЧД 16 в мин. Тоны сердца приглушены, ритмичные. АД 140/80, ЧСС 78 в мин. Живот не вздут, симметричный, мягкий, участвует в акте дыхания, чувствительный над лоном.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   Мочевой пузырь пальпаторно и перкуторно не определяется. Мочится  самостоятельно.  Уретрита нет.  </v>
      </c>
    </row>
    <row r="26" spans="1:21" x14ac:dyDescent="0.4">
      <c r="A26" s="198" t="s">
        <v>2626</v>
      </c>
      <c r="B26" s="198"/>
      <c r="C26" s="198"/>
      <c r="D26" s="198"/>
      <c r="E26" s="198"/>
      <c r="F26" s="198"/>
      <c r="G26" s="198"/>
      <c r="H26" s="198"/>
    </row>
    <row r="27" spans="1:21" ht="41.25" customHeight="1" x14ac:dyDescent="0.4">
      <c r="A27" s="1014">
        <f>Данные!C18</f>
        <v>0</v>
      </c>
      <c r="B27" s="1014"/>
      <c r="C27" s="1014"/>
      <c r="D27" s="1014"/>
      <c r="E27" s="1014"/>
      <c r="F27" s="1014"/>
      <c r="G27" s="1014"/>
      <c r="H27" s="1014"/>
      <c r="I27" s="1014"/>
      <c r="J27" s="1014"/>
      <c r="K27" s="1014"/>
      <c r="L27" s="1014"/>
      <c r="M27" s="1014"/>
      <c r="N27" s="1014"/>
      <c r="O27" s="1014"/>
      <c r="Q27" s="191">
        <f>A27</f>
        <v>0</v>
      </c>
    </row>
    <row r="28" spans="1:21" x14ac:dyDescent="0.4">
      <c r="A28" s="193" t="s">
        <v>88</v>
      </c>
    </row>
    <row r="29" spans="1:21" x14ac:dyDescent="0.4">
      <c r="A29" s="997" t="str">
        <f>IF(данные_проведенного_обследования=0, " ", данные_проведенного_обследования)</f>
        <v xml:space="preserve">НА УЗИ и урограмме ( 11.07.16) -   в н\ чашке - 20 мм каменьУмеренное расширение ЧЛС справа. </v>
      </c>
      <c r="B29" s="997"/>
      <c r="C29" s="997"/>
      <c r="D29" s="997"/>
      <c r="E29" s="997"/>
      <c r="F29" s="997"/>
      <c r="G29" s="997"/>
      <c r="H29" s="997"/>
      <c r="I29" s="997"/>
      <c r="J29" s="997"/>
      <c r="K29" s="997"/>
      <c r="L29" s="997"/>
      <c r="M29" s="997"/>
      <c r="N29" s="997"/>
      <c r="O29" s="997"/>
      <c r="Q29" s="191" t="str">
        <f>A29</f>
        <v xml:space="preserve">НА УЗИ и урограмме ( 11.07.16) -   в н\ чашке - 20 мм каменьУмеренное расширение ЧЛС справа. </v>
      </c>
    </row>
    <row r="30" spans="1:21" ht="52.5" x14ac:dyDescent="0.4">
      <c r="A30" s="997" t="str">
        <f>IF(Данные_амбулаторного_обследования=0, " ", Данные_амбулаторного_обследования)</f>
        <v xml:space="preserve">ФЛГ (амб): без свежих инфильтративных изменений.
Терапевт (амб): противопоказаний для оперативного лечения нет. </v>
      </c>
      <c r="B30" s="997"/>
      <c r="C30" s="997"/>
      <c r="D30" s="997"/>
      <c r="E30" s="997"/>
      <c r="F30" s="997"/>
      <c r="G30" s="997"/>
      <c r="H30" s="997"/>
      <c r="I30" s="997"/>
      <c r="J30" s="997"/>
      <c r="K30" s="997"/>
      <c r="L30" s="997"/>
      <c r="M30" s="997"/>
      <c r="N30" s="997"/>
      <c r="O30" s="997"/>
      <c r="Q30" s="191" t="str">
        <f>A30</f>
        <v xml:space="preserve">ФЛГ (амб): без свежих инфильтративных изменений.
Терапевт (амб): противопоказаний для оперативного лечения нет. </v>
      </c>
    </row>
    <row r="31" spans="1:21" x14ac:dyDescent="0.4">
      <c r="A31" s="997" t="str">
        <f>IF(ГИСТОЛОГИЯ=0, " ", ГИСТОЛОГИЯ)</f>
        <v xml:space="preserve"> </v>
      </c>
      <c r="B31" s="997"/>
      <c r="C31" s="997"/>
      <c r="D31" s="997"/>
      <c r="E31" s="997"/>
      <c r="F31" s="997"/>
      <c r="G31" s="997"/>
      <c r="H31" s="997"/>
      <c r="I31" s="997"/>
      <c r="J31" s="997"/>
      <c r="K31" s="997"/>
      <c r="L31" s="997"/>
      <c r="M31" s="997"/>
      <c r="N31" s="997"/>
      <c r="O31" s="997"/>
      <c r="Q31" s="191" t="str">
        <f>A31</f>
        <v xml:space="preserve"> </v>
      </c>
    </row>
    <row r="32" spans="1:21" x14ac:dyDescent="0.4">
      <c r="A32" s="665"/>
      <c r="B32" s="665"/>
      <c r="C32" s="665"/>
      <c r="D32" s="1011"/>
      <c r="E32" s="1012"/>
      <c r="F32" s="1012"/>
      <c r="G32" s="1012"/>
      <c r="H32" s="1012"/>
      <c r="I32" s="1012"/>
      <c r="J32" s="1012"/>
      <c r="K32" s="665"/>
      <c r="L32" s="665"/>
      <c r="M32" s="665"/>
      <c r="N32" s="665"/>
      <c r="O32" s="665"/>
    </row>
    <row r="33" spans="1:21" ht="24" customHeight="1" x14ac:dyDescent="0.4">
      <c r="D33" s="513"/>
      <c r="E33" s="669"/>
      <c r="F33" s="669"/>
      <c r="G33" s="514"/>
      <c r="H33" s="513"/>
      <c r="I33" s="513"/>
      <c r="J33" s="513"/>
    </row>
    <row r="34" spans="1:21" ht="27.75" customHeight="1" x14ac:dyDescent="0.4">
      <c r="A34" s="1007">
        <f>Дата_операции</f>
        <v>42587</v>
      </c>
      <c r="B34" s="1008"/>
      <c r="C34" s="965" t="str">
        <f>Планируемое_оперативное_вмешательство__проведенное</f>
        <v xml:space="preserve">Комбинированная нефролитолапаксия. Стентирование справа. </v>
      </c>
      <c r="D34" s="940"/>
      <c r="E34" s="940"/>
      <c r="F34" s="940"/>
      <c r="G34" s="940"/>
      <c r="H34" s="940"/>
      <c r="I34" s="940"/>
      <c r="J34" s="940"/>
      <c r="K34" s="940"/>
      <c r="L34" s="940"/>
      <c r="M34" s="940"/>
      <c r="N34" s="940"/>
      <c r="O34" s="940"/>
    </row>
    <row r="35" spans="1:21" ht="26.25" customHeight="1" x14ac:dyDescent="0.4">
      <c r="A35" s="1009"/>
      <c r="B35" s="878"/>
      <c r="C35" s="940"/>
      <c r="D35" s="940"/>
      <c r="E35" s="940"/>
      <c r="F35" s="940"/>
      <c r="G35" s="940"/>
      <c r="H35" s="940"/>
      <c r="I35" s="940"/>
      <c r="J35" s="940"/>
      <c r="K35" s="940"/>
      <c r="L35" s="940"/>
      <c r="M35" s="940"/>
      <c r="N35" s="940"/>
      <c r="O35" s="940"/>
    </row>
    <row r="36" spans="1:21" customFormat="1" ht="26.25" hidden="1" customHeight="1" x14ac:dyDescent="0.35">
      <c r="A36" s="666"/>
      <c r="B36" s="667"/>
      <c r="C36" s="679"/>
      <c r="D36" s="679"/>
      <c r="E36" s="679"/>
      <c r="F36" s="679"/>
      <c r="G36" s="679"/>
      <c r="H36" s="679"/>
      <c r="I36" s="679"/>
      <c r="J36" s="679"/>
      <c r="K36" s="679"/>
      <c r="L36" s="679"/>
      <c r="M36" s="679"/>
      <c r="N36" s="679"/>
      <c r="O36" s="679"/>
      <c r="Q36" s="191"/>
      <c r="R36" s="192"/>
      <c r="S36" s="192"/>
      <c r="T36" s="192"/>
      <c r="U36" s="192"/>
    </row>
    <row r="37" spans="1:21" ht="64.5" customHeight="1" x14ac:dyDescent="0.4">
      <c r="A37" s="996" t="str">
        <f>'Выписной дневник'!A22:I22</f>
        <v xml:space="preserve">Проводилась инфузионная, антибактериальная (лефлобакт), спазмолитическая, анельгезирующая  терапия. Послеоперационный период протекал без осложнений. Цель госпитализации достигнута. 
</v>
      </c>
      <c r="B37" s="996"/>
      <c r="C37" s="996"/>
      <c r="D37" s="996"/>
      <c r="E37" s="996"/>
      <c r="F37" s="996"/>
      <c r="G37" s="996"/>
      <c r="H37" s="996"/>
      <c r="I37" s="996"/>
      <c r="J37" s="996"/>
      <c r="K37" s="996"/>
      <c r="L37" s="996"/>
      <c r="M37" s="996"/>
      <c r="N37" s="996"/>
      <c r="O37" s="996"/>
      <c r="Q37" s="191" t="str">
        <f>A37</f>
        <v xml:space="preserve">Проводилась инфузионная, антибактериальная (лефлобакт), спазмолитическая, анельгезирующая  терапия. Послеоперационный период протекал без осложнений. Цель госпитализации достигнута. 
</v>
      </c>
    </row>
    <row r="38" spans="1:21" x14ac:dyDescent="0.4">
      <c r="A38" s="960" t="str">
        <f>IF(ПЕРЕВОДНОЙ=1, " ", "В дальнейшем стационарном лечении не нуждается. ")</f>
        <v xml:space="preserve">В дальнейшем стационарном лечении не нуждается. </v>
      </c>
      <c r="B38" s="960"/>
      <c r="C38" s="960"/>
      <c r="D38" s="960"/>
      <c r="E38" s="960"/>
      <c r="F38" s="960"/>
      <c r="G38" s="960"/>
      <c r="H38" s="960"/>
      <c r="I38" s="960"/>
      <c r="J38" s="960"/>
      <c r="K38" s="960"/>
      <c r="L38" s="960"/>
      <c r="M38" s="960"/>
      <c r="N38" s="960"/>
      <c r="O38" s="960"/>
      <c r="Q38" s="191" t="str">
        <f>A38</f>
        <v xml:space="preserve">В дальнейшем стационарном лечении не нуждается. </v>
      </c>
    </row>
    <row r="39" spans="1:21" x14ac:dyDescent="0.4">
      <c r="A39" s="960" t="str">
        <f>'Выписной дневник'!A24:I24</f>
        <v>Выписывается  под наблюдение уролога по м/ж с рекомендациями.</v>
      </c>
      <c r="B39" s="853"/>
      <c r="C39" s="853"/>
      <c r="D39" s="853"/>
      <c r="E39" s="853"/>
      <c r="F39" s="853"/>
      <c r="G39" s="853"/>
      <c r="H39" s="853"/>
      <c r="I39" s="853"/>
      <c r="J39" s="853"/>
      <c r="K39" s="680"/>
      <c r="L39" s="680"/>
      <c r="M39" s="680"/>
      <c r="N39" s="680"/>
      <c r="O39" s="680"/>
    </row>
    <row r="40" spans="1:21" ht="131.25" x14ac:dyDescent="0.4">
      <c r="A40" s="971" t="s">
        <v>1441</v>
      </c>
      <c r="B40" s="971"/>
      <c r="C40" s="971"/>
      <c r="D40" s="971"/>
      <c r="E40" s="971"/>
      <c r="F40" s="971"/>
      <c r="G40" s="971"/>
      <c r="H40" s="971"/>
      <c r="I40" s="971"/>
      <c r="J40" s="971"/>
      <c r="K40" s="971"/>
      <c r="L40" s="971"/>
      <c r="M40" s="971"/>
      <c r="N40" s="971"/>
      <c r="O40" s="971"/>
      <c r="Q40" s="191" t="str">
        <f>A40</f>
        <v xml:space="preserve">Состояние при выписке удовлетворительное. Температура тела 36,7С. Гемодинамика стабильная. При пальпации область почек безболезненная. Болезненности по ходу мочеточников нет. Симптом «поколачивания» отрицательный с обеих сторон. При пальпации живот мягкий, безболезненный во всех отделах. Дизурии нет. Диурез достаточный. Моча без видимых патологических примесей. </v>
      </c>
    </row>
    <row r="41" spans="1:21" x14ac:dyDescent="0.4">
      <c r="A41" s="193"/>
    </row>
    <row r="42" spans="1:21" x14ac:dyDescent="0.4">
      <c r="B42" s="193" t="s">
        <v>1442</v>
      </c>
      <c r="G42" s="978">
        <f>Данные!C6</f>
        <v>42592</v>
      </c>
      <c r="H42" s="979"/>
    </row>
    <row r="43" spans="1:21" s="290" customFormat="1" ht="40.5" x14ac:dyDescent="0.25">
      <c r="A43" s="289" t="s">
        <v>1495</v>
      </c>
      <c r="B43" s="969" t="s">
        <v>1494</v>
      </c>
      <c r="C43" s="1017"/>
      <c r="D43" s="969" t="s">
        <v>1493</v>
      </c>
      <c r="E43" s="1017"/>
      <c r="F43" s="969" t="s">
        <v>1492</v>
      </c>
      <c r="G43" s="1017"/>
      <c r="H43" s="289" t="s">
        <v>1491</v>
      </c>
      <c r="I43" s="289" t="s">
        <v>1490</v>
      </c>
      <c r="J43" s="289" t="s">
        <v>1489</v>
      </c>
      <c r="K43" s="289" t="s">
        <v>1488</v>
      </c>
      <c r="L43" s="289" t="s">
        <v>1487</v>
      </c>
      <c r="M43" s="289" t="s">
        <v>114</v>
      </c>
      <c r="N43" s="969" t="s">
        <v>1486</v>
      </c>
      <c r="O43" s="1017"/>
      <c r="Q43" s="187"/>
      <c r="R43" s="188"/>
      <c r="S43" s="188"/>
      <c r="T43" s="188"/>
      <c r="U43" s="341"/>
    </row>
    <row r="44" spans="1:21" s="200" customFormat="1" x14ac:dyDescent="0.25">
      <c r="A44" s="214">
        <f>ОАК_Гемоглобин</f>
        <v>126</v>
      </c>
      <c r="B44" s="967">
        <f>ОАК_Эритр</f>
        <v>4.3600000000000003</v>
      </c>
      <c r="C44" s="1019"/>
      <c r="D44" s="967">
        <f>ОАК_Тромб</f>
        <v>122</v>
      </c>
      <c r="E44" s="1019"/>
      <c r="F44" s="967">
        <f>ОАК_лейкоциты</f>
        <v>4.2</v>
      </c>
      <c r="G44" s="1019"/>
      <c r="H44" s="214">
        <f>ОАК_палочки</f>
        <v>5</v>
      </c>
      <c r="I44" s="214">
        <f>ОАК_сегментоядерные</f>
        <v>44</v>
      </c>
      <c r="J44" s="214">
        <f>ОАК_эозинофилы</f>
        <v>1</v>
      </c>
      <c r="K44" s="214">
        <f>ОАК_базофилы</f>
        <v>0</v>
      </c>
      <c r="L44" s="214">
        <f>ОАК_лимфоциты</f>
        <v>51</v>
      </c>
      <c r="M44" s="214">
        <f>ОАК_моноциты</f>
        <v>4</v>
      </c>
      <c r="N44" s="967">
        <f>ОАК_СОЭ</f>
        <v>11</v>
      </c>
      <c r="O44" s="1019"/>
      <c r="Q44" s="191"/>
      <c r="R44" s="192"/>
      <c r="S44" s="192"/>
      <c r="T44" s="192"/>
      <c r="U44" s="192"/>
    </row>
    <row r="45" spans="1:21" x14ac:dyDescent="0.4">
      <c r="B45" s="201" t="s">
        <v>1443</v>
      </c>
      <c r="G45" s="980">
        <f>Данные!C6</f>
        <v>42592</v>
      </c>
      <c r="H45" s="981"/>
    </row>
    <row r="46" spans="1:21" s="290" customFormat="1" ht="40.5" x14ac:dyDescent="0.25">
      <c r="A46" s="291" t="s">
        <v>1480</v>
      </c>
      <c r="B46" s="1018" t="s">
        <v>1496</v>
      </c>
      <c r="C46" s="1018"/>
      <c r="D46" s="1018" t="s">
        <v>118</v>
      </c>
      <c r="E46" s="1018"/>
      <c r="F46" s="1018" t="s">
        <v>1482</v>
      </c>
      <c r="G46" s="1018"/>
      <c r="H46" s="1018" t="s">
        <v>1483</v>
      </c>
      <c r="I46" s="1018"/>
      <c r="J46" s="1018" t="s">
        <v>121</v>
      </c>
      <c r="K46" s="1024"/>
      <c r="L46" s="1018" t="s">
        <v>122</v>
      </c>
      <c r="M46" s="1018"/>
      <c r="N46" s="1018" t="s">
        <v>124</v>
      </c>
      <c r="O46" s="1018"/>
      <c r="Q46" s="187"/>
      <c r="R46" s="188"/>
      <c r="S46" s="188"/>
      <c r="T46" s="188"/>
      <c r="U46" s="341"/>
    </row>
    <row r="47" spans="1:21" x14ac:dyDescent="0.4">
      <c r="A47" s="214" t="str">
        <f>ОАМ_рН</f>
        <v>кислая</v>
      </c>
      <c r="B47" s="967">
        <f>ОАМ_белок</f>
        <v>0</v>
      </c>
      <c r="C47" s="968"/>
      <c r="D47" s="967">
        <f>ОАМ_плотность</f>
        <v>1016</v>
      </c>
      <c r="E47" s="974"/>
      <c r="F47" s="967">
        <f>ОАМ_лейкоциты</f>
        <v>0</v>
      </c>
      <c r="G47" s="974"/>
      <c r="H47" s="967">
        <f>ОАМ_эритроциты</f>
        <v>0</v>
      </c>
      <c r="I47" s="974"/>
      <c r="J47" s="1025">
        <f>ОАМ_соли</f>
        <v>0</v>
      </c>
      <c r="K47" s="1026"/>
      <c r="L47" s="967" t="str">
        <f>ОАМ_бактерии</f>
        <v>-</v>
      </c>
      <c r="M47" s="974"/>
      <c r="N47" s="967" t="str">
        <f>ОАМ_грибки</f>
        <v>-</v>
      </c>
      <c r="O47" s="968"/>
    </row>
    <row r="48" spans="1:21" x14ac:dyDescent="0.4">
      <c r="B48" s="193" t="s">
        <v>1444</v>
      </c>
      <c r="G48" s="982">
        <f>Данные!C6</f>
        <v>42592</v>
      </c>
      <c r="H48" s="981"/>
    </row>
    <row r="49" spans="1:21" s="292" customFormat="1" ht="74.25" customHeight="1" x14ac:dyDescent="0.25">
      <c r="A49" s="289" t="s">
        <v>2670</v>
      </c>
      <c r="B49" s="975" t="s">
        <v>1485</v>
      </c>
      <c r="C49" s="976"/>
      <c r="D49" s="977"/>
      <c r="E49" s="969" t="s">
        <v>1484</v>
      </c>
      <c r="F49" s="970"/>
      <c r="G49" s="969" t="s">
        <v>125</v>
      </c>
      <c r="H49" s="1016"/>
      <c r="I49" s="969" t="s">
        <v>2671</v>
      </c>
      <c r="J49" s="1016"/>
      <c r="K49" s="969" t="s">
        <v>2474</v>
      </c>
      <c r="L49" s="970"/>
      <c r="M49" s="969" t="s">
        <v>1481</v>
      </c>
      <c r="N49" s="970"/>
      <c r="O49" s="1035"/>
      <c r="Q49" s="187"/>
      <c r="R49" s="188"/>
      <c r="S49" s="188"/>
      <c r="T49" s="188"/>
      <c r="U49" s="341"/>
    </row>
    <row r="50" spans="1:21" x14ac:dyDescent="0.4">
      <c r="A50" s="214">
        <f>Биохимия_белок</f>
        <v>69</v>
      </c>
      <c r="B50" s="1029">
        <f>Биохимия_мочевина</f>
        <v>5.0999999999999996</v>
      </c>
      <c r="C50" s="1030"/>
      <c r="D50" s="1031"/>
      <c r="E50" s="967">
        <f>Биохимия_креатинин</f>
        <v>78</v>
      </c>
      <c r="F50" s="968"/>
      <c r="G50" s="967">
        <f>Биохимия_билирубин</f>
        <v>10.4</v>
      </c>
      <c r="H50" s="974"/>
      <c r="I50" s="967" t="str">
        <f>Биохимия_калий</f>
        <v>24|33</v>
      </c>
      <c r="J50" s="974"/>
      <c r="K50" s="967">
        <f>Биохимия_натрий</f>
        <v>0</v>
      </c>
      <c r="L50" s="968"/>
      <c r="M50" s="967">
        <f>Биохимия_глюкоза</f>
        <v>5.4</v>
      </c>
      <c r="N50" s="968"/>
      <c r="O50" s="974"/>
    </row>
    <row r="51" spans="1:21" ht="28.5" customHeight="1" x14ac:dyDescent="0.4">
      <c r="A51" s="989" t="s">
        <v>2487</v>
      </c>
      <c r="B51" s="990"/>
      <c r="C51" s="990"/>
      <c r="D51" s="684">
        <f>Данные!L10</f>
        <v>0</v>
      </c>
      <c r="E51" s="989" t="s">
        <v>2490</v>
      </c>
      <c r="F51" s="990"/>
      <c r="G51" s="682">
        <f>РОСТ__см</f>
        <v>0</v>
      </c>
      <c r="H51" s="989" t="s">
        <v>2492</v>
      </c>
      <c r="I51" s="990"/>
      <c r="J51" s="990"/>
      <c r="K51" s="990"/>
      <c r="L51" s="684">
        <f>ВЕС_кг</f>
        <v>0</v>
      </c>
      <c r="M51" s="682"/>
      <c r="N51" s="683"/>
      <c r="O51" s="374"/>
    </row>
    <row r="52" spans="1:21" ht="28.5" customHeight="1" x14ac:dyDescent="0.4">
      <c r="A52" s="1020" t="s">
        <v>2713</v>
      </c>
      <c r="B52" s="848"/>
      <c r="C52" s="848"/>
      <c r="D52" s="848"/>
      <c r="E52" s="848"/>
      <c r="F52" s="848"/>
      <c r="G52" s="848"/>
      <c r="H52" s="1021" t="str">
        <f>Данные!N7</f>
        <v>отрицательно</v>
      </c>
      <c r="I52" s="1022"/>
      <c r="J52" s="1022"/>
      <c r="K52" s="746"/>
      <c r="L52" s="745"/>
      <c r="M52" s="682"/>
      <c r="N52" s="683"/>
      <c r="O52" s="374"/>
    </row>
    <row r="53" spans="1:21" x14ac:dyDescent="0.4">
      <c r="A53" s="193" t="s">
        <v>129</v>
      </c>
      <c r="J53" s="193">
        <f>Лучевая_нагрузка</f>
        <v>0</v>
      </c>
      <c r="K53" s="190" t="s">
        <v>130</v>
      </c>
    </row>
    <row r="54" spans="1:21" x14ac:dyDescent="0.4">
      <c r="A54" s="193" t="s">
        <v>133</v>
      </c>
      <c r="D54" s="991" t="str">
        <f>Группа_крови</f>
        <v>А(II)  вторая,  Rh(+) положительная</v>
      </c>
      <c r="E54" s="991"/>
      <c r="F54" s="991"/>
      <c r="G54" s="991"/>
      <c r="H54" s="991"/>
      <c r="I54" s="991"/>
      <c r="J54" s="991"/>
      <c r="K54" s="991"/>
      <c r="L54" s="991"/>
      <c r="M54" s="991"/>
      <c r="N54" s="991"/>
      <c r="O54" s="991"/>
    </row>
    <row r="55" spans="1:21" s="203" customFormat="1" x14ac:dyDescent="0.4">
      <c r="A55" s="202" t="str">
        <f>IF( ЭКГ_результат=0, " ", "ЭКГ")</f>
        <v>ЭКГ</v>
      </c>
      <c r="B55" s="1021" t="str">
        <f>IF( ЭКГ_результат=0, " ", ЭКГ_результат)</f>
        <v xml:space="preserve"> 78 в мин, ритм синусовый</v>
      </c>
      <c r="C55" s="1023"/>
      <c r="D55" s="1023"/>
      <c r="E55" s="1023"/>
      <c r="F55" s="1023"/>
      <c r="G55" s="1023"/>
      <c r="H55" s="1023"/>
      <c r="I55" s="1023"/>
      <c r="J55" s="1023"/>
      <c r="K55" s="1023"/>
      <c r="L55" s="1023"/>
      <c r="M55" s="1023"/>
      <c r="N55" s="1023"/>
      <c r="O55" s="1023"/>
      <c r="Q55" s="204"/>
      <c r="R55" s="205" t="str">
        <f>B55</f>
        <v xml:space="preserve"> 78 в мин, ритм синусовый</v>
      </c>
      <c r="S55" s="205"/>
      <c r="T55" s="205"/>
      <c r="U55" s="205"/>
    </row>
    <row r="56" spans="1:21" x14ac:dyDescent="0.4">
      <c r="A56" s="1027" t="s">
        <v>135</v>
      </c>
      <c r="B56" s="1028"/>
      <c r="C56" s="1028"/>
      <c r="D56" s="1028"/>
      <c r="E56" s="1028"/>
      <c r="F56" s="1034" t="str">
        <f>IF( ВИЧ_ГЕПАТИТ_дата=0, " в работе.", "отрицательные от")</f>
        <v xml:space="preserve"> в работе.</v>
      </c>
      <c r="G56" s="1034"/>
      <c r="H56" s="985" t="str">
        <f>IF( ВИЧ_ГЕПАТИТ_дата=0, " ", ВИЧ_ГЕПАТИТ_дата)</f>
        <v xml:space="preserve"> </v>
      </c>
      <c r="I56" s="986"/>
      <c r="J56" s="987"/>
      <c r="K56" s="988"/>
      <c r="L56" s="988"/>
      <c r="M56" s="988"/>
      <c r="N56" s="988"/>
      <c r="O56" s="988"/>
    </row>
    <row r="57" spans="1:21" x14ac:dyDescent="0.4">
      <c r="A57" s="963" t="str">
        <f>IF(Посев_мочи=0, " ", "Посев мочи:")</f>
        <v>Посев мочи:</v>
      </c>
      <c r="B57" s="964"/>
      <c r="C57" s="972" t="str">
        <f>IF(Посев_мочи=0, " ", Посев_мочи)</f>
        <v>E. coli</v>
      </c>
      <c r="D57" s="973"/>
      <c r="E57" s="973"/>
      <c r="F57" s="973"/>
      <c r="G57" s="973"/>
      <c r="H57" s="973"/>
      <c r="I57" s="973"/>
      <c r="J57" s="973"/>
      <c r="K57" s="973"/>
      <c r="L57" s="973"/>
      <c r="M57" s="973"/>
      <c r="N57" s="973"/>
      <c r="O57" s="973"/>
      <c r="T57" s="192" t="str">
        <f>C57</f>
        <v>E. coli</v>
      </c>
    </row>
    <row r="58" spans="1:21" ht="50.25" customHeight="1" x14ac:dyDescent="0.4">
      <c r="A58" s="1032" t="str">
        <f>Данные!C21</f>
        <v>От выдачи справки о стоимости медицинской помощи, оказанной застрахованному  лицу в рамках ОМС отказался(-ась).</v>
      </c>
      <c r="B58" s="1033"/>
      <c r="C58" s="1033"/>
      <c r="D58" s="1033"/>
      <c r="E58" s="1033"/>
      <c r="F58" s="1033"/>
      <c r="G58" s="1033"/>
      <c r="H58" s="1033"/>
      <c r="I58" s="1033"/>
      <c r="J58" s="1033"/>
      <c r="K58" s="1033"/>
      <c r="L58" s="1033"/>
      <c r="M58" s="1033"/>
      <c r="N58" s="1033"/>
      <c r="O58" s="1033"/>
    </row>
    <row r="59" spans="1:21" x14ac:dyDescent="0.4">
      <c r="A59" s="193" t="str">
        <f>IF(ПЕРЕВОДНОЙ=1, "Переведен:", "Выписан:")</f>
        <v>Выписан:</v>
      </c>
      <c r="C59" s="190" t="str">
        <f>выписан_с_улучшением_с_выздоровлением</f>
        <v>с выздоровлением</v>
      </c>
    </row>
    <row r="60" spans="1:21" x14ac:dyDescent="0.4">
      <c r="A60" s="193" t="s">
        <v>140</v>
      </c>
      <c r="E60" s="190" t="str">
        <f>Трудоспособность</f>
        <v>восстановлена полностью</v>
      </c>
    </row>
    <row r="61" spans="1:21" x14ac:dyDescent="0.4">
      <c r="A61" s="193" t="s">
        <v>141</v>
      </c>
      <c r="F61" s="190" t="str">
        <f>Лист_нетрудоспособности</f>
        <v>нет</v>
      </c>
    </row>
    <row r="62" spans="1:21" x14ac:dyDescent="0.4">
      <c r="A62" s="193" t="str">
        <f>IF(ПЕРЕВОДНОЙ=1, " ", "Явка в поликлинику по м/ж:")</f>
        <v>Явка в поликлинику по м/ж:</v>
      </c>
      <c r="F62" s="992">
        <f>IF(ПЕРЕВОДНОЙ=1, " ", IF(WEEKDAY(Дата_выписки,2)=5, (Дата_выписки+3), (Дата_выписки+1)))</f>
        <v>1</v>
      </c>
      <c r="G62" s="992"/>
      <c r="H62" s="992"/>
      <c r="I62" s="992"/>
      <c r="J62" s="992"/>
      <c r="K62" s="992"/>
      <c r="L62" s="992"/>
      <c r="M62" s="992"/>
      <c r="N62" s="992"/>
      <c r="O62" s="992"/>
    </row>
    <row r="63" spans="1:21" x14ac:dyDescent="0.4">
      <c r="A63" s="193" t="s">
        <v>144</v>
      </c>
      <c r="D63" s="961"/>
      <c r="E63" s="966"/>
      <c r="F63" s="966"/>
      <c r="G63" s="966"/>
      <c r="H63" s="966"/>
      <c r="I63" s="966"/>
      <c r="J63" s="966"/>
      <c r="K63" s="966"/>
      <c r="L63" s="966"/>
      <c r="M63" s="966"/>
      <c r="N63" s="966"/>
    </row>
    <row r="64" spans="1:21" ht="51" hidden="1" customHeight="1" x14ac:dyDescent="0.4">
      <c r="D64" s="961" t="s">
        <v>2475</v>
      </c>
      <c r="E64" s="962"/>
      <c r="F64" s="962"/>
      <c r="G64" s="962"/>
      <c r="H64" s="962"/>
      <c r="I64" s="962"/>
      <c r="J64" s="962"/>
      <c r="K64" s="962"/>
      <c r="L64" s="962"/>
      <c r="M64" s="962"/>
      <c r="N64" s="962"/>
      <c r="Q64" s="206"/>
      <c r="R64" s="207"/>
      <c r="S64" s="199" t="str">
        <f>D64</f>
        <v xml:space="preserve"> Гидравлическое бужирование, антисклеротическое  ФТЛ (лидаза, глюкокортикоиды)</v>
      </c>
      <c r="T64" s="207"/>
      <c r="U64" s="190"/>
    </row>
    <row r="65" spans="3:21" ht="76.5" hidden="1" customHeight="1" x14ac:dyDescent="0.4">
      <c r="D65" s="983" t="s">
        <v>2758</v>
      </c>
      <c r="E65" s="984"/>
      <c r="F65" s="984"/>
      <c r="G65" s="984"/>
      <c r="H65" s="984"/>
      <c r="I65" s="984"/>
      <c r="J65" s="984"/>
      <c r="K65" s="984"/>
      <c r="L65" s="984"/>
      <c r="M65" s="984"/>
      <c r="N65" s="984"/>
      <c r="Q65" s="206"/>
      <c r="R65" s="207"/>
      <c r="S65" s="199" t="str">
        <f>D65</f>
        <v xml:space="preserve">Дальнейшая тактика лечения будет определена после гистологической верификации диагноза. Получить через 10-14 суток  результаты гистологического исследования (с 14-00 до 15-30, тел.636277) </v>
      </c>
      <c r="T65" s="207"/>
      <c r="U65" s="190"/>
    </row>
    <row r="66" spans="3:21" ht="62.25" hidden="1" customHeight="1" x14ac:dyDescent="0.4">
      <c r="D66" s="961" t="s">
        <v>2466</v>
      </c>
      <c r="E66" s="962"/>
      <c r="F66" s="962"/>
      <c r="G66" s="962"/>
      <c r="H66" s="962"/>
      <c r="I66" s="962"/>
      <c r="J66" s="962"/>
      <c r="K66" s="962"/>
      <c r="L66" s="962"/>
      <c r="M66" s="962"/>
      <c r="N66" s="962"/>
      <c r="R66" s="207"/>
      <c r="S66" s="199" t="str">
        <f t="shared" ref="S66:S110" si="0">D66</f>
        <v>Дальнейшая тактика лечения, необходимость следующего этапа ТУКЛТ будет определена после контрольного обследования через 14 дней.</v>
      </c>
      <c r="T66" s="207"/>
      <c r="U66" s="190"/>
    </row>
    <row r="67" spans="3:21" ht="43.5" hidden="1" customHeight="1" x14ac:dyDescent="0.4">
      <c r="D67" s="961" t="s">
        <v>476</v>
      </c>
      <c r="E67" s="962"/>
      <c r="F67" s="962"/>
      <c r="G67" s="962"/>
      <c r="H67" s="962"/>
      <c r="I67" s="962"/>
      <c r="J67" s="962"/>
      <c r="K67" s="962"/>
      <c r="L67" s="962"/>
      <c r="M67" s="962"/>
      <c r="N67" s="962"/>
      <c r="R67" s="207"/>
      <c r="S67" s="199" t="str">
        <f t="shared" si="0"/>
        <v>Капли Леспенифрил внутрь перед едой по 1-2 чайной ложки 2-3 раза в сутки 1 мес.</v>
      </c>
      <c r="T67" s="207"/>
      <c r="U67" s="190"/>
    </row>
    <row r="68" spans="3:21" ht="43.5" hidden="1" customHeight="1" x14ac:dyDescent="0.4">
      <c r="D68" s="961" t="s">
        <v>447</v>
      </c>
      <c r="E68" s="962"/>
      <c r="F68" s="962"/>
      <c r="G68" s="962"/>
      <c r="H68" s="962"/>
      <c r="I68" s="962"/>
      <c r="J68" s="962"/>
      <c r="K68" s="962"/>
      <c r="L68" s="962"/>
      <c r="M68" s="962"/>
      <c r="N68" s="962"/>
      <c r="R68" s="207"/>
      <c r="S68" s="199" t="str">
        <f t="shared" si="0"/>
        <v>Капс. Дутастерид (Аводарт) 0,5мг х 1р/с 6-12 мес.</v>
      </c>
      <c r="T68" s="207"/>
      <c r="U68" s="190"/>
    </row>
    <row r="69" spans="3:21" ht="43.5" hidden="1" customHeight="1" x14ac:dyDescent="0.4">
      <c r="D69" s="961" t="s">
        <v>2476</v>
      </c>
      <c r="E69" s="962"/>
      <c r="F69" s="962"/>
      <c r="G69" s="962"/>
      <c r="H69" s="962"/>
      <c r="I69" s="962"/>
      <c r="J69" s="962"/>
      <c r="K69" s="962"/>
      <c r="L69" s="962"/>
      <c r="M69" s="962"/>
      <c r="N69" s="962"/>
      <c r="R69" s="207"/>
      <c r="S69" s="199" t="str">
        <f t="shared" si="0"/>
        <v>Капс. Линекс 2 капс. х 3 р/д в течение 2 недель.</v>
      </c>
      <c r="T69" s="207"/>
      <c r="U69" s="190"/>
    </row>
    <row r="70" spans="3:21" ht="43.5" hidden="1" customHeight="1" x14ac:dyDescent="0.4">
      <c r="D70" s="961" t="s">
        <v>2477</v>
      </c>
      <c r="E70" s="962"/>
      <c r="F70" s="962"/>
      <c r="G70" s="962"/>
      <c r="H70" s="962"/>
      <c r="I70" s="962"/>
      <c r="J70" s="962"/>
      <c r="K70" s="962"/>
      <c r="L70" s="962"/>
      <c r="M70" s="962"/>
      <c r="N70" s="962"/>
      <c r="R70" s="207"/>
      <c r="S70" s="199" t="str">
        <f>D70</f>
        <v>Капс. Роватинекс 2 капс х 3р/с 1 мес.</v>
      </c>
      <c r="T70" s="207"/>
      <c r="U70" s="190"/>
    </row>
    <row r="71" spans="3:21" ht="43.5" hidden="1" customHeight="1" x14ac:dyDescent="0.4">
      <c r="C71" s="208"/>
      <c r="D71" s="961" t="s">
        <v>2465</v>
      </c>
      <c r="E71" s="962"/>
      <c r="F71" s="962"/>
      <c r="G71" s="962"/>
      <c r="H71" s="962"/>
      <c r="I71" s="962"/>
      <c r="J71" s="962"/>
      <c r="K71" s="962"/>
      <c r="L71" s="962"/>
      <c r="M71" s="962"/>
      <c r="N71" s="962"/>
      <c r="R71" s="207"/>
      <c r="S71" s="199" t="str">
        <f t="shared" si="0"/>
        <v>Капс.Тамсулозин 0,4 мг 1капс/сут.</v>
      </c>
      <c r="T71" s="207"/>
      <c r="U71" s="190"/>
    </row>
    <row r="72" spans="3:21" ht="43.5" hidden="1" customHeight="1" x14ac:dyDescent="0.4">
      <c r="C72" s="208"/>
      <c r="D72" s="961" t="s">
        <v>2478</v>
      </c>
      <c r="E72" s="962"/>
      <c r="F72" s="962"/>
      <c r="G72" s="962"/>
      <c r="H72" s="962"/>
      <c r="I72" s="962"/>
      <c r="J72" s="962"/>
      <c r="K72" s="962"/>
      <c r="L72" s="962"/>
      <c r="M72" s="962"/>
      <c r="N72" s="962"/>
      <c r="R72" s="207"/>
      <c r="S72" s="199" t="str">
        <f t="shared" si="0"/>
        <v>Контроль анализа мочи на атипические клетки через 1 мес.</v>
      </c>
      <c r="T72" s="207"/>
      <c r="U72" s="190"/>
    </row>
    <row r="73" spans="3:21" ht="43.5" hidden="1" customHeight="1" x14ac:dyDescent="0.4">
      <c r="C73" s="208"/>
      <c r="D73" s="961" t="s">
        <v>477</v>
      </c>
      <c r="E73" s="962"/>
      <c r="F73" s="962"/>
      <c r="G73" s="962"/>
      <c r="H73" s="962"/>
      <c r="I73" s="962"/>
      <c r="J73" s="962"/>
      <c r="K73" s="962"/>
      <c r="L73" s="962"/>
      <c r="M73" s="962"/>
      <c r="N73" s="962"/>
      <c r="R73" s="207"/>
      <c r="S73" s="199" t="str">
        <f t="shared" si="0"/>
        <v>Контроль анализа состава отошедшего конкремента, б/х анализа суточной мочи амбулаторно.</v>
      </c>
      <c r="T73" s="207"/>
      <c r="U73" s="190"/>
    </row>
    <row r="74" spans="3:21" ht="43.5" hidden="1" customHeight="1" x14ac:dyDescent="0.4">
      <c r="C74" s="208"/>
      <c r="D74" s="961" t="s">
        <v>2493</v>
      </c>
      <c r="E74" s="962"/>
      <c r="F74" s="962"/>
      <c r="G74" s="962"/>
      <c r="H74" s="962"/>
      <c r="I74" s="962"/>
      <c r="J74" s="962"/>
      <c r="K74" s="962"/>
      <c r="L74" s="962"/>
      <c r="M74" s="962"/>
      <c r="N74" s="962"/>
      <c r="R74" s="207"/>
      <c r="S74" s="199" t="str">
        <f t="shared" si="0"/>
        <v>Реносцинтиграфия в плановом порядке</v>
      </c>
      <c r="T74" s="207"/>
      <c r="U74" s="190"/>
    </row>
    <row r="75" spans="3:21" ht="43.5" hidden="1" customHeight="1" x14ac:dyDescent="0.4">
      <c r="C75" s="208"/>
      <c r="D75" s="961" t="s">
        <v>2501</v>
      </c>
      <c r="E75" s="962"/>
      <c r="F75" s="962"/>
      <c r="G75" s="962"/>
      <c r="H75" s="962"/>
      <c r="I75" s="962"/>
      <c r="J75" s="962"/>
      <c r="K75" s="962"/>
      <c r="L75" s="962"/>
      <c r="M75" s="962"/>
      <c r="N75" s="962"/>
      <c r="R75" s="207"/>
      <c r="S75" s="199" t="str">
        <f t="shared" si="0"/>
        <v>КТ- онкостадирование</v>
      </c>
      <c r="T75" s="207"/>
      <c r="U75" s="190"/>
    </row>
    <row r="76" spans="3:21" ht="57" hidden="1" customHeight="1" x14ac:dyDescent="0.4">
      <c r="C76" s="208"/>
      <c r="D76" s="961" t="s">
        <v>2760</v>
      </c>
      <c r="E76" s="962"/>
      <c r="F76" s="962"/>
      <c r="G76" s="962"/>
      <c r="H76" s="962"/>
      <c r="I76" s="962"/>
      <c r="J76" s="962"/>
      <c r="K76" s="962"/>
      <c r="L76" s="962"/>
      <c r="M76" s="962"/>
      <c r="N76" s="962"/>
      <c r="R76" s="207"/>
      <c r="S76" s="199" t="str">
        <f t="shared" si="0"/>
        <v>Удаление стента через 28 дней, после контрольного обследования: УЗИ МВС, ОАК, ОАМ, БАК (тел. 636277)</v>
      </c>
      <c r="T76" s="207"/>
      <c r="U76" s="190"/>
    </row>
    <row r="77" spans="3:21" ht="43.5" hidden="1" customHeight="1" x14ac:dyDescent="0.4">
      <c r="C77" s="208"/>
      <c r="D77" s="961" t="s">
        <v>2572</v>
      </c>
      <c r="E77" s="962"/>
      <c r="F77" s="962"/>
      <c r="G77" s="962"/>
      <c r="H77" s="962"/>
      <c r="I77" s="962"/>
      <c r="J77" s="962"/>
      <c r="K77" s="962"/>
      <c r="L77" s="962"/>
      <c r="M77" s="962"/>
      <c r="N77" s="962"/>
      <c r="R77" s="207"/>
      <c r="S77" s="199" t="str">
        <f t="shared" si="0"/>
        <v>Контроль ОАК, ОАМ, Б/х крови,  через 7 дней ( блемарен по схеме)</v>
      </c>
      <c r="T77" s="207"/>
      <c r="U77" s="190"/>
    </row>
    <row r="78" spans="3:21" ht="43.5" hidden="1" customHeight="1" x14ac:dyDescent="0.4">
      <c r="C78" s="208"/>
      <c r="D78" s="961" t="s">
        <v>2494</v>
      </c>
      <c r="E78" s="962"/>
      <c r="F78" s="962"/>
      <c r="G78" s="962"/>
      <c r="H78" s="962"/>
      <c r="I78" s="962"/>
      <c r="J78" s="962"/>
      <c r="K78" s="962"/>
      <c r="L78" s="962"/>
      <c r="M78" s="962"/>
      <c r="N78" s="962"/>
      <c r="R78" s="207"/>
      <c r="S78" s="199" t="str">
        <f t="shared" si="0"/>
        <v>Обзорная и экстреторная урография</v>
      </c>
      <c r="T78" s="207"/>
      <c r="U78" s="190"/>
    </row>
    <row r="79" spans="3:21" ht="43.5" hidden="1" customHeight="1" x14ac:dyDescent="0.4">
      <c r="C79" s="208"/>
      <c r="D79" s="961" t="s">
        <v>2497</v>
      </c>
      <c r="E79" s="962"/>
      <c r="F79" s="962"/>
      <c r="G79" s="962"/>
      <c r="H79" s="962"/>
      <c r="I79" s="962"/>
      <c r="J79" s="962"/>
      <c r="K79" s="962"/>
      <c r="L79" s="962"/>
      <c r="M79" s="962"/>
      <c r="N79" s="962"/>
      <c r="R79" s="207"/>
      <c r="S79" s="199" t="str">
        <f t="shared" si="0"/>
        <v>Опухолевые маркеры  (ЛДГ, в-ХГЧ, а-ФП).</v>
      </c>
      <c r="T79" s="207"/>
      <c r="U79" s="190"/>
    </row>
    <row r="80" spans="3:21" ht="43.5" hidden="1" customHeight="1" x14ac:dyDescent="0.4">
      <c r="C80" s="208"/>
      <c r="D80" s="961" t="s">
        <v>2496</v>
      </c>
      <c r="E80" s="962"/>
      <c r="F80" s="962"/>
      <c r="G80" s="962"/>
      <c r="H80" s="962"/>
      <c r="I80" s="962"/>
      <c r="J80" s="962"/>
      <c r="K80" s="962"/>
      <c r="L80" s="962"/>
      <c r="M80" s="962"/>
      <c r="N80" s="962"/>
      <c r="R80" s="207"/>
      <c r="S80" s="199" t="str">
        <f t="shared" si="0"/>
        <v>Посев мочи через 1 мес.</v>
      </c>
      <c r="T80" s="207"/>
      <c r="U80" s="190"/>
    </row>
    <row r="81" spans="3:21" ht="43.5" hidden="1" customHeight="1" x14ac:dyDescent="0.4">
      <c r="C81" s="208"/>
      <c r="D81" s="961" t="s">
        <v>2495</v>
      </c>
      <c r="E81" s="962"/>
      <c r="F81" s="962"/>
      <c r="G81" s="962"/>
      <c r="H81" s="962"/>
      <c r="I81" s="962"/>
      <c r="J81" s="962"/>
      <c r="K81" s="962"/>
      <c r="L81" s="962"/>
      <c r="M81" s="962"/>
      <c r="N81" s="962"/>
      <c r="R81" s="207"/>
      <c r="S81" s="199" t="str">
        <f t="shared" si="0"/>
        <v>ПСА крови  в плановом порядке.</v>
      </c>
      <c r="T81" s="207"/>
      <c r="U81" s="190"/>
    </row>
    <row r="82" spans="3:21" ht="43.5" hidden="1" customHeight="1" x14ac:dyDescent="0.4">
      <c r="C82" s="208"/>
      <c r="D82" s="961" t="s">
        <v>2498</v>
      </c>
      <c r="E82" s="962"/>
      <c r="F82" s="962"/>
      <c r="G82" s="962"/>
      <c r="H82" s="962"/>
      <c r="I82" s="962"/>
      <c r="J82" s="962"/>
      <c r="K82" s="962"/>
      <c r="L82" s="962"/>
      <c r="M82" s="962"/>
      <c r="N82" s="962"/>
      <c r="R82" s="207"/>
      <c r="S82" s="199" t="str">
        <f t="shared" si="0"/>
        <v>Спермограмма через 6 мес.</v>
      </c>
      <c r="T82" s="207"/>
      <c r="U82" s="190"/>
    </row>
    <row r="83" spans="3:21" ht="43.5" hidden="1" customHeight="1" x14ac:dyDescent="0.4">
      <c r="D83" s="961" t="s">
        <v>2500</v>
      </c>
      <c r="E83" s="962"/>
      <c r="F83" s="962"/>
      <c r="G83" s="962"/>
      <c r="H83" s="962"/>
      <c r="I83" s="962"/>
      <c r="J83" s="962"/>
      <c r="K83" s="962"/>
      <c r="L83" s="962"/>
      <c r="M83" s="962"/>
      <c r="N83" s="962"/>
      <c r="R83" s="207"/>
      <c r="S83" s="199" t="str">
        <f t="shared" si="0"/>
        <v>УЗИ почек через 10-14 дней.</v>
      </c>
      <c r="T83" s="207"/>
      <c r="U83" s="190"/>
    </row>
    <row r="84" spans="3:21" ht="43.5" hidden="1" customHeight="1" x14ac:dyDescent="0.4">
      <c r="C84" s="208"/>
      <c r="D84" s="961" t="s">
        <v>2499</v>
      </c>
      <c r="E84" s="962"/>
      <c r="F84" s="962"/>
      <c r="G84" s="962"/>
      <c r="H84" s="962"/>
      <c r="I84" s="962"/>
      <c r="J84" s="962"/>
      <c r="K84" s="962"/>
      <c r="L84" s="962"/>
      <c r="M84" s="962"/>
      <c r="N84" s="962"/>
      <c r="R84" s="207"/>
      <c r="S84" s="199" t="str">
        <f t="shared" si="0"/>
        <v>Урофлоуметрия с определением остаточной мочи через 1 мес.</v>
      </c>
      <c r="T84" s="207"/>
      <c r="U84" s="190"/>
    </row>
    <row r="85" spans="3:21" ht="43.5" hidden="1" customHeight="1" x14ac:dyDescent="0.4">
      <c r="C85" s="208"/>
      <c r="D85" s="961" t="s">
        <v>51</v>
      </c>
      <c r="E85" s="962"/>
      <c r="F85" s="962"/>
      <c r="G85" s="962"/>
      <c r="H85" s="962"/>
      <c r="I85" s="962"/>
      <c r="J85" s="962"/>
      <c r="K85" s="962"/>
      <c r="L85" s="962"/>
      <c r="M85" s="962"/>
      <c r="N85" s="962"/>
      <c r="Q85" s="206"/>
      <c r="R85" s="207"/>
      <c r="S85" s="199" t="str">
        <f t="shared" si="0"/>
        <v>Консультация невролога</v>
      </c>
      <c r="T85" s="207"/>
      <c r="U85" s="190"/>
    </row>
    <row r="86" spans="3:21" ht="43.5" hidden="1" customHeight="1" x14ac:dyDescent="0.4">
      <c r="C86" s="208"/>
      <c r="D86" s="961" t="s">
        <v>2472</v>
      </c>
      <c r="E86" s="962"/>
      <c r="F86" s="962"/>
      <c r="G86" s="962"/>
      <c r="H86" s="962"/>
      <c r="I86" s="962"/>
      <c r="J86" s="962"/>
      <c r="K86" s="962"/>
      <c r="L86" s="962"/>
      <c r="M86" s="962"/>
      <c r="N86" s="962"/>
      <c r="R86" s="207"/>
      <c r="S86" s="199" t="str">
        <f t="shared" si="0"/>
        <v>КТ -перфузия простаты.</v>
      </c>
      <c r="T86" s="207"/>
      <c r="U86" s="190"/>
    </row>
    <row r="87" spans="3:21" ht="43.5" hidden="1" customHeight="1" x14ac:dyDescent="0.4">
      <c r="C87" s="208"/>
      <c r="D87" s="961" t="s">
        <v>2470</v>
      </c>
      <c r="E87" s="962"/>
      <c r="F87" s="962"/>
      <c r="G87" s="962"/>
      <c r="H87" s="962"/>
      <c r="I87" s="962"/>
      <c r="J87" s="962"/>
      <c r="K87" s="962"/>
      <c r="L87" s="962"/>
      <c r="M87" s="962"/>
      <c r="N87" s="962"/>
      <c r="R87" s="207"/>
      <c r="S87" s="199" t="str">
        <f t="shared" si="0"/>
        <v>Лефлобакт 500 мг х 1 раза  в день,  5 дней.</v>
      </c>
      <c r="T87" s="207"/>
      <c r="U87" s="190"/>
    </row>
    <row r="88" spans="3:21" ht="43.5" hidden="1" customHeight="1" x14ac:dyDescent="0.4">
      <c r="C88" s="208"/>
      <c r="D88" s="961" t="s">
        <v>434</v>
      </c>
      <c r="E88" s="962"/>
      <c r="F88" s="962"/>
      <c r="G88" s="962"/>
      <c r="H88" s="962"/>
      <c r="I88" s="962"/>
      <c r="J88" s="962"/>
      <c r="K88" s="962"/>
      <c r="L88" s="962"/>
      <c r="M88" s="962"/>
      <c r="N88" s="962"/>
      <c r="R88" s="207"/>
      <c r="S88" s="199" t="str">
        <f t="shared" si="0"/>
        <v>Наблюдение кардиологом по м/ж.</v>
      </c>
      <c r="T88" s="207"/>
      <c r="U88" s="190"/>
    </row>
    <row r="89" spans="3:21" ht="43.5" hidden="1" customHeight="1" x14ac:dyDescent="0.4">
      <c r="C89" s="208"/>
      <c r="D89" s="961" t="s">
        <v>2479</v>
      </c>
      <c r="E89" s="962"/>
      <c r="F89" s="962"/>
      <c r="G89" s="962"/>
      <c r="H89" s="962"/>
      <c r="I89" s="962"/>
      <c r="J89" s="962"/>
      <c r="K89" s="962"/>
      <c r="L89" s="962"/>
      <c r="M89" s="962"/>
      <c r="N89" s="962"/>
      <c r="R89" s="207"/>
      <c r="S89" s="199" t="str">
        <f t="shared" si="0"/>
        <v>Наблюдение онкологом ОД</v>
      </c>
      <c r="T89" s="207"/>
      <c r="U89" s="190"/>
    </row>
    <row r="90" spans="3:21" ht="43.5" hidden="1" customHeight="1" x14ac:dyDescent="0.4">
      <c r="C90" s="208"/>
      <c r="D90" s="961" t="s">
        <v>1878</v>
      </c>
      <c r="E90" s="962"/>
      <c r="F90" s="962"/>
      <c r="G90" s="962"/>
      <c r="H90" s="962"/>
      <c r="I90" s="962"/>
      <c r="J90" s="962"/>
      <c r="K90" s="962"/>
      <c r="L90" s="962"/>
      <c r="M90" s="962"/>
      <c r="N90" s="962"/>
      <c r="R90" s="207"/>
      <c r="S90" s="199" t="str">
        <f t="shared" si="0"/>
        <v>Наблюдение терапевтом по м/ж.</v>
      </c>
      <c r="T90" s="207"/>
      <c r="U90" s="190"/>
    </row>
    <row r="91" spans="3:21" ht="43.5" customHeight="1" x14ac:dyDescent="0.4">
      <c r="C91" s="208"/>
      <c r="D91" s="961" t="s">
        <v>420</v>
      </c>
      <c r="E91" s="962"/>
      <c r="F91" s="962"/>
      <c r="G91" s="962"/>
      <c r="H91" s="962"/>
      <c r="I91" s="962"/>
      <c r="J91" s="962"/>
      <c r="K91" s="962"/>
      <c r="L91" s="962"/>
      <c r="M91" s="962"/>
      <c r="N91" s="962"/>
      <c r="R91" s="207"/>
      <c r="S91" s="199" t="str">
        <f t="shared" si="0"/>
        <v>Наблюдение урологом по м/ж.</v>
      </c>
      <c r="T91" s="207"/>
      <c r="U91" s="190"/>
    </row>
    <row r="92" spans="3:21" ht="43.5" hidden="1" customHeight="1" x14ac:dyDescent="0.4">
      <c r="C92" s="208"/>
      <c r="D92" s="961" t="s">
        <v>2759</v>
      </c>
      <c r="E92" s="962"/>
      <c r="F92" s="962"/>
      <c r="G92" s="962"/>
      <c r="H92" s="962"/>
      <c r="I92" s="962"/>
      <c r="J92" s="962"/>
      <c r="K92" s="962"/>
      <c r="L92" s="962"/>
      <c r="M92" s="962"/>
      <c r="N92" s="962"/>
      <c r="R92" s="207"/>
      <c r="S92" s="199" t="str">
        <f t="shared" si="0"/>
        <v>Консультация  эндокринолога по м/ж. Парат-гормон, УЗИ щитовидной железы (амб).</v>
      </c>
      <c r="T92" s="207"/>
      <c r="U92" s="190"/>
    </row>
    <row r="93" spans="3:21" ht="43.5" hidden="1" customHeight="1" x14ac:dyDescent="0.4">
      <c r="C93" s="208"/>
      <c r="D93" s="961" t="s">
        <v>453</v>
      </c>
      <c r="E93" s="962"/>
      <c r="F93" s="962"/>
      <c r="G93" s="962"/>
      <c r="H93" s="962"/>
      <c r="I93" s="962"/>
      <c r="J93" s="962"/>
      <c r="K93" s="962"/>
      <c r="L93" s="962"/>
      <c r="M93" s="962"/>
      <c r="N93" s="962"/>
      <c r="R93" s="207"/>
      <c r="S93" s="199" t="str">
        <f t="shared" si="0"/>
        <v>Наблюдением нефрологом по м/ж</v>
      </c>
      <c r="T93" s="207"/>
      <c r="U93" s="190"/>
    </row>
    <row r="94" spans="3:21" ht="43.5" hidden="1" customHeight="1" x14ac:dyDescent="0.4">
      <c r="C94" s="208"/>
      <c r="D94" s="961" t="s">
        <v>442</v>
      </c>
      <c r="E94" s="962"/>
      <c r="F94" s="962"/>
      <c r="G94" s="962"/>
      <c r="H94" s="962"/>
      <c r="I94" s="962"/>
      <c r="J94" s="962"/>
      <c r="K94" s="962"/>
      <c r="L94" s="962"/>
      <c r="M94" s="962"/>
      <c r="N94" s="962"/>
      <c r="R94" s="207"/>
      <c r="S94" s="199" t="str">
        <f t="shared" si="0"/>
        <v>Ношение бандажа 1,5 месяца.</v>
      </c>
      <c r="T94" s="207"/>
      <c r="U94" s="190"/>
    </row>
    <row r="95" spans="3:21" ht="43.5" hidden="1" customHeight="1" x14ac:dyDescent="0.4">
      <c r="C95" s="208"/>
      <c r="D95" s="961" t="s">
        <v>2471</v>
      </c>
      <c r="E95" s="966"/>
      <c r="F95" s="966"/>
      <c r="G95" s="966"/>
      <c r="H95" s="966"/>
      <c r="I95" s="966"/>
      <c r="J95" s="966"/>
      <c r="K95" s="966"/>
      <c r="L95" s="966"/>
      <c r="M95" s="966"/>
      <c r="N95" s="966"/>
      <c r="R95" s="207"/>
      <c r="S95" s="199" t="str">
        <f t="shared" si="0"/>
        <v>Ношение суспензория</v>
      </c>
      <c r="T95" s="207"/>
      <c r="U95" s="190"/>
    </row>
    <row r="96" spans="3:21" ht="43.5" hidden="1" customHeight="1" x14ac:dyDescent="0.4">
      <c r="C96" s="208"/>
      <c r="D96" s="961" t="s">
        <v>427</v>
      </c>
      <c r="E96" s="962"/>
      <c r="F96" s="962"/>
      <c r="G96" s="962"/>
      <c r="H96" s="962"/>
      <c r="I96" s="962"/>
      <c r="J96" s="962"/>
      <c r="K96" s="962"/>
      <c r="L96" s="962"/>
      <c r="M96" s="962"/>
      <c r="N96" s="962"/>
      <c r="R96" s="207"/>
      <c r="S96" s="199" t="str">
        <f t="shared" si="0"/>
        <v>Ограничение физических нагрузок 1 мес.</v>
      </c>
      <c r="T96" s="207"/>
      <c r="U96" s="190"/>
    </row>
    <row r="97" spans="3:21" ht="43.5" customHeight="1" x14ac:dyDescent="0.4">
      <c r="C97" s="208"/>
      <c r="D97" s="961" t="s">
        <v>2469</v>
      </c>
      <c r="E97" s="966"/>
      <c r="F97" s="966"/>
      <c r="G97" s="966"/>
      <c r="H97" s="966"/>
      <c r="I97" s="966"/>
      <c r="J97" s="966"/>
      <c r="K97" s="966"/>
      <c r="L97" s="966"/>
      <c r="M97" s="966"/>
      <c r="N97" s="966"/>
      <c r="R97" s="207"/>
      <c r="S97" s="199" t="str">
        <f t="shared" si="0"/>
        <v>Отвар ромашки –14 дней</v>
      </c>
      <c r="T97" s="207"/>
      <c r="U97" s="190"/>
    </row>
    <row r="98" spans="3:21" ht="43.5" hidden="1" customHeight="1" x14ac:dyDescent="0.4">
      <c r="D98" s="961" t="s">
        <v>432</v>
      </c>
      <c r="E98" s="962"/>
      <c r="F98" s="962"/>
      <c r="G98" s="962"/>
      <c r="H98" s="962"/>
      <c r="I98" s="962"/>
      <c r="J98" s="962"/>
      <c r="K98" s="962"/>
      <c r="L98" s="962"/>
      <c r="M98" s="962"/>
      <c r="N98" s="962"/>
      <c r="R98" s="207"/>
      <c r="S98" s="199" t="str">
        <f t="shared" si="0"/>
        <v>Питьевой режим 1,5-2 литра/сутки.</v>
      </c>
      <c r="T98" s="207"/>
      <c r="U98" s="190"/>
    </row>
    <row r="99" spans="3:21" ht="43.5" hidden="1" customHeight="1" x14ac:dyDescent="0.4">
      <c r="D99" s="961" t="s">
        <v>147</v>
      </c>
      <c r="E99" s="962"/>
      <c r="F99" s="962"/>
      <c r="G99" s="962"/>
      <c r="H99" s="962"/>
      <c r="I99" s="962"/>
      <c r="J99" s="962"/>
      <c r="K99" s="962"/>
      <c r="L99" s="962"/>
      <c r="M99" s="962"/>
      <c r="N99" s="962"/>
      <c r="R99" s="207"/>
      <c r="S99" s="199" t="str">
        <f t="shared" si="0"/>
        <v>Питьевой режим не менее 2,5л/сутки.</v>
      </c>
      <c r="T99" s="207"/>
      <c r="U99" s="190"/>
    </row>
    <row r="100" spans="3:21" ht="43.5" hidden="1" customHeight="1" x14ac:dyDescent="0.4">
      <c r="C100" s="209"/>
      <c r="D100" s="961" t="s">
        <v>2480</v>
      </c>
      <c r="E100" s="962"/>
      <c r="F100" s="962"/>
      <c r="G100" s="962"/>
      <c r="H100" s="962"/>
      <c r="I100" s="962"/>
      <c r="J100" s="962"/>
      <c r="K100" s="962"/>
      <c r="L100" s="962"/>
      <c r="M100" s="962"/>
      <c r="N100" s="962"/>
      <c r="R100" s="207"/>
      <c r="S100" s="199" t="str">
        <f t="shared" si="0"/>
        <v>Повторная госпитализация через 10-14 дней для дальнейшего лечения.</v>
      </c>
      <c r="T100" s="207"/>
      <c r="U100" s="190"/>
    </row>
    <row r="101" spans="3:21" ht="43.5" customHeight="1" x14ac:dyDescent="0.4">
      <c r="C101" s="208"/>
      <c r="D101" s="961" t="s">
        <v>2726</v>
      </c>
      <c r="E101" s="962"/>
      <c r="F101" s="962"/>
      <c r="G101" s="962"/>
      <c r="H101" s="962"/>
      <c r="I101" s="962"/>
      <c r="J101" s="962"/>
      <c r="K101" s="962"/>
      <c r="L101" s="962"/>
      <c r="M101" s="962"/>
      <c r="N101" s="962"/>
      <c r="R101" s="207"/>
      <c r="S101" s="199" t="str">
        <f t="shared" si="0"/>
        <v>Посев мочи на флору и чувствительность к антибиотикам через 2 недели после окончания антибактериальной терапии.</v>
      </c>
      <c r="T101" s="207"/>
      <c r="U101" s="190"/>
    </row>
    <row r="102" spans="3:21" ht="43.5" hidden="1" customHeight="1" x14ac:dyDescent="0.4">
      <c r="C102" s="208"/>
      <c r="D102" s="961" t="s">
        <v>466</v>
      </c>
      <c r="E102" s="962"/>
      <c r="F102" s="962"/>
      <c r="G102" s="962"/>
      <c r="H102" s="962"/>
      <c r="I102" s="962"/>
      <c r="J102" s="962"/>
      <c r="K102" s="962"/>
      <c r="L102" s="962"/>
      <c r="M102" s="962"/>
      <c r="N102" s="962"/>
      <c r="R102" s="207"/>
      <c r="S102" s="199" t="str">
        <f t="shared" si="0"/>
        <v xml:space="preserve">При ухудшении состояния – госпитализация по «03» </v>
      </c>
      <c r="T102" s="207"/>
      <c r="U102" s="190"/>
    </row>
    <row r="103" spans="3:21" ht="43.5" hidden="1" customHeight="1" x14ac:dyDescent="0.4">
      <c r="C103" s="208"/>
      <c r="D103" s="961" t="s">
        <v>2467</v>
      </c>
      <c r="E103" s="962"/>
      <c r="F103" s="962"/>
      <c r="G103" s="962"/>
      <c r="H103" s="962"/>
      <c r="I103" s="962"/>
      <c r="J103" s="962"/>
      <c r="K103" s="962"/>
      <c r="L103" s="962"/>
      <c r="M103" s="962"/>
      <c r="N103" s="962"/>
      <c r="R103" s="207"/>
      <c r="S103" s="199" t="str">
        <f t="shared" si="0"/>
        <v>Прием блемарена по схеме.</v>
      </c>
      <c r="T103" s="207"/>
      <c r="U103" s="190"/>
    </row>
    <row r="104" spans="3:21" ht="43.5" hidden="1" customHeight="1" x14ac:dyDescent="0.4">
      <c r="C104" s="208"/>
      <c r="D104" s="961" t="s">
        <v>2483</v>
      </c>
      <c r="E104" s="962"/>
      <c r="F104" s="962"/>
      <c r="G104" s="962"/>
      <c r="H104" s="962"/>
      <c r="I104" s="962"/>
      <c r="J104" s="962"/>
      <c r="K104" s="962"/>
      <c r="L104" s="962"/>
      <c r="M104" s="962"/>
      <c r="N104" s="962"/>
      <c r="R104" s="207"/>
      <c r="S104" s="199" t="str">
        <f t="shared" si="0"/>
        <v>Прием ингибиторов ФДЭ-5  по 1 капс х 1 раз в день.</v>
      </c>
      <c r="T104" s="207"/>
      <c r="U104" s="190"/>
    </row>
    <row r="105" spans="3:21" ht="43.5" hidden="1" customHeight="1" x14ac:dyDescent="0.4">
      <c r="D105" s="961" t="s">
        <v>458</v>
      </c>
      <c r="E105" s="962"/>
      <c r="F105" s="962"/>
      <c r="G105" s="962"/>
      <c r="H105" s="962"/>
      <c r="I105" s="962"/>
      <c r="J105" s="962"/>
      <c r="K105" s="962"/>
      <c r="L105" s="962"/>
      <c r="M105" s="962"/>
      <c r="N105" s="962"/>
      <c r="R105" s="207"/>
      <c r="S105" s="199" t="str">
        <f t="shared" si="0"/>
        <v>Проведение курса внутрипузырной химиотерапии Митомицином С 1р/нед. в течение 6 недель онкологом по м/ж.</v>
      </c>
      <c r="T105" s="207"/>
      <c r="U105" s="190"/>
    </row>
    <row r="106" spans="3:21" ht="43.5" hidden="1" customHeight="1" x14ac:dyDescent="0.4">
      <c r="D106" s="961" t="s">
        <v>2502</v>
      </c>
      <c r="E106" s="962"/>
      <c r="F106" s="962"/>
      <c r="G106" s="962"/>
      <c r="H106" s="962"/>
      <c r="I106" s="962"/>
      <c r="J106" s="962"/>
      <c r="K106" s="962"/>
      <c r="L106" s="962"/>
      <c r="M106" s="962"/>
      <c r="N106" s="962"/>
      <c r="R106" s="207"/>
      <c r="S106" s="199" t="str">
        <f t="shared" si="0"/>
        <v>Проведение курса внутрипузырной БЦЖ иммунотерапии онкологом по м/ж</v>
      </c>
      <c r="T106" s="207"/>
      <c r="U106" s="190"/>
    </row>
    <row r="107" spans="3:21" ht="43.5" hidden="1" customHeight="1" x14ac:dyDescent="0.4">
      <c r="D107" s="961" t="s">
        <v>433</v>
      </c>
      <c r="E107" s="962"/>
      <c r="F107" s="962"/>
      <c r="G107" s="962"/>
      <c r="H107" s="962"/>
      <c r="I107" s="962"/>
      <c r="J107" s="962"/>
      <c r="K107" s="962"/>
      <c r="L107" s="962"/>
      <c r="M107" s="962"/>
      <c r="N107" s="962"/>
      <c r="R107" s="207"/>
      <c r="S107" s="199" t="str">
        <f t="shared" si="0"/>
        <v>Режим принудительных учащенных микций каждые 1,5-2 часа.</v>
      </c>
      <c r="T107" s="207"/>
      <c r="U107" s="190"/>
    </row>
    <row r="108" spans="3:21" ht="43.5" hidden="1" customHeight="1" x14ac:dyDescent="0.4">
      <c r="D108" s="961" t="s">
        <v>2673</v>
      </c>
      <c r="E108" s="962"/>
      <c r="F108" s="962"/>
      <c r="G108" s="962"/>
      <c r="H108" s="962"/>
      <c r="I108" s="962"/>
      <c r="J108" s="962"/>
      <c r="K108" s="962"/>
      <c r="L108" s="962"/>
      <c r="M108" s="962"/>
      <c r="N108" s="962"/>
      <c r="R108" s="207"/>
      <c r="S108" s="199" t="str">
        <f t="shared" si="0"/>
        <v>Показано оперативное лечение по программе ВМП (по разделу 1)</v>
      </c>
      <c r="T108" s="207"/>
      <c r="U108" s="190"/>
    </row>
    <row r="109" spans="3:21" ht="43.5" customHeight="1" x14ac:dyDescent="0.4">
      <c r="D109" s="961" t="s">
        <v>2481</v>
      </c>
      <c r="E109" s="962"/>
      <c r="F109" s="962"/>
      <c r="G109" s="962"/>
      <c r="H109" s="962"/>
      <c r="I109" s="962"/>
      <c r="J109" s="962"/>
      <c r="K109" s="962"/>
      <c r="L109" s="962"/>
      <c r="M109" s="962"/>
      <c r="N109" s="962"/>
      <c r="R109" s="207"/>
      <c r="S109" s="199" t="str">
        <f t="shared" si="0"/>
        <v>Свечи Диклофенак, ректально, по 1 х 2 раза в день, 5 дней</v>
      </c>
      <c r="T109" s="207"/>
      <c r="U109" s="190"/>
    </row>
    <row r="110" spans="3:21" ht="43.5" hidden="1" customHeight="1" x14ac:dyDescent="0.4">
      <c r="D110" s="961" t="s">
        <v>2482</v>
      </c>
      <c r="E110" s="962"/>
      <c r="F110" s="962"/>
      <c r="G110" s="962"/>
      <c r="H110" s="962"/>
      <c r="I110" s="962"/>
      <c r="J110" s="962"/>
      <c r="K110" s="962"/>
      <c r="L110" s="962"/>
      <c r="M110" s="962"/>
      <c r="N110" s="962"/>
      <c r="R110" s="207"/>
      <c r="S110" s="199" t="str">
        <f t="shared" si="0"/>
        <v>Снятие швов через  10-12 суток после операции.</v>
      </c>
      <c r="T110" s="207"/>
      <c r="U110" s="190"/>
    </row>
    <row r="111" spans="3:21" ht="43.5" hidden="1" customHeight="1" x14ac:dyDescent="0.4">
      <c r="D111" s="961" t="s">
        <v>444</v>
      </c>
      <c r="E111" s="962"/>
      <c r="F111" s="962"/>
      <c r="G111" s="962"/>
      <c r="H111" s="962"/>
      <c r="I111" s="962"/>
      <c r="J111" s="962"/>
      <c r="K111" s="962"/>
      <c r="L111" s="962"/>
      <c r="M111" s="962"/>
      <c r="N111" s="962"/>
      <c r="R111" s="207"/>
      <c r="S111" s="199" t="str">
        <f t="shared" ref="S111:S133" si="1">D111</f>
        <v>Таб. Везикар 5мг х 1р/сут 1 мес.</v>
      </c>
      <c r="T111" s="207"/>
      <c r="U111" s="190"/>
    </row>
    <row r="112" spans="3:21" ht="43.5" hidden="1" customHeight="1" x14ac:dyDescent="0.4">
      <c r="D112" s="961" t="s">
        <v>454</v>
      </c>
      <c r="E112" s="962"/>
      <c r="F112" s="962"/>
      <c r="G112" s="962"/>
      <c r="H112" s="962"/>
      <c r="I112" s="962"/>
      <c r="J112" s="962"/>
      <c r="K112" s="962"/>
      <c r="L112" s="962"/>
      <c r="M112" s="962"/>
      <c r="N112" s="962"/>
      <c r="R112" s="207"/>
      <c r="S112" s="199" t="str">
        <f t="shared" si="1"/>
        <v>Таб. Канефрон Н 2таб х 3р/с 1мес.</v>
      </c>
      <c r="T112" s="207"/>
      <c r="U112" s="190"/>
    </row>
    <row r="113" spans="4:21" ht="43.5" hidden="1" customHeight="1" x14ac:dyDescent="0.4">
      <c r="D113" s="961" t="s">
        <v>2485</v>
      </c>
      <c r="E113" s="962"/>
      <c r="F113" s="962"/>
      <c r="G113" s="962"/>
      <c r="H113" s="962"/>
      <c r="I113" s="962"/>
      <c r="J113" s="962"/>
      <c r="K113" s="962"/>
      <c r="L113" s="962"/>
      <c r="M113" s="962"/>
      <c r="N113" s="962"/>
      <c r="R113" s="207"/>
      <c r="S113" s="199" t="str">
        <f t="shared" si="1"/>
        <v>Таб. Клацид 500 мг в обед 7 дней.</v>
      </c>
      <c r="T113" s="207"/>
      <c r="U113" s="190"/>
    </row>
    <row r="114" spans="4:21" ht="43.5" hidden="1" customHeight="1" x14ac:dyDescent="0.4">
      <c r="D114" s="961" t="s">
        <v>2484</v>
      </c>
      <c r="E114" s="962"/>
      <c r="F114" s="962"/>
      <c r="G114" s="962"/>
      <c r="H114" s="962"/>
      <c r="I114" s="962"/>
      <c r="J114" s="962"/>
      <c r="K114" s="962"/>
      <c r="L114" s="962"/>
      <c r="M114" s="962"/>
      <c r="N114" s="962"/>
      <c r="R114" s="207"/>
      <c r="S114" s="199" t="str">
        <f t="shared" si="1"/>
        <v>Таб. Левофлоксацин 500 мг х 1р/с  7 дней.</v>
      </c>
      <c r="T114" s="207"/>
      <c r="U114" s="190"/>
    </row>
    <row r="115" spans="4:21" ht="43.5" hidden="1" customHeight="1" x14ac:dyDescent="0.4">
      <c r="D115" s="961" t="s">
        <v>451</v>
      </c>
      <c r="E115" s="962"/>
      <c r="F115" s="962"/>
      <c r="G115" s="962"/>
      <c r="H115" s="962"/>
      <c r="I115" s="962"/>
      <c r="J115" s="962"/>
      <c r="K115" s="962"/>
      <c r="L115" s="962"/>
      <c r="M115" s="962"/>
      <c r="N115" s="962"/>
      <c r="S115" s="192" t="str">
        <f t="shared" si="1"/>
        <v xml:space="preserve">Таб. Мелоксикам (Мовалис) 15мг 1таб/сут. </v>
      </c>
    </row>
    <row r="116" spans="4:21" ht="43.5" hidden="1" customHeight="1" x14ac:dyDescent="0.4">
      <c r="D116" s="961" t="s">
        <v>455</v>
      </c>
      <c r="E116" s="962"/>
      <c r="F116" s="962"/>
      <c r="G116" s="962"/>
      <c r="H116" s="962"/>
      <c r="I116" s="962"/>
      <c r="J116" s="962"/>
      <c r="K116" s="962"/>
      <c r="L116" s="962"/>
      <c r="M116" s="962"/>
      <c r="N116" s="962"/>
      <c r="S116" s="192" t="str">
        <f t="shared" si="1"/>
        <v>Таб. Нифедипин 10мг х 1р/с 10 дней.</v>
      </c>
    </row>
    <row r="117" spans="4:21" ht="43.5" hidden="1" customHeight="1" x14ac:dyDescent="0.4">
      <c r="D117" s="961" t="s">
        <v>2661</v>
      </c>
      <c r="E117" s="962"/>
      <c r="F117" s="962"/>
      <c r="G117" s="962"/>
      <c r="H117" s="962"/>
      <c r="I117" s="962"/>
      <c r="J117" s="962"/>
      <c r="K117" s="962"/>
      <c r="L117" s="962"/>
      <c r="M117" s="962"/>
      <c r="N117" s="962"/>
      <c r="R117" s="207"/>
      <c r="S117" s="199" t="str">
        <f t="shared" si="1"/>
        <v>Таб. Амоксиклав 625 мг х 3р/с 5-7 дней.</v>
      </c>
      <c r="T117" s="207"/>
      <c r="U117" s="190"/>
    </row>
    <row r="118" spans="4:21" ht="43.5" hidden="1" customHeight="1" x14ac:dyDescent="0.4">
      <c r="D118" s="961" t="s">
        <v>446</v>
      </c>
      <c r="E118" s="962"/>
      <c r="F118" s="962"/>
      <c r="G118" s="962"/>
      <c r="H118" s="962"/>
      <c r="I118" s="962"/>
      <c r="J118" s="962"/>
      <c r="K118" s="962"/>
      <c r="L118" s="962"/>
      <c r="M118" s="962"/>
      <c r="N118" s="962"/>
      <c r="R118" s="207"/>
      <c r="S118" s="199" t="str">
        <f t="shared" si="1"/>
        <v>Таб. Омез 20мг х 2р/с 20 дней.</v>
      </c>
      <c r="T118" s="207"/>
      <c r="U118" s="190"/>
    </row>
    <row r="119" spans="4:21" ht="43.5" hidden="1" customHeight="1" x14ac:dyDescent="0.4">
      <c r="D119" s="961" t="s">
        <v>2147</v>
      </c>
      <c r="E119" s="962"/>
      <c r="F119" s="962"/>
      <c r="G119" s="962"/>
      <c r="H119" s="962"/>
      <c r="I119" s="962"/>
      <c r="J119" s="962"/>
      <c r="K119" s="962"/>
      <c r="L119" s="962"/>
      <c r="M119" s="962"/>
      <c r="N119" s="962"/>
      <c r="R119" s="207"/>
      <c r="S119" s="199" t="str">
        <f t="shared" si="1"/>
        <v>Таб. Преднизолон 5мг х 1р/с 10 дней.</v>
      </c>
      <c r="T119" s="207"/>
      <c r="U119" s="190"/>
    </row>
    <row r="120" spans="4:21" ht="43.5" hidden="1" customHeight="1" x14ac:dyDescent="0.4">
      <c r="D120" s="961" t="s">
        <v>449</v>
      </c>
      <c r="E120" s="962"/>
      <c r="F120" s="962"/>
      <c r="G120" s="962"/>
      <c r="H120" s="962"/>
      <c r="I120" s="962"/>
      <c r="J120" s="962"/>
      <c r="K120" s="962"/>
      <c r="L120" s="962"/>
      <c r="M120" s="962"/>
      <c r="N120" s="962"/>
      <c r="R120" s="207"/>
      <c r="S120" s="199" t="str">
        <f t="shared" si="1"/>
        <v>Таб. Проскар 5 мг х 1 р/сутки 6-12 месяцев.</v>
      </c>
      <c r="T120" s="207"/>
      <c r="U120" s="190"/>
    </row>
    <row r="121" spans="4:21" ht="43.5" hidden="1" customHeight="1" x14ac:dyDescent="0.4">
      <c r="D121" s="961" t="s">
        <v>445</v>
      </c>
      <c r="E121" s="962"/>
      <c r="F121" s="962"/>
      <c r="G121" s="962"/>
      <c r="H121" s="962"/>
      <c r="I121" s="962"/>
      <c r="J121" s="962"/>
      <c r="K121" s="962"/>
      <c r="L121" s="962"/>
      <c r="M121" s="962"/>
      <c r="N121" s="962"/>
      <c r="Q121" s="206"/>
      <c r="R121" s="207"/>
      <c r="S121" s="199" t="str">
        <f>D121</f>
        <v>Таб. Сорбифер дурулес 1т х 2р/с 1 мес.</v>
      </c>
      <c r="T121" s="207"/>
      <c r="U121" s="190"/>
    </row>
    <row r="122" spans="4:21" ht="43.5" hidden="1" customHeight="1" x14ac:dyDescent="0.4">
      <c r="D122" s="961" t="s">
        <v>430</v>
      </c>
      <c r="E122" s="962"/>
      <c r="F122" s="962"/>
      <c r="G122" s="962"/>
      <c r="H122" s="962"/>
      <c r="I122" s="962"/>
      <c r="J122" s="962"/>
      <c r="K122" s="962"/>
      <c r="L122" s="962"/>
      <c r="M122" s="962"/>
      <c r="N122" s="962"/>
      <c r="R122" s="207"/>
      <c r="S122" s="199" t="str">
        <f t="shared" si="1"/>
        <v>Таб. Флюконазол 100 мг/сутки 5 дней.</v>
      </c>
      <c r="T122" s="207"/>
      <c r="U122" s="190"/>
    </row>
    <row r="123" spans="4:21" ht="43.5" hidden="1" customHeight="1" x14ac:dyDescent="0.4">
      <c r="D123" s="961" t="s">
        <v>428</v>
      </c>
      <c r="E123" s="962"/>
      <c r="F123" s="962"/>
      <c r="G123" s="962"/>
      <c r="H123" s="962"/>
      <c r="I123" s="962"/>
      <c r="J123" s="962"/>
      <c r="K123" s="962"/>
      <c r="L123" s="962"/>
      <c r="M123" s="962"/>
      <c r="N123" s="962"/>
      <c r="R123" s="207"/>
      <c r="S123" s="199" t="str">
        <f t="shared" si="1"/>
        <v xml:space="preserve">Таб. Фурагин 50мг х 3р/с 10 дней. </v>
      </c>
      <c r="T123" s="207"/>
      <c r="U123" s="190"/>
    </row>
    <row r="124" spans="4:21" ht="43.5" hidden="1" customHeight="1" x14ac:dyDescent="0.4">
      <c r="D124" s="961" t="s">
        <v>2574</v>
      </c>
      <c r="E124" s="962"/>
      <c r="F124" s="962"/>
      <c r="G124" s="962"/>
      <c r="H124" s="962"/>
      <c r="I124" s="962"/>
      <c r="J124" s="962"/>
      <c r="K124" s="962"/>
      <c r="L124" s="962"/>
      <c r="M124" s="962"/>
      <c r="N124" s="962"/>
      <c r="R124" s="207"/>
      <c r="S124" s="192" t="str">
        <f>D124</f>
        <v>Таб. Цефиксим (Супракс-солютаб) 400 мг 1 раз в день после еды 5 дней.</v>
      </c>
      <c r="T124" s="207"/>
      <c r="U124" s="190"/>
    </row>
    <row r="125" spans="4:21" ht="43.5" hidden="1" customHeight="1" x14ac:dyDescent="0.4">
      <c r="D125" s="961" t="s">
        <v>2658</v>
      </c>
      <c r="E125" s="962"/>
      <c r="F125" s="962"/>
      <c r="G125" s="962"/>
      <c r="H125" s="962"/>
      <c r="I125" s="962"/>
      <c r="J125" s="962"/>
      <c r="K125" s="962"/>
      <c r="L125" s="962"/>
      <c r="M125" s="962"/>
      <c r="N125" s="962"/>
      <c r="R125" s="207"/>
      <c r="S125" s="199" t="str">
        <f t="shared" si="1"/>
        <v>Таб. Аугментин 625мг х 3р/с 5-7 дней.</v>
      </c>
      <c r="T125" s="207"/>
      <c r="U125" s="190"/>
    </row>
    <row r="126" spans="4:21" ht="43.5" hidden="1" customHeight="1" x14ac:dyDescent="0.4">
      <c r="D126" s="961" t="s">
        <v>456</v>
      </c>
      <c r="E126" s="962"/>
      <c r="F126" s="962"/>
      <c r="G126" s="962"/>
      <c r="H126" s="962"/>
      <c r="I126" s="962"/>
      <c r="J126" s="962"/>
      <c r="K126" s="962"/>
      <c r="L126" s="962"/>
      <c r="M126" s="962"/>
      <c r="N126" s="962"/>
      <c r="R126" s="207"/>
      <c r="S126" s="521" t="str">
        <f t="shared" si="1"/>
        <v>Таб. Цистон 2т х 3р/д 1 мес.</v>
      </c>
      <c r="T126" s="207"/>
      <c r="U126" s="190"/>
    </row>
    <row r="127" spans="4:21" ht="43.5" hidden="1" customHeight="1" x14ac:dyDescent="0.4">
      <c r="D127" s="961" t="s">
        <v>2473</v>
      </c>
      <c r="E127" s="962"/>
      <c r="F127" s="962"/>
      <c r="G127" s="962"/>
      <c r="H127" s="962"/>
      <c r="I127" s="962"/>
      <c r="J127" s="962"/>
      <c r="K127" s="962"/>
      <c r="L127" s="962"/>
      <c r="M127" s="962"/>
      <c r="N127" s="962"/>
      <c r="R127" s="207"/>
      <c r="S127" s="521" t="str">
        <f t="shared" si="1"/>
        <v>Удалить катетер через 7-10 дней</v>
      </c>
      <c r="T127" s="207"/>
      <c r="U127" s="190"/>
    </row>
    <row r="128" spans="4:21" ht="43.5" hidden="1" customHeight="1" x14ac:dyDescent="0.4">
      <c r="D128" s="961" t="s">
        <v>2468</v>
      </c>
      <c r="E128" s="966"/>
      <c r="F128" s="966"/>
      <c r="G128" s="966"/>
      <c r="H128" s="966"/>
      <c r="I128" s="966"/>
      <c r="J128" s="966"/>
      <c r="K128" s="966"/>
      <c r="L128" s="966"/>
      <c r="M128" s="966"/>
      <c r="N128" s="966"/>
      <c r="R128" s="207"/>
      <c r="S128" s="581" t="str">
        <f t="shared" si="1"/>
        <v>Уролесан 15 капель х 3 раза в день, курс- 30 дней</v>
      </c>
      <c r="T128" s="207"/>
      <c r="U128" s="190"/>
    </row>
    <row r="129" spans="4:21" ht="43.5" hidden="1" customHeight="1" x14ac:dyDescent="0.4">
      <c r="D129" s="961" t="s">
        <v>2464</v>
      </c>
      <c r="E129" s="962"/>
      <c r="F129" s="962"/>
      <c r="G129" s="962"/>
      <c r="H129" s="962"/>
      <c r="I129" s="962"/>
      <c r="J129" s="962"/>
      <c r="K129" s="962"/>
      <c r="L129" s="962"/>
      <c r="M129" s="962"/>
      <c r="N129" s="962"/>
      <c r="R129" s="207"/>
      <c r="S129" s="554" t="str">
        <f t="shared" si="1"/>
        <v>Цефикс, капсулы по 400 мг х 1раз в день, курс- 5дней.</v>
      </c>
      <c r="T129" s="207"/>
      <c r="U129" s="190"/>
    </row>
    <row r="130" spans="4:21" ht="54" customHeight="1" x14ac:dyDescent="0.4">
      <c r="D130" s="961"/>
      <c r="E130" s="962"/>
      <c r="F130" s="962"/>
      <c r="G130" s="962"/>
      <c r="H130" s="962"/>
      <c r="I130" s="962"/>
      <c r="J130" s="962"/>
      <c r="K130" s="962"/>
      <c r="L130" s="962"/>
      <c r="M130" s="962"/>
      <c r="N130" s="962"/>
      <c r="R130" s="207"/>
      <c r="S130" s="554">
        <f t="shared" si="1"/>
        <v>0</v>
      </c>
      <c r="T130" s="207"/>
      <c r="U130" s="190"/>
    </row>
    <row r="131" spans="4:21" ht="65.25" hidden="1" customHeight="1" x14ac:dyDescent="0.4">
      <c r="D131" s="961" t="s">
        <v>2573</v>
      </c>
      <c r="E131" s="962"/>
      <c r="F131" s="962"/>
      <c r="G131" s="962"/>
      <c r="H131" s="962"/>
      <c r="I131" s="962"/>
      <c r="J131" s="962"/>
      <c r="K131" s="962"/>
      <c r="L131" s="962"/>
      <c r="M131" s="962"/>
      <c r="N131" s="962"/>
      <c r="R131" s="207"/>
      <c r="S131" s="555" t="str">
        <f t="shared" si="1"/>
        <v xml:space="preserve">Лефлобакт 500 мг по 1т х 1 раз в день курс 5 дней, затем фурамаг  по 1 кап х 3 раза в  день, курс 10 дней.
</v>
      </c>
      <c r="T131" s="207"/>
      <c r="U131" s="190"/>
    </row>
    <row r="132" spans="4:21" ht="25.5" customHeight="1" x14ac:dyDescent="0.4">
      <c r="D132" s="961"/>
      <c r="E132" s="1012"/>
      <c r="F132" s="1012"/>
      <c r="G132" s="1012"/>
      <c r="H132" s="1012"/>
      <c r="I132" s="1012"/>
      <c r="J132" s="1012"/>
      <c r="K132" s="1012"/>
      <c r="L132" s="1012"/>
      <c r="M132" s="1012"/>
      <c r="N132" s="1012"/>
      <c r="R132" s="207"/>
      <c r="S132" s="723">
        <f t="shared" si="1"/>
        <v>0</v>
      </c>
      <c r="T132" s="207"/>
      <c r="U132" s="190"/>
    </row>
    <row r="133" spans="4:21" x14ac:dyDescent="0.4">
      <c r="D133" s="961"/>
      <c r="E133" s="966"/>
      <c r="F133" s="966"/>
      <c r="G133" s="966"/>
      <c r="H133" s="966"/>
      <c r="I133" s="966"/>
      <c r="J133" s="966"/>
      <c r="K133" s="966"/>
      <c r="L133" s="966"/>
      <c r="M133" s="966"/>
      <c r="N133" s="966"/>
      <c r="O133" s="553"/>
      <c r="S133" s="554">
        <f t="shared" si="1"/>
        <v>0</v>
      </c>
      <c r="U133" s="192">
        <f>D133</f>
        <v>0</v>
      </c>
    </row>
    <row r="134" spans="4:21" x14ac:dyDescent="0.4">
      <c r="I134" s="196" t="s">
        <v>148</v>
      </c>
      <c r="L134" s="190" t="str">
        <f>Лечащий_врач</f>
        <v>Еременко А. Н.</v>
      </c>
    </row>
    <row r="135" spans="4:21" x14ac:dyDescent="0.4">
      <c r="I135" s="196" t="str">
        <f>IF(И.О.ЗАВ.ОТД.=1,"И.о. зав. отделением", "Зав.отделением")</f>
        <v>Зав.отделением</v>
      </c>
      <c r="L135" s="190" t="str">
        <f>Зав.отд.</f>
        <v>Еременко С. Н.</v>
      </c>
    </row>
  </sheetData>
  <sheetProtection formatCells="0" formatRows="0" autoFilter="0"/>
  <autoFilter ref="D63:N135">
    <filterColumn colId="0" showButton="0">
      <filters blank="1">
        <filter val="Наблюдение урологом по м/ж."/>
        <filter val="Отвар ромашки –14 дней"/>
        <filter val="Посев мочи на флору и чувствительность к антибиотикам через 2 недели после окончания антибактериальной терапии."/>
        <filter val="Свечи Диклофенак, ректально, по 1 х 2 раза в день, 5 дней"/>
      </filters>
    </filterColumn>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autoFilter>
  <mergeCells count="150">
    <mergeCell ref="D132:N132"/>
    <mergeCell ref="D130:N130"/>
    <mergeCell ref="D133:N133"/>
    <mergeCell ref="F47:G47"/>
    <mergeCell ref="F44:G44"/>
    <mergeCell ref="B50:D50"/>
    <mergeCell ref="A58:O58"/>
    <mergeCell ref="D129:N129"/>
    <mergeCell ref="B47:C47"/>
    <mergeCell ref="L46:M46"/>
    <mergeCell ref="D126:N126"/>
    <mergeCell ref="D127:N127"/>
    <mergeCell ref="D44:E44"/>
    <mergeCell ref="D47:E47"/>
    <mergeCell ref="H51:K51"/>
    <mergeCell ref="F56:G56"/>
    <mergeCell ref="M49:O49"/>
    <mergeCell ref="L47:M47"/>
    <mergeCell ref="D111:N111"/>
    <mergeCell ref="D117:N117"/>
    <mergeCell ref="D125:N125"/>
    <mergeCell ref="D121:N121"/>
    <mergeCell ref="D122:N122"/>
    <mergeCell ref="D123:N123"/>
    <mergeCell ref="N44:O44"/>
    <mergeCell ref="A56:E56"/>
    <mergeCell ref="D96:N96"/>
    <mergeCell ref="D97:N97"/>
    <mergeCell ref="D98:N98"/>
    <mergeCell ref="D99:N99"/>
    <mergeCell ref="F43:G43"/>
    <mergeCell ref="D84:N84"/>
    <mergeCell ref="D85:N85"/>
    <mergeCell ref="D86:N86"/>
    <mergeCell ref="A51:C51"/>
    <mergeCell ref="D112:N112"/>
    <mergeCell ref="D108:N108"/>
    <mergeCell ref="D110:N110"/>
    <mergeCell ref="D109:N109"/>
    <mergeCell ref="D104:N104"/>
    <mergeCell ref="K49:L49"/>
    <mergeCell ref="D106:N106"/>
    <mergeCell ref="D107:N107"/>
    <mergeCell ref="H46:I46"/>
    <mergeCell ref="A52:G52"/>
    <mergeCell ref="H52:J52"/>
    <mergeCell ref="B55:O55"/>
    <mergeCell ref="N46:O46"/>
    <mergeCell ref="N47:O47"/>
    <mergeCell ref="B46:C46"/>
    <mergeCell ref="J46:K46"/>
    <mergeCell ref="J47:K47"/>
    <mergeCell ref="F46:G46"/>
    <mergeCell ref="G49:H49"/>
    <mergeCell ref="H47:I47"/>
    <mergeCell ref="A39:J39"/>
    <mergeCell ref="I49:J49"/>
    <mergeCell ref="N43:O43"/>
    <mergeCell ref="D46:E46"/>
    <mergeCell ref="D124:N124"/>
    <mergeCell ref="D118:N118"/>
    <mergeCell ref="D119:N119"/>
    <mergeCell ref="D120:N120"/>
    <mergeCell ref="D113:N113"/>
    <mergeCell ref="D114:N114"/>
    <mergeCell ref="D115:N115"/>
    <mergeCell ref="D116:N116"/>
    <mergeCell ref="D92:N92"/>
    <mergeCell ref="D100:N100"/>
    <mergeCell ref="D105:N105"/>
    <mergeCell ref="D93:N93"/>
    <mergeCell ref="D94:N94"/>
    <mergeCell ref="D95:N95"/>
    <mergeCell ref="D101:N101"/>
    <mergeCell ref="D102:N102"/>
    <mergeCell ref="D103:N103"/>
    <mergeCell ref="B43:C43"/>
    <mergeCell ref="B44:C44"/>
    <mergeCell ref="D43:E43"/>
    <mergeCell ref="A12:O12"/>
    <mergeCell ref="I8:L8"/>
    <mergeCell ref="D9:O9"/>
    <mergeCell ref="A37:O37"/>
    <mergeCell ref="A31:O31"/>
    <mergeCell ref="A25:O25"/>
    <mergeCell ref="D8:E8"/>
    <mergeCell ref="A14:O14"/>
    <mergeCell ref="H10:I10"/>
    <mergeCell ref="K10:M10"/>
    <mergeCell ref="C17:O17"/>
    <mergeCell ref="A16:O16"/>
    <mergeCell ref="A19:O19"/>
    <mergeCell ref="A34:B34"/>
    <mergeCell ref="A35:B35"/>
    <mergeCell ref="D20:O20"/>
    <mergeCell ref="D32:J32"/>
    <mergeCell ref="A30:O30"/>
    <mergeCell ref="F23:O23"/>
    <mergeCell ref="A29:O29"/>
    <mergeCell ref="A27:O27"/>
    <mergeCell ref="A21:O21"/>
    <mergeCell ref="D22:O22"/>
    <mergeCell ref="D131:N131"/>
    <mergeCell ref="D65:N65"/>
    <mergeCell ref="D66:N66"/>
    <mergeCell ref="H56:I56"/>
    <mergeCell ref="J56:O56"/>
    <mergeCell ref="D71:N71"/>
    <mergeCell ref="D72:N72"/>
    <mergeCell ref="M50:O50"/>
    <mergeCell ref="E51:F51"/>
    <mergeCell ref="D68:N68"/>
    <mergeCell ref="D54:O54"/>
    <mergeCell ref="I50:J50"/>
    <mergeCell ref="D78:N78"/>
    <mergeCell ref="D79:N79"/>
    <mergeCell ref="D80:N80"/>
    <mergeCell ref="D81:N81"/>
    <mergeCell ref="D82:N82"/>
    <mergeCell ref="F62:O62"/>
    <mergeCell ref="D87:N87"/>
    <mergeCell ref="D88:N88"/>
    <mergeCell ref="D83:N83"/>
    <mergeCell ref="D89:N89"/>
    <mergeCell ref="D90:N90"/>
    <mergeCell ref="D91:N91"/>
    <mergeCell ref="A38:O38"/>
    <mergeCell ref="D69:N69"/>
    <mergeCell ref="D70:N70"/>
    <mergeCell ref="A57:B57"/>
    <mergeCell ref="D73:N73"/>
    <mergeCell ref="D74:N74"/>
    <mergeCell ref="C34:O35"/>
    <mergeCell ref="D128:N128"/>
    <mergeCell ref="D64:N64"/>
    <mergeCell ref="K50:L50"/>
    <mergeCell ref="E49:F49"/>
    <mergeCell ref="E50:F50"/>
    <mergeCell ref="A40:O40"/>
    <mergeCell ref="D63:N63"/>
    <mergeCell ref="C57:O57"/>
    <mergeCell ref="G50:H50"/>
    <mergeCell ref="B49:D49"/>
    <mergeCell ref="G42:H42"/>
    <mergeCell ref="G45:H45"/>
    <mergeCell ref="G48:H48"/>
    <mergeCell ref="D75:N75"/>
    <mergeCell ref="D76:N76"/>
    <mergeCell ref="D77:N77"/>
    <mergeCell ref="D67:N67"/>
  </mergeCells>
  <pageMargins left="0.73046875" right="0.34090909090909088" top="0.15625" bottom="0.16666666666666666" header="0.3" footer="0.3"/>
  <pageSetup paperSize="9" scale="55"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tabColor theme="3" tint="0.79998168889431442"/>
  </sheetPr>
  <dimension ref="A1:U42"/>
  <sheetViews>
    <sheetView view="pageLayout" topLeftCell="A28" zoomScale="59" zoomScaleNormal="100" zoomScaleSheetLayoutView="55" zoomScalePageLayoutView="59" workbookViewId="0">
      <selection activeCell="J45" sqref="J45"/>
    </sheetView>
  </sheetViews>
  <sheetFormatPr defaultRowHeight="26.25" x14ac:dyDescent="0.4"/>
  <cols>
    <col min="1" max="1" width="10.5703125" style="190" customWidth="1"/>
    <col min="2" max="3" width="10.28515625" style="190" customWidth="1"/>
    <col min="4" max="4" width="10.5703125" style="190" bestFit="1" customWidth="1"/>
    <col min="5" max="5" width="12.42578125" style="190" customWidth="1"/>
    <col min="6" max="6" width="15.5703125" style="190" customWidth="1"/>
    <col min="7" max="7" width="12" style="190" bestFit="1" customWidth="1"/>
    <col min="8" max="8" width="12.5703125" style="190" customWidth="1"/>
    <col min="9" max="9" width="10.5703125" style="190" customWidth="1"/>
    <col min="10" max="10" width="14.42578125" style="190" bestFit="1" customWidth="1"/>
    <col min="11" max="11" width="10.5703125" style="190" bestFit="1" customWidth="1"/>
    <col min="12" max="16" width="9.140625" style="190"/>
    <col min="17" max="17" width="169.85546875" style="191" hidden="1" customWidth="1"/>
    <col min="18" max="18" width="122.5703125" style="192" hidden="1" customWidth="1"/>
    <col min="19" max="19" width="127.5703125" style="192" hidden="1" customWidth="1"/>
    <col min="20" max="20" width="138.140625" style="192" hidden="1" customWidth="1"/>
    <col min="21" max="21" width="127.140625" style="192" hidden="1" customWidth="1"/>
    <col min="22" max="16384" width="9.140625" style="190"/>
  </cols>
  <sheetData>
    <row r="1" spans="1:21" s="164" customFormat="1" x14ac:dyDescent="0.3">
      <c r="O1" s="210"/>
      <c r="Q1" s="191"/>
      <c r="R1" s="192"/>
      <c r="S1" s="192"/>
      <c r="T1" s="192"/>
      <c r="U1" s="341"/>
    </row>
    <row r="2" spans="1:21" s="164" customFormat="1" x14ac:dyDescent="0.3">
      <c r="M2" s="164" t="s">
        <v>2660</v>
      </c>
      <c r="O2" s="715" t="s">
        <v>2423</v>
      </c>
      <c r="Q2" s="191"/>
      <c r="R2" s="192"/>
      <c r="S2" s="192"/>
      <c r="T2" s="192"/>
      <c r="U2" s="341"/>
    </row>
    <row r="3" spans="1:21" s="164" customFormat="1" x14ac:dyDescent="0.3">
      <c r="L3" s="716"/>
      <c r="M3" s="164" t="s">
        <v>2656</v>
      </c>
      <c r="O3" s="210"/>
      <c r="Q3" s="191"/>
      <c r="R3" s="192"/>
      <c r="S3" s="192"/>
      <c r="T3" s="192"/>
      <c r="U3" s="341"/>
    </row>
    <row r="4" spans="1:21" s="164" customFormat="1" x14ac:dyDescent="0.3">
      <c r="O4" s="715" t="s">
        <v>97</v>
      </c>
      <c r="Q4" s="191"/>
      <c r="R4" s="192"/>
      <c r="S4" s="192"/>
      <c r="T4" s="192"/>
      <c r="U4" s="341"/>
    </row>
    <row r="5" spans="1:21" s="164" customFormat="1" x14ac:dyDescent="0.3">
      <c r="A5" s="1036">
        <f ca="1">TODAY()</f>
        <v>42601</v>
      </c>
      <c r="B5" s="1037"/>
      <c r="M5" s="715"/>
      <c r="N5" s="718" t="s">
        <v>98</v>
      </c>
      <c r="O5" s="717">
        <f>№_и_б</f>
        <v>21949</v>
      </c>
      <c r="Q5" s="191"/>
      <c r="R5" s="192"/>
      <c r="S5" s="192"/>
      <c r="T5" s="192"/>
      <c r="U5" s="341"/>
    </row>
    <row r="6" spans="1:21" s="211" customFormat="1" ht="30.75" x14ac:dyDescent="0.45">
      <c r="G6" s="212" t="s">
        <v>2689</v>
      </c>
      <c r="Q6" s="191"/>
      <c r="R6" s="192"/>
      <c r="S6" s="192"/>
      <c r="T6" s="192"/>
      <c r="U6" s="342"/>
    </row>
    <row r="7" spans="1:21" x14ac:dyDescent="0.4">
      <c r="A7" s="193" t="s">
        <v>1438</v>
      </c>
      <c r="C7" s="190" t="str">
        <f>ФИО</f>
        <v>Иванова Е.П.</v>
      </c>
    </row>
    <row r="8" spans="1:21" x14ac:dyDescent="0.4">
      <c r="A8" s="193" t="s">
        <v>2655</v>
      </c>
      <c r="B8" s="714"/>
      <c r="C8" s="194"/>
      <c r="D8" s="999" t="e">
        <f>дата_рождения</f>
        <v>#REF!</v>
      </c>
      <c r="E8" s="991"/>
      <c r="F8" s="195" t="s">
        <v>35</v>
      </c>
      <c r="H8" s="196" t="s">
        <v>22</v>
      </c>
      <c r="I8" s="994">
        <f>Телефон</f>
        <v>0</v>
      </c>
      <c r="J8" s="994"/>
      <c r="K8" s="991"/>
      <c r="L8" s="991"/>
    </row>
    <row r="9" spans="1:21" x14ac:dyDescent="0.4">
      <c r="A9" s="193" t="s">
        <v>1439</v>
      </c>
      <c r="D9" s="995" t="str">
        <f>трудовой_анамнез</f>
        <v>пенсионер, в б\л не нуждается</v>
      </c>
      <c r="E9" s="995"/>
      <c r="F9" s="995"/>
      <c r="G9" s="995"/>
      <c r="H9" s="995"/>
      <c r="I9" s="995"/>
      <c r="J9" s="995"/>
      <c r="K9" s="995"/>
      <c r="L9" s="995"/>
      <c r="M9" s="995"/>
      <c r="N9" s="995"/>
      <c r="O9" s="995"/>
    </row>
    <row r="10" spans="1:21" x14ac:dyDescent="0.4">
      <c r="A10" s="193" t="s">
        <v>2690</v>
      </c>
      <c r="E10" s="196"/>
      <c r="H10" s="1001">
        <f>дата_поступления</f>
        <v>42592</v>
      </c>
      <c r="I10" s="1002"/>
      <c r="J10" s="197"/>
      <c r="K10" s="1001" t="str">
        <f>IF(Дата_выписки=0," ",Дата_выписки)</f>
        <v xml:space="preserve"> </v>
      </c>
      <c r="L10" s="1002"/>
      <c r="M10" s="1002"/>
    </row>
    <row r="11" spans="1:21" x14ac:dyDescent="0.4">
      <c r="A11" s="193" t="s">
        <v>1440</v>
      </c>
    </row>
    <row r="12" spans="1:21" ht="78.75" x14ac:dyDescent="0.4">
      <c r="A12" s="993" t="str">
        <f>Диагноз_при_поступлении</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c r="B12" s="993"/>
      <c r="C12" s="993"/>
      <c r="D12" s="993"/>
      <c r="E12" s="993"/>
      <c r="F12" s="993"/>
      <c r="G12" s="993"/>
      <c r="H12" s="993"/>
      <c r="I12" s="993"/>
      <c r="J12" s="993"/>
      <c r="K12" s="993"/>
      <c r="L12" s="993"/>
      <c r="M12" s="993"/>
      <c r="N12" s="993"/>
      <c r="O12" s="993"/>
      <c r="Q12" s="191" t="str">
        <f>A12</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row>
    <row r="13" spans="1:21" x14ac:dyDescent="0.4">
      <c r="A13" s="735" t="s">
        <v>71</v>
      </c>
      <c r="B13" s="735"/>
      <c r="C13" s="735"/>
      <c r="D13" s="735"/>
      <c r="E13" s="735"/>
      <c r="F13" s="735"/>
      <c r="G13" s="735"/>
      <c r="H13" s="735"/>
    </row>
    <row r="14" spans="1:21" ht="50.25" customHeight="1" x14ac:dyDescent="0.4">
      <c r="A14" s="1000"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14" s="1000"/>
      <c r="C14" s="1000"/>
      <c r="D14" s="1000"/>
      <c r="E14" s="1000"/>
      <c r="F14" s="1000"/>
      <c r="G14" s="1000"/>
      <c r="H14" s="1000"/>
      <c r="I14" s="1000"/>
      <c r="J14" s="1000"/>
      <c r="K14" s="1000"/>
      <c r="L14" s="1000"/>
      <c r="M14" s="1000"/>
      <c r="N14" s="1000"/>
      <c r="O14" s="1000"/>
      <c r="Q14" s="191" t="str">
        <f>A14</f>
        <v>МКБ, рецидив. Резидуальный камень н\чашки справа 20 мм.                                                                                                                                                                                                                                                                                                                                                           Гидронефроз справа 1 ст. Хронический калькулезный пиелонефрит , латентное течение. ХПН 0-1</v>
      </c>
    </row>
    <row r="15" spans="1:21" x14ac:dyDescent="0.4">
      <c r="A15" s="735" t="str">
        <f>IF(Сопутствующий_диагноз=0, " ", "Сопутствующий диагноз:")</f>
        <v>Сопутствующий диагноз:</v>
      </c>
      <c r="B15" s="735"/>
      <c r="C15" s="735"/>
      <c r="D15" s="735"/>
      <c r="E15" s="735"/>
      <c r="F15" s="735"/>
      <c r="G15" s="735"/>
      <c r="H15" s="735"/>
    </row>
    <row r="16" spans="1:21" x14ac:dyDescent="0.4">
      <c r="A16" s="1005" t="str">
        <f>IF(Сопутствующий_диагноз=0, " ", Сопутствующий_диагноз)</f>
        <v xml:space="preserve">ИБС: АКС. САГ 2 ст, 2 ст, риск 3. Ожирение 3-4 ст. П\о вентральная грыжа. </v>
      </c>
      <c r="B16" s="1005"/>
      <c r="C16" s="1005"/>
      <c r="D16" s="1005"/>
      <c r="E16" s="1005"/>
      <c r="F16" s="1005"/>
      <c r="G16" s="1005"/>
      <c r="H16" s="1005"/>
      <c r="I16" s="1005"/>
      <c r="J16" s="1005"/>
      <c r="K16" s="1005"/>
      <c r="L16" s="1005"/>
      <c r="M16" s="1005"/>
      <c r="N16" s="1005"/>
      <c r="O16" s="1005"/>
      <c r="Q16" s="191" t="str">
        <f>A16</f>
        <v xml:space="preserve">ИБС: АКС. САГ 2 ст, 2 ст, риск 3. Ожирение 3-4 ст. П\о вентральная грыжа. </v>
      </c>
    </row>
    <row r="17" spans="1:21" x14ac:dyDescent="0.4">
      <c r="A17" s="735" t="s">
        <v>25</v>
      </c>
      <c r="C17" s="1003" t="str">
        <f>Жалобы</f>
        <v>боли в поясничной области;справа</v>
      </c>
      <c r="D17" s="1004"/>
      <c r="E17" s="1004"/>
      <c r="F17" s="1004"/>
      <c r="G17" s="1004"/>
      <c r="H17" s="1004"/>
      <c r="I17" s="1004"/>
      <c r="J17" s="1004"/>
      <c r="K17" s="1004"/>
      <c r="L17" s="1004"/>
      <c r="M17" s="1004"/>
      <c r="N17" s="1004"/>
      <c r="O17" s="1004"/>
      <c r="T17" s="192" t="str">
        <f>C17</f>
        <v>боли в поясничной области;справа</v>
      </c>
    </row>
    <row r="18" spans="1:21" x14ac:dyDescent="0.4">
      <c r="A18" s="735" t="s">
        <v>26</v>
      </c>
      <c r="B18" s="735"/>
      <c r="C18" s="735"/>
      <c r="D18" s="735"/>
      <c r="E18" s="735"/>
      <c r="F18" s="735"/>
      <c r="G18" s="735"/>
      <c r="H18" s="735"/>
    </row>
    <row r="19" spans="1:21" ht="78.75" x14ac:dyDescent="0.4">
      <c r="A19" s="1006" t="str">
        <f>Anamnesis_morbi</f>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c r="B19" s="1006"/>
      <c r="C19" s="1006"/>
      <c r="D19" s="1006"/>
      <c r="E19" s="1006"/>
      <c r="F19" s="1006"/>
      <c r="G19" s="1006"/>
      <c r="H19" s="1006"/>
      <c r="I19" s="1006"/>
      <c r="J19" s="1006"/>
      <c r="K19" s="1006"/>
      <c r="L19" s="1006"/>
      <c r="M19" s="1006"/>
      <c r="N19" s="1006"/>
      <c r="O19" s="1006"/>
      <c r="Q19" s="191" t="str">
        <f>A19</f>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row>
    <row r="20" spans="1:21" x14ac:dyDescent="0.4">
      <c r="A20" s="735" t="s">
        <v>27</v>
      </c>
      <c r="B20" s="735"/>
      <c r="C20" s="735"/>
      <c r="D20" s="1010"/>
      <c r="E20" s="848"/>
      <c r="F20" s="848"/>
      <c r="G20" s="848"/>
      <c r="H20" s="848"/>
      <c r="I20" s="848"/>
      <c r="J20" s="848"/>
      <c r="K20" s="848"/>
      <c r="L20" s="848"/>
      <c r="M20" s="848"/>
      <c r="N20" s="848"/>
      <c r="O20" s="848"/>
    </row>
    <row r="21" spans="1:21" s="213" customFormat="1" ht="78.75" x14ac:dyDescent="0.25">
      <c r="A21" s="1005" t="str">
        <f>Anamnesis_vitae</f>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c r="B21" s="1005"/>
      <c r="C21" s="1005"/>
      <c r="D21" s="1005"/>
      <c r="E21" s="1005"/>
      <c r="F21" s="1005"/>
      <c r="G21" s="1005"/>
      <c r="H21" s="1005"/>
      <c r="I21" s="1005"/>
      <c r="J21" s="1005"/>
      <c r="K21" s="1005"/>
      <c r="L21" s="1005"/>
      <c r="M21" s="1005"/>
      <c r="N21" s="1005"/>
      <c r="O21" s="1005"/>
      <c r="Q21" s="191" t="str">
        <f>A21</f>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c r="R21" s="192"/>
      <c r="S21" s="192"/>
      <c r="T21" s="192"/>
      <c r="U21" s="192"/>
    </row>
    <row r="22" spans="1:21" x14ac:dyDescent="0.4">
      <c r="A22" s="735" t="s">
        <v>34</v>
      </c>
      <c r="B22" s="735"/>
      <c r="D22" s="1015" t="str">
        <f>Аллергоанамнез</f>
        <v>левомицетин, новокаин</v>
      </c>
      <c r="E22" s="995"/>
      <c r="F22" s="995"/>
      <c r="G22" s="995"/>
      <c r="H22" s="995"/>
      <c r="I22" s="995"/>
      <c r="J22" s="995"/>
      <c r="K22" s="995"/>
      <c r="L22" s="995"/>
      <c r="M22" s="995"/>
      <c r="N22" s="995"/>
      <c r="O22" s="995"/>
    </row>
    <row r="23" spans="1:21" x14ac:dyDescent="0.4">
      <c r="A23" s="735" t="s">
        <v>29</v>
      </c>
      <c r="B23" s="735"/>
      <c r="C23" s="735"/>
      <c r="F23" s="1013" t="str">
        <f>Трансфузии</f>
        <v>не отягощен</v>
      </c>
      <c r="G23" s="995"/>
      <c r="H23" s="995"/>
      <c r="I23" s="995"/>
      <c r="J23" s="995"/>
      <c r="K23" s="995"/>
      <c r="L23" s="995"/>
      <c r="M23" s="995"/>
      <c r="N23" s="995"/>
      <c r="O23" s="995"/>
    </row>
    <row r="24" spans="1:21" x14ac:dyDescent="0.4">
      <c r="A24" s="735" t="s">
        <v>30</v>
      </c>
      <c r="B24" s="735"/>
      <c r="C24" s="735"/>
      <c r="D24" s="735"/>
      <c r="E24" s="735"/>
      <c r="F24" s="735"/>
      <c r="G24" s="735"/>
      <c r="H24" s="735"/>
    </row>
    <row r="25" spans="1:21" ht="210" x14ac:dyDescent="0.4">
      <c r="A25" s="998" t="str">
        <f>Данные!C17</f>
        <v xml:space="preserve">Состояние  удовлетворительное. Температура 36,9 С. Кожные покровы обычной окраски. Л/у доступные пальпации не увеличены. Дыхание в легких везикулярное. ЧД 16 в мин. Тоны сердца приглушены, ритмичные. АД 140/80, ЧСС 78 в мин. Живот не вздут, симметричный, мягкий, участвует в акте дыхания, чувствительный над лоном.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   Мочевой пузырь пальпаторно и перкуторно не определяется. Мочится  самостоятельно.  Уретрита нет.  </v>
      </c>
      <c r="B25" s="998"/>
      <c r="C25" s="998"/>
      <c r="D25" s="998"/>
      <c r="E25" s="998"/>
      <c r="F25" s="998"/>
      <c r="G25" s="998"/>
      <c r="H25" s="998"/>
      <c r="I25" s="998"/>
      <c r="J25" s="998"/>
      <c r="K25" s="998"/>
      <c r="L25" s="998"/>
      <c r="M25" s="998"/>
      <c r="N25" s="998"/>
      <c r="O25" s="998"/>
      <c r="Q25" s="191" t="str">
        <f>A25</f>
        <v xml:space="preserve">Состояние  удовлетворительное. Температура 36,9 С. Кожные покровы обычной окраски. Л/у доступные пальпации не увеличены. Дыхание в легких везикулярное. ЧД 16 в мин. Тоны сердца приглушены, ритмичные. АД 140/80, ЧСС 78 в мин. Живот не вздут, симметричный, мягкий, участвует в акте дыхания, чувствительный над лоном.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   Мочевой пузырь пальпаторно и перкуторно не определяется. Мочится  самостоятельно.  Уретрита нет.  </v>
      </c>
    </row>
    <row r="26" spans="1:21" x14ac:dyDescent="0.4">
      <c r="A26" s="735" t="s">
        <v>2626</v>
      </c>
      <c r="B26" s="735"/>
      <c r="C26" s="735"/>
      <c r="D26" s="735"/>
      <c r="E26" s="735"/>
      <c r="F26" s="735"/>
      <c r="G26" s="735"/>
      <c r="H26" s="735"/>
    </row>
    <row r="27" spans="1:21" ht="41.25" customHeight="1" x14ac:dyDescent="0.4">
      <c r="A27" s="1014">
        <f>Данные!C18</f>
        <v>0</v>
      </c>
      <c r="B27" s="1014"/>
      <c r="C27" s="1014"/>
      <c r="D27" s="1014"/>
      <c r="E27" s="1014"/>
      <c r="F27" s="1014"/>
      <c r="G27" s="1014"/>
      <c r="H27" s="1014"/>
      <c r="I27" s="1014"/>
      <c r="J27" s="1014"/>
      <c r="K27" s="1014"/>
      <c r="L27" s="1014"/>
      <c r="M27" s="1014"/>
      <c r="N27" s="1014"/>
      <c r="O27" s="1014"/>
      <c r="Q27" s="191">
        <f>A27</f>
        <v>0</v>
      </c>
    </row>
    <row r="28" spans="1:21" x14ac:dyDescent="0.4">
      <c r="A28" s="193" t="s">
        <v>88</v>
      </c>
    </row>
    <row r="29" spans="1:21" x14ac:dyDescent="0.4">
      <c r="A29" s="997" t="str">
        <f>IF(данные_проведенного_обследования=0, " ", данные_проведенного_обследования)</f>
        <v xml:space="preserve">НА УЗИ и урограмме ( 11.07.16) -   в н\ чашке - 20 мм каменьУмеренное расширение ЧЛС справа. </v>
      </c>
      <c r="B29" s="997"/>
      <c r="C29" s="997"/>
      <c r="D29" s="997"/>
      <c r="E29" s="997"/>
      <c r="F29" s="997"/>
      <c r="G29" s="997"/>
      <c r="H29" s="997"/>
      <c r="I29" s="997"/>
      <c r="J29" s="997"/>
      <c r="K29" s="997"/>
      <c r="L29" s="997"/>
      <c r="M29" s="997"/>
      <c r="N29" s="997"/>
      <c r="O29" s="997"/>
      <c r="Q29" s="191" t="str">
        <f>A29</f>
        <v xml:space="preserve">НА УЗИ и урограмме ( 11.07.16) -   в н\ чашке - 20 мм каменьУмеренное расширение ЧЛС справа. </v>
      </c>
    </row>
    <row r="30" spans="1:21" ht="52.5" x14ac:dyDescent="0.4">
      <c r="A30" s="997" t="str">
        <f>IF(Данные_амбулаторного_обследования=0, " ", Данные_амбулаторного_обследования)</f>
        <v xml:space="preserve">ФЛГ (амб): без свежих инфильтративных изменений.
Терапевт (амб): противопоказаний для оперативного лечения нет. </v>
      </c>
      <c r="B30" s="997"/>
      <c r="C30" s="997"/>
      <c r="D30" s="997"/>
      <c r="E30" s="997"/>
      <c r="F30" s="997"/>
      <c r="G30" s="997"/>
      <c r="H30" s="997"/>
      <c r="I30" s="997"/>
      <c r="J30" s="997"/>
      <c r="K30" s="997"/>
      <c r="L30" s="997"/>
      <c r="M30" s="997"/>
      <c r="N30" s="997"/>
      <c r="O30" s="997"/>
      <c r="Q30" s="191" t="str">
        <f>A30</f>
        <v xml:space="preserve">ФЛГ (амб): без свежих инфильтративных изменений.
Терапевт (амб): противопоказаний для оперативного лечения нет. </v>
      </c>
    </row>
    <row r="31" spans="1:21" x14ac:dyDescent="0.4">
      <c r="A31" s="1011" t="s">
        <v>2691</v>
      </c>
      <c r="B31" s="997"/>
      <c r="C31" s="997"/>
      <c r="D31" s="997"/>
      <c r="E31" s="997"/>
      <c r="F31" s="997"/>
      <c r="G31" s="997"/>
      <c r="H31" s="997"/>
      <c r="I31" s="997"/>
      <c r="J31" s="997"/>
      <c r="K31" s="997"/>
      <c r="L31" s="997"/>
      <c r="M31" s="997"/>
      <c r="N31" s="997"/>
      <c r="O31" s="997"/>
      <c r="Q31" s="191" t="str">
        <f>A31</f>
        <v>Данные проведенного лечения:</v>
      </c>
    </row>
    <row r="32" spans="1:21" ht="24" hidden="1" customHeight="1" x14ac:dyDescent="0.4">
      <c r="D32" s="513"/>
      <c r="E32" s="669"/>
      <c r="F32" s="669"/>
      <c r="G32" s="514"/>
      <c r="H32" s="513"/>
      <c r="I32" s="513"/>
      <c r="J32" s="513"/>
    </row>
    <row r="33" spans="1:21" ht="27.75" customHeight="1" x14ac:dyDescent="0.4">
      <c r="A33" s="1007">
        <f>Дата_операции</f>
        <v>42587</v>
      </c>
      <c r="B33" s="1008"/>
      <c r="C33" s="965" t="str">
        <f>Планируемое_оперативное_вмешательство__проведенное</f>
        <v xml:space="preserve">Комбинированная нефролитолапаксия. Стентирование справа. </v>
      </c>
      <c r="D33" s="940"/>
      <c r="E33" s="940"/>
      <c r="F33" s="940"/>
      <c r="G33" s="940"/>
      <c r="H33" s="940"/>
      <c r="I33" s="940"/>
      <c r="J33" s="940"/>
      <c r="K33" s="940"/>
      <c r="L33" s="940"/>
      <c r="M33" s="940"/>
      <c r="N33" s="940"/>
      <c r="O33" s="940"/>
    </row>
    <row r="34" spans="1:21" ht="26.25" customHeight="1" x14ac:dyDescent="0.4">
      <c r="A34" s="1009"/>
      <c r="B34" s="878"/>
      <c r="C34" s="940"/>
      <c r="D34" s="940"/>
      <c r="E34" s="940"/>
      <c r="F34" s="940"/>
      <c r="G34" s="940"/>
      <c r="H34" s="940"/>
      <c r="I34" s="940"/>
      <c r="J34" s="940"/>
      <c r="K34" s="940"/>
      <c r="L34" s="940"/>
      <c r="M34" s="940"/>
      <c r="N34" s="940"/>
      <c r="O34" s="940"/>
    </row>
    <row r="35" spans="1:21" s="5" customFormat="1" ht="26.25" hidden="1" customHeight="1" x14ac:dyDescent="0.35">
      <c r="A35" s="666"/>
      <c r="B35" s="667"/>
      <c r="C35" s="734"/>
      <c r="D35" s="734"/>
      <c r="E35" s="734"/>
      <c r="F35" s="734"/>
      <c r="G35" s="734"/>
      <c r="H35" s="734"/>
      <c r="I35" s="734"/>
      <c r="J35" s="734"/>
      <c r="K35" s="734"/>
      <c r="L35" s="734"/>
      <c r="M35" s="734"/>
      <c r="N35" s="734"/>
      <c r="O35" s="734"/>
      <c r="Q35" s="191"/>
      <c r="R35" s="192"/>
      <c r="S35" s="192"/>
      <c r="T35" s="192"/>
      <c r="U35" s="192"/>
    </row>
    <row r="36" spans="1:21" x14ac:dyDescent="0.4">
      <c r="A36" s="996" t="s">
        <v>2692</v>
      </c>
      <c r="B36" s="996"/>
      <c r="C36" s="996"/>
      <c r="D36" s="996"/>
      <c r="E36" s="996"/>
      <c r="F36" s="996"/>
      <c r="G36" s="996"/>
      <c r="H36" s="996"/>
      <c r="I36" s="996"/>
      <c r="J36" s="996"/>
      <c r="K36" s="996"/>
      <c r="L36" s="996"/>
      <c r="M36" s="996"/>
      <c r="N36" s="996"/>
      <c r="O36" s="996"/>
      <c r="Q36" s="191" t="str">
        <f>A36</f>
        <v xml:space="preserve">Инфузионная, антибактериальная (цефтриаксон), спазмолитическая терапия. </v>
      </c>
    </row>
    <row r="37" spans="1:21" x14ac:dyDescent="0.4">
      <c r="A37" s="960" t="s">
        <v>2693</v>
      </c>
      <c r="B37" s="960"/>
      <c r="C37" s="960"/>
      <c r="D37" s="960"/>
      <c r="E37" s="960"/>
      <c r="F37" s="960"/>
      <c r="G37" s="960"/>
      <c r="H37" s="960"/>
      <c r="I37" s="960"/>
      <c r="J37" s="960"/>
      <c r="K37" s="960"/>
      <c r="L37" s="960"/>
      <c r="M37" s="960"/>
      <c r="N37" s="960"/>
      <c r="O37" s="960"/>
      <c r="Q37" s="191" t="str">
        <f>A37</f>
        <v>Нуждается в дальнейшем стационарном лечении .</v>
      </c>
    </row>
    <row r="38" spans="1:21" x14ac:dyDescent="0.4">
      <c r="A38" s="960"/>
      <c r="B38" s="853"/>
      <c r="C38" s="853"/>
      <c r="D38" s="853"/>
      <c r="E38" s="853"/>
      <c r="F38" s="853"/>
      <c r="G38" s="853"/>
      <c r="H38" s="853"/>
      <c r="I38" s="853"/>
      <c r="J38" s="853"/>
      <c r="K38" s="738"/>
      <c r="L38" s="738"/>
      <c r="M38" s="738"/>
      <c r="N38" s="738"/>
      <c r="O38" s="738"/>
    </row>
    <row r="39" spans="1:21" ht="25.5" customHeight="1" x14ac:dyDescent="0.4">
      <c r="D39" s="961"/>
      <c r="E39" s="1012"/>
      <c r="F39" s="1012"/>
      <c r="G39" s="1012"/>
      <c r="H39" s="1012"/>
      <c r="I39" s="1012"/>
      <c r="J39" s="1012"/>
      <c r="K39" s="1012"/>
      <c r="L39" s="1012"/>
      <c r="M39" s="1012"/>
      <c r="N39" s="1012"/>
      <c r="R39" s="207"/>
      <c r="S39" s="736">
        <f>D39</f>
        <v>0</v>
      </c>
      <c r="T39" s="207"/>
      <c r="U39" s="190"/>
    </row>
    <row r="40" spans="1:21" x14ac:dyDescent="0.4">
      <c r="D40" s="961"/>
      <c r="E40" s="966"/>
      <c r="F40" s="966"/>
      <c r="G40" s="966"/>
      <c r="H40" s="966"/>
      <c r="I40" s="966"/>
      <c r="J40" s="966"/>
      <c r="K40" s="966"/>
      <c r="L40" s="966"/>
      <c r="M40" s="966"/>
      <c r="N40" s="966"/>
      <c r="O40" s="737"/>
      <c r="S40" s="736">
        <f>D40</f>
        <v>0</v>
      </c>
      <c r="U40" s="192">
        <f>D40</f>
        <v>0</v>
      </c>
    </row>
    <row r="41" spans="1:21" x14ac:dyDescent="0.4">
      <c r="I41" s="196" t="s">
        <v>148</v>
      </c>
      <c r="L41" s="190" t="str">
        <f>Лечащий_врач</f>
        <v>Еременко А. Н.</v>
      </c>
    </row>
    <row r="42" spans="1:21" x14ac:dyDescent="0.4">
      <c r="I42" s="196" t="str">
        <f>IF(И.О.ЗАВ.ОТД.=1,"И.о. зав. отделением", "Зав.отделением")</f>
        <v>Зав.отделением</v>
      </c>
      <c r="L42" s="190" t="str">
        <f>Зав.отд.</f>
        <v>Еременко С. Н.</v>
      </c>
    </row>
  </sheetData>
  <sheetProtection formatCells="0" formatRows="0" autoFilter="0"/>
  <mergeCells count="28">
    <mergeCell ref="A21:O21"/>
    <mergeCell ref="D8:E8"/>
    <mergeCell ref="I8:L8"/>
    <mergeCell ref="D9:O9"/>
    <mergeCell ref="H10:I10"/>
    <mergeCell ref="K10:M10"/>
    <mergeCell ref="A12:O12"/>
    <mergeCell ref="A14:O14"/>
    <mergeCell ref="A16:O16"/>
    <mergeCell ref="C17:O17"/>
    <mergeCell ref="A19:O19"/>
    <mergeCell ref="D20:O20"/>
    <mergeCell ref="D39:N39"/>
    <mergeCell ref="D40:N40"/>
    <mergeCell ref="A5:B5"/>
    <mergeCell ref="A37:O37"/>
    <mergeCell ref="A38:J38"/>
    <mergeCell ref="A31:O31"/>
    <mergeCell ref="A33:B33"/>
    <mergeCell ref="C33:O34"/>
    <mergeCell ref="A34:B34"/>
    <mergeCell ref="A36:O36"/>
    <mergeCell ref="D22:O22"/>
    <mergeCell ref="F23:O23"/>
    <mergeCell ref="A25:O25"/>
    <mergeCell ref="A27:O27"/>
    <mergeCell ref="A29:O29"/>
    <mergeCell ref="A30:O30"/>
  </mergeCells>
  <pageMargins left="0.73046875" right="0.34090909090909088" top="0.15625" bottom="0.16666666666666666" header="0.3" footer="0.3"/>
  <pageSetup paperSize="9" scale="55"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7">
    <tabColor theme="3" tint="0.79998168889431442"/>
  </sheetPr>
  <dimension ref="A1:U43"/>
  <sheetViews>
    <sheetView view="pageBreakPreview" zoomScale="55" zoomScaleNormal="100" zoomScaleSheetLayoutView="55" zoomScalePageLayoutView="59" workbookViewId="0">
      <selection activeCell="K10" sqref="K10:M10"/>
    </sheetView>
  </sheetViews>
  <sheetFormatPr defaultRowHeight="26.25" x14ac:dyDescent="0.4"/>
  <cols>
    <col min="1" max="1" width="10.5703125" style="190" customWidth="1"/>
    <col min="2" max="3" width="10.28515625" style="190" customWidth="1"/>
    <col min="4" max="4" width="10.5703125" style="190" bestFit="1" customWidth="1"/>
    <col min="5" max="5" width="12.42578125" style="190" customWidth="1"/>
    <col min="6" max="6" width="15.5703125" style="190" customWidth="1"/>
    <col min="7" max="7" width="12" style="190" bestFit="1" customWidth="1"/>
    <col min="8" max="8" width="12.5703125" style="190" customWidth="1"/>
    <col min="9" max="9" width="10.5703125" style="190" customWidth="1"/>
    <col min="10" max="10" width="14.42578125" style="190" bestFit="1" customWidth="1"/>
    <col min="11" max="11" width="10.5703125" style="190" bestFit="1" customWidth="1"/>
    <col min="12" max="16" width="9.140625" style="190"/>
    <col min="17" max="17" width="169.85546875" style="191" hidden="1" customWidth="1"/>
    <col min="18" max="18" width="122.5703125" style="192" hidden="1" customWidth="1"/>
    <col min="19" max="19" width="127.5703125" style="192" hidden="1" customWidth="1"/>
    <col min="20" max="20" width="138.140625" style="192" hidden="1" customWidth="1"/>
    <col min="21" max="21" width="127.140625" style="192" hidden="1" customWidth="1"/>
    <col min="22" max="16384" width="9.140625" style="190"/>
  </cols>
  <sheetData>
    <row r="1" spans="1:21" s="164" customFormat="1" x14ac:dyDescent="0.3">
      <c r="O1" s="210"/>
      <c r="Q1" s="191"/>
      <c r="R1" s="192"/>
      <c r="S1" s="192"/>
      <c r="T1" s="192"/>
      <c r="U1" s="341"/>
    </row>
    <row r="2" spans="1:21" s="164" customFormat="1" x14ac:dyDescent="0.3">
      <c r="M2" s="164" t="s">
        <v>2660</v>
      </c>
      <c r="O2" s="715" t="s">
        <v>2423</v>
      </c>
      <c r="Q2" s="191"/>
      <c r="R2" s="192"/>
      <c r="S2" s="192"/>
      <c r="T2" s="192"/>
      <c r="U2" s="341"/>
    </row>
    <row r="3" spans="1:21" s="164" customFormat="1" x14ac:dyDescent="0.3">
      <c r="L3" s="716"/>
      <c r="M3" s="164" t="s">
        <v>2656</v>
      </c>
      <c r="O3" s="210"/>
      <c r="Q3" s="191"/>
      <c r="R3" s="192"/>
      <c r="S3" s="192"/>
      <c r="T3" s="192"/>
      <c r="U3" s="341"/>
    </row>
    <row r="4" spans="1:21" s="164" customFormat="1" x14ac:dyDescent="0.3">
      <c r="O4" s="715" t="s">
        <v>97</v>
      </c>
      <c r="Q4" s="191"/>
      <c r="R4" s="192"/>
      <c r="S4" s="192"/>
      <c r="T4" s="192"/>
      <c r="U4" s="341"/>
    </row>
    <row r="5" spans="1:21" s="164" customFormat="1" x14ac:dyDescent="0.3">
      <c r="A5" s="1036">
        <f>Данные!C6</f>
        <v>42592</v>
      </c>
      <c r="B5" s="1037"/>
      <c r="M5" s="715"/>
      <c r="N5" s="718" t="s">
        <v>98</v>
      </c>
      <c r="O5" s="717">
        <f>№_и_б</f>
        <v>21949</v>
      </c>
      <c r="Q5" s="191"/>
      <c r="R5" s="192"/>
      <c r="S5" s="192"/>
      <c r="T5" s="192"/>
      <c r="U5" s="341"/>
    </row>
    <row r="6" spans="1:21" s="211" customFormat="1" ht="30.75" x14ac:dyDescent="0.45">
      <c r="G6" s="212" t="s">
        <v>247</v>
      </c>
      <c r="Q6" s="191"/>
      <c r="R6" s="192"/>
      <c r="S6" s="192"/>
      <c r="T6" s="192"/>
      <c r="U6" s="342"/>
    </row>
    <row r="7" spans="1:21" x14ac:dyDescent="0.4">
      <c r="A7" s="193" t="s">
        <v>1438</v>
      </c>
      <c r="C7" s="190" t="str">
        <f>ФИО</f>
        <v>Иванова Е.П.</v>
      </c>
    </row>
    <row r="8" spans="1:21" x14ac:dyDescent="0.4">
      <c r="A8" s="193" t="s">
        <v>2655</v>
      </c>
      <c r="B8" s="714"/>
      <c r="C8" s="194"/>
      <c r="D8" s="999">
        <f>Данные!C8</f>
        <v>21949</v>
      </c>
      <c r="E8" s="991"/>
      <c r="F8" s="195" t="s">
        <v>35</v>
      </c>
      <c r="H8" s="196" t="s">
        <v>22</v>
      </c>
      <c r="I8" s="994">
        <f>Телефон</f>
        <v>0</v>
      </c>
      <c r="J8" s="994"/>
      <c r="K8" s="991"/>
      <c r="L8" s="991"/>
    </row>
    <row r="9" spans="1:21" x14ac:dyDescent="0.4">
      <c r="A9" s="193" t="s">
        <v>1439</v>
      </c>
      <c r="D9" s="995" t="str">
        <f>трудовой_анамнез</f>
        <v>пенсионер, в б\л не нуждается</v>
      </c>
      <c r="E9" s="995"/>
      <c r="F9" s="995"/>
      <c r="G9" s="995"/>
      <c r="H9" s="995"/>
      <c r="I9" s="995"/>
      <c r="J9" s="995"/>
      <c r="K9" s="995"/>
      <c r="L9" s="995"/>
      <c r="M9" s="995"/>
      <c r="N9" s="995"/>
      <c r="O9" s="995"/>
    </row>
    <row r="10" spans="1:21" x14ac:dyDescent="0.4">
      <c r="A10" s="193" t="s">
        <v>2690</v>
      </c>
      <c r="E10" s="196"/>
      <c r="H10" s="1001">
        <f>дата_поступления</f>
        <v>42592</v>
      </c>
      <c r="I10" s="1002"/>
      <c r="J10" s="197"/>
      <c r="K10" s="1001"/>
      <c r="L10" s="1002"/>
      <c r="M10" s="1002"/>
    </row>
    <row r="11" spans="1:21" x14ac:dyDescent="0.4">
      <c r="A11" s="193" t="s">
        <v>1440</v>
      </c>
    </row>
    <row r="12" spans="1:21" ht="78.75" x14ac:dyDescent="0.4">
      <c r="A12" s="993" t="str">
        <f>Диагноз_при_поступлении</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c r="B12" s="993"/>
      <c r="C12" s="993"/>
      <c r="D12" s="993"/>
      <c r="E12" s="993"/>
      <c r="F12" s="993"/>
      <c r="G12" s="993"/>
      <c r="H12" s="993"/>
      <c r="I12" s="993"/>
      <c r="J12" s="993"/>
      <c r="K12" s="993"/>
      <c r="L12" s="993"/>
      <c r="M12" s="993"/>
      <c r="N12" s="993"/>
      <c r="O12" s="993"/>
      <c r="Q12" s="191" t="str">
        <f>A12</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row>
    <row r="13" spans="1:21" x14ac:dyDescent="0.4">
      <c r="A13" s="775" t="s">
        <v>71</v>
      </c>
      <c r="B13" s="775"/>
      <c r="C13" s="775"/>
      <c r="D13" s="775"/>
      <c r="E13" s="775"/>
      <c r="F13" s="775"/>
      <c r="G13" s="775"/>
      <c r="H13" s="775"/>
    </row>
    <row r="14" spans="1:21" ht="50.25" customHeight="1" x14ac:dyDescent="0.4">
      <c r="A14" s="1000"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14" s="1000"/>
      <c r="C14" s="1000"/>
      <c r="D14" s="1000"/>
      <c r="E14" s="1000"/>
      <c r="F14" s="1000"/>
      <c r="G14" s="1000"/>
      <c r="H14" s="1000"/>
      <c r="I14" s="1000"/>
      <c r="J14" s="1000"/>
      <c r="K14" s="1000"/>
      <c r="L14" s="1000"/>
      <c r="M14" s="1000"/>
      <c r="N14" s="1000"/>
      <c r="O14" s="1000"/>
      <c r="Q14" s="191" t="str">
        <f>A14</f>
        <v>МКБ, рецидив. Резидуальный камень н\чашки справа 20 мм.                                                                                                                                                                                                                                                                                                                                                           Гидронефроз справа 1 ст. Хронический калькулезный пиелонефрит , латентное течение. ХПН 0-1</v>
      </c>
    </row>
    <row r="15" spans="1:21" x14ac:dyDescent="0.4">
      <c r="A15" s="775" t="str">
        <f>IF(Сопутствующий_диагноз=0, " ", "Сопутствующий диагноз:")</f>
        <v>Сопутствующий диагноз:</v>
      </c>
      <c r="B15" s="775"/>
      <c r="C15" s="775"/>
      <c r="D15" s="775"/>
      <c r="E15" s="775"/>
      <c r="F15" s="775"/>
      <c r="G15" s="775"/>
      <c r="H15" s="775"/>
    </row>
    <row r="16" spans="1:21" x14ac:dyDescent="0.4">
      <c r="A16" s="1005" t="str">
        <f>IF(Сопутствующий_диагноз=0, " ", Сопутствующий_диагноз)</f>
        <v xml:space="preserve">ИБС: АКС. САГ 2 ст, 2 ст, риск 3. Ожирение 3-4 ст. П\о вентральная грыжа. </v>
      </c>
      <c r="B16" s="1005"/>
      <c r="C16" s="1005"/>
      <c r="D16" s="1005"/>
      <c r="E16" s="1005"/>
      <c r="F16" s="1005"/>
      <c r="G16" s="1005"/>
      <c r="H16" s="1005"/>
      <c r="I16" s="1005"/>
      <c r="J16" s="1005"/>
      <c r="K16" s="1005"/>
      <c r="L16" s="1005"/>
      <c r="M16" s="1005"/>
      <c r="N16" s="1005"/>
      <c r="O16" s="1005"/>
      <c r="Q16" s="191" t="str">
        <f>A16</f>
        <v xml:space="preserve">ИБС: АКС. САГ 2 ст, 2 ст, риск 3. Ожирение 3-4 ст. П\о вентральная грыжа. </v>
      </c>
    </row>
    <row r="17" spans="1:21" x14ac:dyDescent="0.4">
      <c r="A17" s="775" t="s">
        <v>25</v>
      </c>
      <c r="C17" s="1003" t="str">
        <f>Жалобы</f>
        <v>боли в поясничной области;справа</v>
      </c>
      <c r="D17" s="1004"/>
      <c r="E17" s="1004"/>
      <c r="F17" s="1004"/>
      <c r="G17" s="1004"/>
      <c r="H17" s="1004"/>
      <c r="I17" s="1004"/>
      <c r="J17" s="1004"/>
      <c r="K17" s="1004"/>
      <c r="L17" s="1004"/>
      <c r="M17" s="1004"/>
      <c r="N17" s="1004"/>
      <c r="O17" s="1004"/>
      <c r="T17" s="192" t="str">
        <f>C17</f>
        <v>боли в поясничной области;справа</v>
      </c>
    </row>
    <row r="18" spans="1:21" x14ac:dyDescent="0.4">
      <c r="A18" s="775" t="s">
        <v>26</v>
      </c>
      <c r="B18" s="775"/>
      <c r="C18" s="775"/>
      <c r="D18" s="775"/>
      <c r="E18" s="775"/>
      <c r="F18" s="775"/>
      <c r="G18" s="775"/>
      <c r="H18" s="775"/>
    </row>
    <row r="19" spans="1:21" ht="78.75" x14ac:dyDescent="0.4">
      <c r="A19" s="1006" t="str">
        <f>Anamnesis_morbi</f>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c r="B19" s="1006"/>
      <c r="C19" s="1006"/>
      <c r="D19" s="1006"/>
      <c r="E19" s="1006"/>
      <c r="F19" s="1006"/>
      <c r="G19" s="1006"/>
      <c r="H19" s="1006"/>
      <c r="I19" s="1006"/>
      <c r="J19" s="1006"/>
      <c r="K19" s="1006"/>
      <c r="L19" s="1006"/>
      <c r="M19" s="1006"/>
      <c r="N19" s="1006"/>
      <c r="O19" s="1006"/>
      <c r="Q19" s="191" t="str">
        <f>A19</f>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row>
    <row r="20" spans="1:21" x14ac:dyDescent="0.4">
      <c r="A20" s="775" t="s">
        <v>27</v>
      </c>
      <c r="B20" s="775"/>
      <c r="C20" s="775"/>
      <c r="D20" s="1010"/>
      <c r="E20" s="848"/>
      <c r="F20" s="848"/>
      <c r="G20" s="848"/>
      <c r="H20" s="848"/>
      <c r="I20" s="848"/>
      <c r="J20" s="848"/>
      <c r="K20" s="848"/>
      <c r="L20" s="848"/>
      <c r="M20" s="848"/>
      <c r="N20" s="848"/>
      <c r="O20" s="848"/>
    </row>
    <row r="21" spans="1:21" s="213" customFormat="1" ht="78.75" x14ac:dyDescent="0.25">
      <c r="A21" s="1005" t="str">
        <f>Anamnesis_vitae</f>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c r="B21" s="1005"/>
      <c r="C21" s="1005"/>
      <c r="D21" s="1005"/>
      <c r="E21" s="1005"/>
      <c r="F21" s="1005"/>
      <c r="G21" s="1005"/>
      <c r="H21" s="1005"/>
      <c r="I21" s="1005"/>
      <c r="J21" s="1005"/>
      <c r="K21" s="1005"/>
      <c r="L21" s="1005"/>
      <c r="M21" s="1005"/>
      <c r="N21" s="1005"/>
      <c r="O21" s="1005"/>
      <c r="Q21" s="191" t="str">
        <f>A21</f>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c r="R21" s="192"/>
      <c r="S21" s="192"/>
      <c r="T21" s="192"/>
      <c r="U21" s="192"/>
    </row>
    <row r="22" spans="1:21" x14ac:dyDescent="0.4">
      <c r="A22" s="775" t="s">
        <v>34</v>
      </c>
      <c r="B22" s="775"/>
      <c r="D22" s="1015" t="str">
        <f>Аллергоанамнез</f>
        <v>левомицетин, новокаин</v>
      </c>
      <c r="E22" s="995"/>
      <c r="F22" s="995"/>
      <c r="G22" s="995"/>
      <c r="H22" s="995"/>
      <c r="I22" s="995"/>
      <c r="J22" s="995"/>
      <c r="K22" s="995"/>
      <c r="L22" s="995"/>
      <c r="M22" s="995"/>
      <c r="N22" s="995"/>
      <c r="O22" s="995"/>
    </row>
    <row r="23" spans="1:21" x14ac:dyDescent="0.4">
      <c r="A23" s="775" t="s">
        <v>29</v>
      </c>
      <c r="B23" s="775"/>
      <c r="C23" s="775"/>
      <c r="F23" s="1013" t="str">
        <f>Трансфузии</f>
        <v>не отягощен</v>
      </c>
      <c r="G23" s="995"/>
      <c r="H23" s="995"/>
      <c r="I23" s="995"/>
      <c r="J23" s="995"/>
      <c r="K23" s="995"/>
      <c r="L23" s="995"/>
      <c r="M23" s="995"/>
      <c r="N23" s="995"/>
      <c r="O23" s="995"/>
    </row>
    <row r="24" spans="1:21" x14ac:dyDescent="0.4">
      <c r="A24" s="775" t="s">
        <v>30</v>
      </c>
      <c r="B24" s="775"/>
      <c r="C24" s="775"/>
      <c r="D24" s="775"/>
      <c r="E24" s="775"/>
      <c r="F24" s="775"/>
      <c r="G24" s="775"/>
      <c r="H24" s="775"/>
    </row>
    <row r="25" spans="1:21" ht="210" x14ac:dyDescent="0.4">
      <c r="A25" s="998" t="str">
        <f>Данные!C17</f>
        <v xml:space="preserve">Состояние  удовлетворительное. Температура 36,9 С. Кожные покровы обычной окраски. Л/у доступные пальпации не увеличены. Дыхание в легких везикулярное. ЧД 16 в мин. Тоны сердца приглушены, ритмичные. АД 140/80, ЧСС 78 в мин. Живот не вздут, симметричный, мягкий, участвует в акте дыхания, чувствительный над лоном.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   Мочевой пузырь пальпаторно и перкуторно не определяется. Мочится  самостоятельно.  Уретрита нет.  </v>
      </c>
      <c r="B25" s="998"/>
      <c r="C25" s="998"/>
      <c r="D25" s="998"/>
      <c r="E25" s="998"/>
      <c r="F25" s="998"/>
      <c r="G25" s="998"/>
      <c r="H25" s="998"/>
      <c r="I25" s="998"/>
      <c r="J25" s="998"/>
      <c r="K25" s="998"/>
      <c r="L25" s="998"/>
      <c r="M25" s="998"/>
      <c r="N25" s="998"/>
      <c r="O25" s="998"/>
      <c r="Q25" s="191" t="str">
        <f>A25</f>
        <v xml:space="preserve">Состояние  удовлетворительное. Температура 36,9 С. Кожные покровы обычной окраски. Л/у доступные пальпации не увеличены. Дыхание в легких везикулярное. ЧД 16 в мин. Тоны сердца приглушены, ритмичные. АД 140/80, ЧСС 78 в мин. Живот не вздут, симметричный, мягкий, участвует в акте дыхания, чувствительный над лоном.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   Мочевой пузырь пальпаторно и перкуторно не определяется. Мочится  самостоятельно.  Уретрита нет.  </v>
      </c>
    </row>
    <row r="26" spans="1:21" x14ac:dyDescent="0.4">
      <c r="A26" s="775" t="s">
        <v>2626</v>
      </c>
      <c r="B26" s="775"/>
      <c r="C26" s="775"/>
      <c r="D26" s="775"/>
      <c r="E26" s="775"/>
      <c r="F26" s="775"/>
      <c r="G26" s="775"/>
      <c r="H26" s="775"/>
    </row>
    <row r="27" spans="1:21" ht="41.25" customHeight="1" x14ac:dyDescent="0.4">
      <c r="A27" s="1014">
        <f>Данные!C18</f>
        <v>0</v>
      </c>
      <c r="B27" s="1014"/>
      <c r="C27" s="1014"/>
      <c r="D27" s="1014"/>
      <c r="E27" s="1014"/>
      <c r="F27" s="1014"/>
      <c r="G27" s="1014"/>
      <c r="H27" s="1014"/>
      <c r="I27" s="1014"/>
      <c r="J27" s="1014"/>
      <c r="K27" s="1014"/>
      <c r="L27" s="1014"/>
      <c r="M27" s="1014"/>
      <c r="N27" s="1014"/>
      <c r="O27" s="1014"/>
      <c r="Q27" s="191">
        <f>A27</f>
        <v>0</v>
      </c>
    </row>
    <row r="28" spans="1:21" x14ac:dyDescent="0.4">
      <c r="A28" s="193" t="s">
        <v>88</v>
      </c>
    </row>
    <row r="29" spans="1:21" x14ac:dyDescent="0.4">
      <c r="A29" s="997" t="str">
        <f>IF(данные_проведенного_обследования=0, " ", данные_проведенного_обследования)</f>
        <v xml:space="preserve">НА УЗИ и урограмме ( 11.07.16) -   в н\ чашке - 20 мм каменьУмеренное расширение ЧЛС справа. </v>
      </c>
      <c r="B29" s="997"/>
      <c r="C29" s="997"/>
      <c r="D29" s="997"/>
      <c r="E29" s="997"/>
      <c r="F29" s="997"/>
      <c r="G29" s="997"/>
      <c r="H29" s="997"/>
      <c r="I29" s="997"/>
      <c r="J29" s="997"/>
      <c r="K29" s="997"/>
      <c r="L29" s="997"/>
      <c r="M29" s="997"/>
      <c r="N29" s="997"/>
      <c r="O29" s="997"/>
      <c r="Q29" s="191" t="str">
        <f>A29</f>
        <v xml:space="preserve">НА УЗИ и урограмме ( 11.07.16) -   в н\ чашке - 20 мм каменьУмеренное расширение ЧЛС справа. </v>
      </c>
    </row>
    <row r="30" spans="1:21" ht="54.75" customHeight="1" x14ac:dyDescent="0.4">
      <c r="A30" s="997" t="s">
        <v>2756</v>
      </c>
      <c r="B30" s="1012"/>
      <c r="C30" s="1012"/>
      <c r="D30" s="1012"/>
      <c r="E30" s="1012"/>
      <c r="F30" s="1012"/>
      <c r="G30" s="1012"/>
      <c r="H30" s="1012"/>
      <c r="I30" s="1012"/>
      <c r="J30" s="1012"/>
      <c r="K30" s="1012"/>
      <c r="L30" s="1012"/>
      <c r="M30" s="1012"/>
      <c r="N30" s="1012"/>
      <c r="O30" s="1012"/>
    </row>
    <row r="31" spans="1:21" x14ac:dyDescent="0.4">
      <c r="A31" s="1011" t="s">
        <v>2755</v>
      </c>
      <c r="B31" s="997"/>
      <c r="C31" s="997"/>
      <c r="D31" s="997"/>
      <c r="E31" s="997"/>
      <c r="F31" s="997"/>
      <c r="G31" s="997"/>
      <c r="H31" s="997"/>
      <c r="I31" s="997"/>
      <c r="J31" s="997"/>
      <c r="K31" s="997"/>
      <c r="L31" s="997"/>
      <c r="M31" s="997"/>
      <c r="N31" s="997"/>
      <c r="O31" s="997"/>
      <c r="Q31" s="191" t="str">
        <f>A31</f>
        <v>Планируемое  лечение:</v>
      </c>
    </row>
    <row r="32" spans="1:21" ht="24" hidden="1" customHeight="1" x14ac:dyDescent="0.4">
      <c r="D32" s="513"/>
      <c r="E32" s="669"/>
      <c r="F32" s="669"/>
      <c r="G32" s="514"/>
      <c r="H32" s="513"/>
      <c r="I32" s="513"/>
      <c r="J32" s="513"/>
    </row>
    <row r="33" spans="1:21" ht="27.75" customHeight="1" x14ac:dyDescent="0.4">
      <c r="A33" s="1007">
        <f>Дата_операции</f>
        <v>42587</v>
      </c>
      <c r="B33" s="1008"/>
      <c r="C33" s="965" t="str">
        <f>Планируемое_оперативное_вмешательство__проведенное</f>
        <v xml:space="preserve">Комбинированная нефролитолапаксия. Стентирование справа. </v>
      </c>
      <c r="D33" s="940"/>
      <c r="E33" s="940"/>
      <c r="F33" s="940"/>
      <c r="G33" s="940"/>
      <c r="H33" s="940"/>
      <c r="I33" s="940"/>
      <c r="J33" s="940"/>
      <c r="K33" s="940"/>
      <c r="L33" s="940"/>
      <c r="M33" s="940"/>
      <c r="N33" s="940"/>
      <c r="O33" s="940"/>
    </row>
    <row r="34" spans="1:21" ht="26.25" customHeight="1" x14ac:dyDescent="0.4">
      <c r="A34" s="1009"/>
      <c r="B34" s="878"/>
      <c r="C34" s="940"/>
      <c r="D34" s="940"/>
      <c r="E34" s="940"/>
      <c r="F34" s="940"/>
      <c r="G34" s="940"/>
      <c r="H34" s="940"/>
      <c r="I34" s="940"/>
      <c r="J34" s="940"/>
      <c r="K34" s="940"/>
      <c r="L34" s="940"/>
      <c r="M34" s="940"/>
      <c r="N34" s="940"/>
      <c r="O34" s="940"/>
    </row>
    <row r="35" spans="1:21" s="5" customFormat="1" ht="26.25" hidden="1" customHeight="1" x14ac:dyDescent="0.35">
      <c r="A35" s="666"/>
      <c r="B35" s="667"/>
      <c r="C35" s="771"/>
      <c r="D35" s="771"/>
      <c r="E35" s="771"/>
      <c r="F35" s="771"/>
      <c r="G35" s="771"/>
      <c r="H35" s="771"/>
      <c r="I35" s="771"/>
      <c r="J35" s="771"/>
      <c r="K35" s="771"/>
      <c r="L35" s="771"/>
      <c r="M35" s="771"/>
      <c r="N35" s="771"/>
      <c r="O35" s="771"/>
      <c r="Q35" s="191"/>
      <c r="R35" s="192"/>
      <c r="S35" s="192"/>
      <c r="T35" s="192"/>
      <c r="U35" s="192"/>
    </row>
    <row r="36" spans="1:21" x14ac:dyDescent="0.4">
      <c r="A36" s="996"/>
      <c r="B36" s="996"/>
      <c r="C36" s="996"/>
      <c r="D36" s="996"/>
      <c r="E36" s="996"/>
      <c r="F36" s="996"/>
      <c r="G36" s="996"/>
      <c r="H36" s="996"/>
      <c r="I36" s="996"/>
      <c r="J36" s="996"/>
      <c r="K36" s="996"/>
      <c r="L36" s="996"/>
      <c r="M36" s="996"/>
      <c r="N36" s="996"/>
      <c r="O36" s="996"/>
      <c r="Q36" s="191">
        <f>A36</f>
        <v>0</v>
      </c>
    </row>
    <row r="37" spans="1:21" x14ac:dyDescent="0.4">
      <c r="A37" s="960"/>
      <c r="B37" s="960"/>
      <c r="C37" s="960"/>
      <c r="D37" s="960"/>
      <c r="E37" s="960"/>
      <c r="F37" s="960"/>
      <c r="G37" s="960"/>
      <c r="H37" s="960"/>
      <c r="I37" s="960"/>
      <c r="J37" s="960"/>
      <c r="K37" s="960"/>
      <c r="L37" s="960"/>
      <c r="M37" s="960"/>
      <c r="N37" s="960"/>
      <c r="O37" s="960"/>
      <c r="Q37" s="191">
        <f>A37</f>
        <v>0</v>
      </c>
    </row>
    <row r="38" spans="1:21" x14ac:dyDescent="0.4">
      <c r="A38" s="960"/>
      <c r="B38" s="853"/>
      <c r="C38" s="853"/>
      <c r="D38" s="853"/>
      <c r="E38" s="853"/>
      <c r="F38" s="853"/>
      <c r="G38" s="853"/>
      <c r="H38" s="853"/>
      <c r="I38" s="853"/>
      <c r="J38" s="853"/>
      <c r="K38" s="772"/>
      <c r="L38" s="772"/>
      <c r="M38" s="772"/>
      <c r="N38" s="772"/>
      <c r="O38" s="772"/>
    </row>
    <row r="39" spans="1:21" ht="25.5" customHeight="1" x14ac:dyDescent="0.4">
      <c r="D39" s="961"/>
      <c r="E39" s="1012"/>
      <c r="F39" s="1012"/>
      <c r="G39" s="1012"/>
      <c r="H39" s="1012"/>
      <c r="I39" s="1012"/>
      <c r="J39" s="1012"/>
      <c r="K39" s="1012"/>
      <c r="L39" s="1012"/>
      <c r="M39" s="1012"/>
      <c r="N39" s="1012"/>
      <c r="R39" s="207"/>
      <c r="S39" s="774">
        <f>D39</f>
        <v>0</v>
      </c>
      <c r="T39" s="207"/>
      <c r="U39" s="190"/>
    </row>
    <row r="40" spans="1:21" x14ac:dyDescent="0.4">
      <c r="D40" s="961"/>
      <c r="E40" s="966"/>
      <c r="F40" s="966"/>
      <c r="G40" s="966"/>
      <c r="H40" s="966"/>
      <c r="I40" s="966"/>
      <c r="J40" s="966"/>
      <c r="K40" s="966"/>
      <c r="L40" s="966"/>
      <c r="M40" s="966"/>
      <c r="N40" s="966"/>
      <c r="O40" s="773"/>
      <c r="S40" s="774">
        <f>D40</f>
        <v>0</v>
      </c>
      <c r="U40" s="192">
        <f>D40</f>
        <v>0</v>
      </c>
    </row>
    <row r="41" spans="1:21" x14ac:dyDescent="0.4">
      <c r="I41" s="196" t="s">
        <v>148</v>
      </c>
      <c r="L41" s="190" t="str">
        <f>Лечащий_врач</f>
        <v>Еременко А. Н.</v>
      </c>
    </row>
    <row r="42" spans="1:21" x14ac:dyDescent="0.4">
      <c r="I42" s="196" t="str">
        <f>IF(И.О.ЗАВ.ОТД.=1,"И.о. зав. отделением", "Зав.отделением")</f>
        <v>Зав.отделением</v>
      </c>
      <c r="L42" s="190" t="str">
        <f>Зав.отд.</f>
        <v>Еременко С. Н.</v>
      </c>
    </row>
    <row r="43" spans="1:21" x14ac:dyDescent="0.4">
      <c r="H43" s="190" t="s">
        <v>2779</v>
      </c>
      <c r="L43" s="190" t="s">
        <v>2778</v>
      </c>
    </row>
  </sheetData>
  <sheetProtection formatCells="0" formatRows="0" autoFilter="0"/>
  <mergeCells count="28">
    <mergeCell ref="A5:B5"/>
    <mergeCell ref="D8:E8"/>
    <mergeCell ref="I8:L8"/>
    <mergeCell ref="D9:O9"/>
    <mergeCell ref="H10:I10"/>
    <mergeCell ref="K10:M10"/>
    <mergeCell ref="A29:O29"/>
    <mergeCell ref="A12:O12"/>
    <mergeCell ref="A14:O14"/>
    <mergeCell ref="A16:O16"/>
    <mergeCell ref="C17:O17"/>
    <mergeCell ref="A19:O19"/>
    <mergeCell ref="D20:O20"/>
    <mergeCell ref="A21:O21"/>
    <mergeCell ref="D22:O22"/>
    <mergeCell ref="F23:O23"/>
    <mergeCell ref="A25:O25"/>
    <mergeCell ref="A27:O27"/>
    <mergeCell ref="A37:O37"/>
    <mergeCell ref="A38:J38"/>
    <mergeCell ref="D39:N39"/>
    <mergeCell ref="D40:N40"/>
    <mergeCell ref="A30:O30"/>
    <mergeCell ref="A31:O31"/>
    <mergeCell ref="A33:B33"/>
    <mergeCell ref="C33:O34"/>
    <mergeCell ref="A34:B34"/>
    <mergeCell ref="A36:O36"/>
  </mergeCells>
  <pageMargins left="0.73046875" right="0.34090909090909088" top="0.15625" bottom="0.16666666666666666" header="0.3" footer="0.3"/>
  <pageSetup paperSize="9" scale="55"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3">
    <tabColor rgb="FFC00000"/>
    <pageSetUpPr fitToPage="1"/>
  </sheetPr>
  <dimension ref="A1:I37"/>
  <sheetViews>
    <sheetView view="pageBreakPreview" zoomScale="87" zoomScaleNormal="59" zoomScaleSheetLayoutView="87" zoomScalePageLayoutView="112" workbookViewId="0">
      <selection activeCell="C6" sqref="C6"/>
    </sheetView>
  </sheetViews>
  <sheetFormatPr defaultRowHeight="15" x14ac:dyDescent="0.25"/>
  <cols>
    <col min="1" max="1" width="10.5703125" style="8" customWidth="1"/>
    <col min="2" max="2" width="10" style="8" customWidth="1"/>
    <col min="3" max="3" width="10.5703125" style="8" customWidth="1"/>
    <col min="4" max="5" width="9.140625" style="8"/>
    <col min="6" max="6" width="20" style="8" customWidth="1"/>
    <col min="7" max="7" width="8" style="8" customWidth="1"/>
    <col min="8" max="8" width="9.140625" style="8"/>
    <col min="9" max="9" width="76.28515625" style="724" hidden="1" customWidth="1"/>
    <col min="10" max="11" width="9.140625" style="8" customWidth="1"/>
    <col min="12" max="16384" width="9.140625" style="8"/>
  </cols>
  <sheetData>
    <row r="1" spans="1:7" ht="16.350000000000001" customHeight="1" x14ac:dyDescent="0.25">
      <c r="C1" s="136" t="s">
        <v>2660</v>
      </c>
      <c r="D1" s="136" t="s">
        <v>2657</v>
      </c>
    </row>
    <row r="2" spans="1:7" ht="16.350000000000001" customHeight="1" x14ac:dyDescent="0.25">
      <c r="D2" s="136" t="s">
        <v>2421</v>
      </c>
    </row>
    <row r="3" spans="1:7" ht="16.350000000000001" customHeight="1" x14ac:dyDescent="0.25">
      <c r="A3" s="6" t="s">
        <v>33</v>
      </c>
      <c r="B3" s="929" t="str">
        <f>ФИО</f>
        <v>Иванова Е.П.</v>
      </c>
      <c r="C3" s="897"/>
      <c r="D3" s="897"/>
      <c r="E3" s="6" t="s">
        <v>19</v>
      </c>
      <c r="F3" s="61">
        <f>№_и_б</f>
        <v>21949</v>
      </c>
      <c r="G3" s="61"/>
    </row>
    <row r="4" spans="1:7" ht="16.350000000000001" customHeight="1" x14ac:dyDescent="0.25">
      <c r="A4" s="6" t="s">
        <v>20</v>
      </c>
      <c r="B4" s="62"/>
      <c r="C4" s="730" t="e">
        <f>дата_рождения</f>
        <v>#REF!</v>
      </c>
      <c r="D4" s="63" t="s">
        <v>35</v>
      </c>
      <c r="E4" s="6" t="s">
        <v>22</v>
      </c>
      <c r="F4" s="63">
        <f>Телефон</f>
        <v>0</v>
      </c>
      <c r="G4" s="63"/>
    </row>
    <row r="5" spans="1:7" ht="16.350000000000001" customHeight="1" x14ac:dyDescent="0.25">
      <c r="A5" s="6" t="s">
        <v>21</v>
      </c>
      <c r="B5" s="930">
        <f>Место_жительства</f>
        <v>0</v>
      </c>
      <c r="C5" s="931"/>
      <c r="D5" s="931"/>
      <c r="E5" s="851"/>
      <c r="F5" s="851"/>
      <c r="G5" s="725"/>
    </row>
    <row r="6" spans="1:7" ht="16.350000000000001" customHeight="1" x14ac:dyDescent="0.25">
      <c r="A6" s="6" t="s">
        <v>23</v>
      </c>
      <c r="B6" s="6"/>
      <c r="C6" s="730">
        <f>дата_поступления</f>
        <v>42592</v>
      </c>
    </row>
    <row r="7" spans="1:7" ht="16.350000000000001" customHeight="1" x14ac:dyDescent="0.25">
      <c r="A7" s="6"/>
    </row>
    <row r="10" spans="1:7" x14ac:dyDescent="0.25">
      <c r="A10" s="678"/>
      <c r="B10" s="728" t="s">
        <v>2449</v>
      </c>
      <c r="C10" s="727"/>
      <c r="D10" s="727"/>
      <c r="E10" s="727"/>
      <c r="F10" s="727"/>
      <c r="G10" s="727"/>
    </row>
    <row r="11" spans="1:7" x14ac:dyDescent="0.25">
      <c r="B11" s="727"/>
      <c r="C11" s="727"/>
      <c r="D11" s="727"/>
      <c r="E11" s="727"/>
      <c r="F11" s="727"/>
      <c r="G11" s="727"/>
    </row>
    <row r="12" spans="1:7" x14ac:dyDescent="0.25">
      <c r="B12" s="727"/>
      <c r="C12" s="727"/>
      <c r="D12" s="727"/>
      <c r="E12" s="727"/>
      <c r="F12" s="727"/>
      <c r="G12" s="727"/>
    </row>
    <row r="13" spans="1:7" x14ac:dyDescent="0.25">
      <c r="B13" s="727"/>
      <c r="C13" s="727"/>
      <c r="D13" s="727"/>
      <c r="E13" s="727"/>
      <c r="F13" s="727"/>
      <c r="G13" s="727"/>
    </row>
    <row r="14" spans="1:7" x14ac:dyDescent="0.25">
      <c r="B14" s="727"/>
      <c r="C14" s="727"/>
      <c r="D14" s="727"/>
      <c r="E14" s="727"/>
      <c r="F14" s="727"/>
      <c r="G14" s="727"/>
    </row>
    <row r="25" spans="1:7" x14ac:dyDescent="0.25">
      <c r="A25" s="726"/>
      <c r="B25" s="729"/>
      <c r="C25" s="729"/>
      <c r="D25" s="729"/>
      <c r="E25" s="729"/>
      <c r="F25" s="729"/>
      <c r="G25" s="729"/>
    </row>
    <row r="26" spans="1:7" x14ac:dyDescent="0.25">
      <c r="A26" s="726"/>
      <c r="B26" s="729"/>
      <c r="C26" s="729"/>
      <c r="D26" s="729"/>
      <c r="E26" s="729"/>
      <c r="F26" s="729"/>
      <c r="G26" s="729"/>
    </row>
    <row r="27" spans="1:7" x14ac:dyDescent="0.25">
      <c r="A27" s="726"/>
      <c r="B27" s="729"/>
      <c r="C27" s="729"/>
      <c r="D27" s="729"/>
      <c r="E27" s="729"/>
      <c r="F27" s="729"/>
      <c r="G27" s="729"/>
    </row>
    <row r="28" spans="1:7" x14ac:dyDescent="0.25">
      <c r="A28" s="726"/>
      <c r="B28" s="729"/>
      <c r="C28" s="729"/>
      <c r="D28" s="729"/>
      <c r="E28" s="729"/>
      <c r="F28" s="729"/>
      <c r="G28" s="729"/>
    </row>
    <row r="29" spans="1:7" x14ac:dyDescent="0.25">
      <c r="A29" s="726"/>
      <c r="B29" s="729"/>
      <c r="C29" s="729"/>
      <c r="D29" s="729"/>
      <c r="E29" s="729"/>
      <c r="F29" s="729"/>
      <c r="G29" s="729"/>
    </row>
    <row r="30" spans="1:7" x14ac:dyDescent="0.25">
      <c r="A30" s="726"/>
      <c r="B30" s="729"/>
      <c r="C30" s="729"/>
      <c r="D30" s="729"/>
      <c r="E30" s="729"/>
      <c r="F30" s="729"/>
      <c r="G30" s="729"/>
    </row>
    <row r="31" spans="1:7" x14ac:dyDescent="0.25">
      <c r="A31" s="726"/>
      <c r="B31" s="729"/>
      <c r="C31" s="729"/>
      <c r="D31" s="729"/>
      <c r="E31" s="729"/>
      <c r="F31" s="729"/>
      <c r="G31" s="729"/>
    </row>
    <row r="32" spans="1:7" x14ac:dyDescent="0.25">
      <c r="A32" s="726"/>
      <c r="B32" s="729"/>
      <c r="C32" s="729"/>
      <c r="D32" s="729"/>
      <c r="E32" s="729"/>
      <c r="F32" s="729"/>
      <c r="G32" s="729"/>
    </row>
    <row r="33" spans="1:7" x14ac:dyDescent="0.25">
      <c r="A33" s="726"/>
      <c r="B33" s="729"/>
      <c r="C33" s="729"/>
      <c r="D33" s="729"/>
      <c r="E33" s="729"/>
      <c r="F33" s="729"/>
      <c r="G33" s="729"/>
    </row>
    <row r="34" spans="1:7" x14ac:dyDescent="0.25">
      <c r="A34" s="726"/>
      <c r="B34" s="729"/>
      <c r="C34" s="729"/>
      <c r="D34" s="729"/>
      <c r="E34" s="729"/>
      <c r="F34" s="729"/>
      <c r="G34" s="729"/>
    </row>
    <row r="35" spans="1:7" x14ac:dyDescent="0.25">
      <c r="A35" s="726"/>
    </row>
    <row r="36" spans="1:7" x14ac:dyDescent="0.25">
      <c r="A36" s="726"/>
    </row>
    <row r="37" spans="1:7" x14ac:dyDescent="0.25">
      <c r="A37" s="726"/>
    </row>
  </sheetData>
  <sheetProtection sheet="1" formatCells="0" formatRows="0" autoFilter="0"/>
  <mergeCells count="2">
    <mergeCell ref="B3:D3"/>
    <mergeCell ref="B5:F5"/>
  </mergeCells>
  <pageMargins left="0.70866141732283461" right="0.70866141732283461" top="0.74803149606299213" bottom="0.74803149606299213" header="0.31496062992125984" footer="0.31496062992125984"/>
  <pageSetup paperSize="9" scale="61" orientation="portrait" r:id="rId1"/>
  <colBreaks count="1" manualBreakCount="1">
    <brk id="7" max="1048575"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filterMode="1">
    <tabColor theme="5" tint="0.39997558519241921"/>
  </sheetPr>
  <dimension ref="A1:I112"/>
  <sheetViews>
    <sheetView view="pageLayout" zoomScale="95" zoomScaleNormal="100" zoomScaleSheetLayoutView="78" zoomScalePageLayoutView="95" workbookViewId="0">
      <selection activeCell="A5" sqref="A5"/>
    </sheetView>
  </sheetViews>
  <sheetFormatPr defaultRowHeight="15" x14ac:dyDescent="0.25"/>
  <cols>
    <col min="1" max="1" width="10.5703125" bestFit="1" customWidth="1"/>
    <col min="5" max="5" width="9.140625" customWidth="1"/>
  </cols>
  <sheetData>
    <row r="1" spans="1:9" x14ac:dyDescent="0.25">
      <c r="A1" t="s">
        <v>2563</v>
      </c>
      <c r="C1">
        <f>Данные!C5</f>
        <v>5903</v>
      </c>
    </row>
    <row r="2" spans="1:9" x14ac:dyDescent="0.25">
      <c r="A2" t="s">
        <v>33</v>
      </c>
      <c r="C2" t="str">
        <f>ФИО</f>
        <v>Иванова Е.П.</v>
      </c>
    </row>
    <row r="3" spans="1:9" x14ac:dyDescent="0.25">
      <c r="A3" t="s">
        <v>2085</v>
      </c>
      <c r="C3" s="836" t="str">
        <f>Данные!C22</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c r="D3" s="836"/>
      <c r="E3" s="836"/>
      <c r="F3" s="836"/>
      <c r="G3" s="836"/>
      <c r="H3" s="836"/>
      <c r="I3" s="836"/>
    </row>
    <row r="4" spans="1:9" s="5" customFormat="1" ht="38.25" customHeight="1" x14ac:dyDescent="0.25">
      <c r="C4" s="836"/>
      <c r="D4" s="836"/>
      <c r="E4" s="836"/>
      <c r="F4" s="836"/>
      <c r="G4" s="836"/>
      <c r="H4" s="836"/>
      <c r="I4" s="836"/>
    </row>
    <row r="5" spans="1:9" x14ac:dyDescent="0.25">
      <c r="A5" s="686" t="s">
        <v>2531</v>
      </c>
      <c r="B5" s="1038" t="s">
        <v>2506</v>
      </c>
      <c r="C5" s="1038"/>
      <c r="D5" s="1038"/>
      <c r="E5" s="685" t="s">
        <v>2533</v>
      </c>
      <c r="F5" s="686" t="s">
        <v>2532</v>
      </c>
      <c r="G5" s="857" t="s">
        <v>2534</v>
      </c>
      <c r="H5" s="1038"/>
      <c r="I5" s="685" t="s">
        <v>2533</v>
      </c>
    </row>
    <row r="6" spans="1:9" x14ac:dyDescent="0.25">
      <c r="A6" s="666">
        <f>дата_поступления</f>
        <v>42592</v>
      </c>
      <c r="B6" s="848"/>
      <c r="C6" s="848"/>
      <c r="D6" s="848"/>
      <c r="E6" s="5"/>
      <c r="F6" s="666">
        <f>дата_поступления</f>
        <v>42592</v>
      </c>
      <c r="G6" s="853" t="s">
        <v>2724</v>
      </c>
      <c r="H6" s="853"/>
      <c r="I6" s="5"/>
    </row>
    <row r="7" spans="1:9" s="5" customFormat="1" x14ac:dyDescent="0.25">
      <c r="B7" s="848"/>
      <c r="C7" s="848"/>
      <c r="D7" s="848"/>
      <c r="F7" s="666">
        <f>дата_поступления</f>
        <v>42592</v>
      </c>
      <c r="G7" s="849"/>
      <c r="H7" s="849"/>
    </row>
    <row r="8" spans="1:9" ht="15" customHeight="1" x14ac:dyDescent="0.25">
      <c r="B8" s="851"/>
      <c r="C8" s="851"/>
      <c r="D8" s="851"/>
      <c r="E8" s="5"/>
      <c r="F8" s="666"/>
      <c r="G8" s="851"/>
      <c r="H8" s="851"/>
      <c r="I8" s="5"/>
    </row>
    <row r="9" spans="1:9" ht="15" hidden="1" customHeight="1" x14ac:dyDescent="0.25">
      <c r="B9" s="851" t="s">
        <v>2538</v>
      </c>
      <c r="C9" s="851"/>
      <c r="D9" s="851"/>
      <c r="G9" s="849"/>
      <c r="H9" s="849"/>
    </row>
    <row r="10" spans="1:9" ht="15" hidden="1" customHeight="1" x14ac:dyDescent="0.25">
      <c r="B10" s="851" t="s">
        <v>2539</v>
      </c>
      <c r="C10" s="851"/>
      <c r="D10" s="851"/>
      <c r="G10" s="849"/>
      <c r="H10" s="849"/>
    </row>
    <row r="11" spans="1:9" ht="28.5" customHeight="1" x14ac:dyDescent="0.25">
      <c r="B11" s="855" t="s">
        <v>2535</v>
      </c>
      <c r="C11" s="855"/>
      <c r="D11" s="855"/>
      <c r="G11" s="849"/>
      <c r="H11" s="849"/>
    </row>
    <row r="12" spans="1:9" ht="15" hidden="1" customHeight="1" x14ac:dyDescent="0.25">
      <c r="B12" s="851" t="s">
        <v>2536</v>
      </c>
      <c r="C12" s="851"/>
      <c r="D12" s="851"/>
      <c r="G12" s="849"/>
      <c r="H12" s="849"/>
    </row>
    <row r="13" spans="1:9" ht="30" hidden="1" customHeight="1" x14ac:dyDescent="0.25">
      <c r="B13" s="855" t="s">
        <v>2540</v>
      </c>
      <c r="C13" s="855"/>
      <c r="D13" s="855"/>
      <c r="G13" s="849"/>
      <c r="H13" s="849"/>
    </row>
    <row r="14" spans="1:9" ht="15" hidden="1" customHeight="1" x14ac:dyDescent="0.25">
      <c r="B14" s="851" t="s">
        <v>2675</v>
      </c>
      <c r="C14" s="851"/>
      <c r="D14" s="851"/>
      <c r="G14" s="849"/>
      <c r="H14" s="849"/>
    </row>
    <row r="15" spans="1:9" ht="15" hidden="1" customHeight="1" x14ac:dyDescent="0.25">
      <c r="B15" s="851" t="s">
        <v>2541</v>
      </c>
      <c r="C15" s="851"/>
      <c r="D15" s="851"/>
      <c r="G15" s="849"/>
      <c r="H15" s="849"/>
    </row>
    <row r="16" spans="1:9" ht="31.5" hidden="1" customHeight="1" x14ac:dyDescent="0.25">
      <c r="B16" s="855" t="s">
        <v>2542</v>
      </c>
      <c r="C16" s="855"/>
      <c r="D16" s="855"/>
      <c r="G16" s="849"/>
      <c r="H16" s="849"/>
    </row>
    <row r="17" spans="2:8" ht="15" hidden="1" customHeight="1" x14ac:dyDescent="0.25">
      <c r="B17" s="851" t="s">
        <v>2553</v>
      </c>
      <c r="C17" s="851"/>
      <c r="D17" s="851"/>
      <c r="G17" s="849"/>
      <c r="H17" s="849"/>
    </row>
    <row r="18" spans="2:8" ht="15" customHeight="1" x14ac:dyDescent="0.25">
      <c r="B18" s="851" t="s">
        <v>2543</v>
      </c>
      <c r="C18" s="851"/>
      <c r="D18" s="851"/>
      <c r="G18" s="849"/>
      <c r="H18" s="849"/>
    </row>
    <row r="19" spans="2:8" ht="30.75" hidden="1" customHeight="1" x14ac:dyDescent="0.25">
      <c r="B19" s="855" t="s">
        <v>2544</v>
      </c>
      <c r="C19" s="855"/>
      <c r="D19" s="855"/>
      <c r="G19" s="849"/>
      <c r="H19" s="849"/>
    </row>
    <row r="20" spans="2:8" ht="15" customHeight="1" x14ac:dyDescent="0.25">
      <c r="B20" s="851" t="s">
        <v>2701</v>
      </c>
      <c r="C20" s="851"/>
      <c r="D20" s="851"/>
      <c r="G20" s="849"/>
      <c r="H20" s="849"/>
    </row>
    <row r="21" spans="2:8" ht="15" hidden="1" customHeight="1" x14ac:dyDescent="0.25">
      <c r="B21" s="851" t="s">
        <v>2545</v>
      </c>
      <c r="C21" s="851"/>
      <c r="D21" s="851"/>
      <c r="G21" s="849"/>
      <c r="H21" s="849"/>
    </row>
    <row r="22" spans="2:8" ht="15" hidden="1" customHeight="1" x14ac:dyDescent="0.25">
      <c r="B22" s="851" t="s">
        <v>2546</v>
      </c>
      <c r="C22" s="851"/>
      <c r="D22" s="851"/>
      <c r="G22" s="849"/>
      <c r="H22" s="849"/>
    </row>
    <row r="23" spans="2:8" ht="29.25" hidden="1" customHeight="1" x14ac:dyDescent="0.25">
      <c r="B23" s="855" t="s">
        <v>2547</v>
      </c>
      <c r="C23" s="855"/>
      <c r="D23" s="855"/>
      <c r="G23" s="849"/>
      <c r="H23" s="849"/>
    </row>
    <row r="24" spans="2:8" ht="28.5" hidden="1" customHeight="1" x14ac:dyDescent="0.25">
      <c r="B24" s="855" t="s">
        <v>2548</v>
      </c>
      <c r="C24" s="855"/>
      <c r="D24" s="855"/>
      <c r="G24" s="849"/>
      <c r="H24" s="849"/>
    </row>
    <row r="25" spans="2:8" ht="37.5" hidden="1" customHeight="1" x14ac:dyDescent="0.25">
      <c r="B25" s="855" t="s">
        <v>2549</v>
      </c>
      <c r="C25" s="855"/>
      <c r="D25" s="855"/>
      <c r="G25" s="849"/>
      <c r="H25" s="849"/>
    </row>
    <row r="26" spans="2:8" ht="28.5" hidden="1" customHeight="1" x14ac:dyDescent="0.25">
      <c r="B26" s="855" t="s">
        <v>2550</v>
      </c>
      <c r="C26" s="855"/>
      <c r="D26" s="855"/>
      <c r="G26" s="849"/>
      <c r="H26" s="849"/>
    </row>
    <row r="27" spans="2:8" ht="30" hidden="1" customHeight="1" x14ac:dyDescent="0.25">
      <c r="B27" s="855" t="s">
        <v>2551</v>
      </c>
      <c r="C27" s="855"/>
      <c r="D27" s="855"/>
      <c r="G27" s="849"/>
      <c r="H27" s="849"/>
    </row>
    <row r="28" spans="2:8" ht="31.5" hidden="1" customHeight="1" x14ac:dyDescent="0.25">
      <c r="B28" s="855" t="s">
        <v>2552</v>
      </c>
      <c r="C28" s="855"/>
      <c r="D28" s="855"/>
      <c r="G28" s="849"/>
      <c r="H28" s="849"/>
    </row>
    <row r="29" spans="2:8" hidden="1" x14ac:dyDescent="0.25">
      <c r="B29" s="851" t="s">
        <v>2680</v>
      </c>
      <c r="C29" s="851"/>
      <c r="D29" s="851"/>
      <c r="G29" s="849"/>
      <c r="H29" s="849"/>
    </row>
    <row r="30" spans="2:8" hidden="1" x14ac:dyDescent="0.25">
      <c r="B30" s="851" t="s">
        <v>2681</v>
      </c>
      <c r="C30" s="851"/>
      <c r="D30" s="851"/>
      <c r="G30" s="849"/>
      <c r="H30" s="849"/>
    </row>
    <row r="31" spans="2:8" x14ac:dyDescent="0.25">
      <c r="B31" s="851"/>
      <c r="C31" s="851"/>
      <c r="D31" s="851"/>
      <c r="G31" s="849"/>
      <c r="H31" s="849"/>
    </row>
    <row r="32" spans="2:8" x14ac:dyDescent="0.25">
      <c r="B32" s="851"/>
      <c r="C32" s="851"/>
      <c r="D32" s="851"/>
      <c r="G32" s="849"/>
      <c r="H32" s="849"/>
    </row>
    <row r="33" spans="2:8" x14ac:dyDescent="0.25">
      <c r="B33" s="851"/>
      <c r="C33" s="851"/>
      <c r="D33" s="851"/>
    </row>
    <row r="34" spans="2:8" x14ac:dyDescent="0.25">
      <c r="B34" s="851"/>
      <c r="C34" s="851"/>
      <c r="D34" s="851"/>
      <c r="G34" s="849"/>
      <c r="H34" s="849"/>
    </row>
    <row r="35" spans="2:8" x14ac:dyDescent="0.25">
      <c r="B35" s="851"/>
      <c r="C35" s="851"/>
      <c r="D35" s="851"/>
      <c r="G35" s="849"/>
      <c r="H35" s="849"/>
    </row>
    <row r="36" spans="2:8" s="5" customFormat="1" x14ac:dyDescent="0.25">
      <c r="B36" s="851"/>
      <c r="C36" s="851"/>
      <c r="D36" s="851"/>
      <c r="G36" s="849"/>
      <c r="H36" s="849"/>
    </row>
    <row r="37" spans="2:8" s="5" customFormat="1" x14ac:dyDescent="0.25">
      <c r="B37" s="851"/>
      <c r="C37" s="851"/>
      <c r="D37" s="851"/>
      <c r="G37" s="849"/>
      <c r="H37" s="849"/>
    </row>
    <row r="38" spans="2:8" s="5" customFormat="1" x14ac:dyDescent="0.25">
      <c r="B38" s="851"/>
      <c r="C38" s="851"/>
      <c r="D38" s="851"/>
      <c r="G38" s="849"/>
      <c r="H38" s="849"/>
    </row>
    <row r="39" spans="2:8" s="5" customFormat="1" x14ac:dyDescent="0.25">
      <c r="B39" s="851"/>
      <c r="C39" s="851"/>
      <c r="D39" s="851"/>
      <c r="G39" s="849"/>
      <c r="H39" s="849"/>
    </row>
    <row r="40" spans="2:8" s="5" customFormat="1" x14ac:dyDescent="0.25">
      <c r="B40" s="851"/>
      <c r="C40" s="851"/>
      <c r="D40" s="851"/>
      <c r="G40" s="849"/>
      <c r="H40" s="849"/>
    </row>
    <row r="41" spans="2:8" s="5" customFormat="1" x14ac:dyDescent="0.25">
      <c r="B41" s="851"/>
      <c r="C41" s="851"/>
      <c r="D41" s="851"/>
      <c r="G41" s="849"/>
      <c r="H41" s="849"/>
    </row>
    <row r="42" spans="2:8" s="5" customFormat="1" x14ac:dyDescent="0.25">
      <c r="B42" s="851"/>
      <c r="C42" s="851"/>
      <c r="D42" s="851"/>
      <c r="G42" s="849"/>
      <c r="H42" s="849"/>
    </row>
    <row r="43" spans="2:8" s="5" customFormat="1" x14ac:dyDescent="0.25">
      <c r="B43" s="851"/>
      <c r="C43" s="851"/>
      <c r="D43" s="851"/>
      <c r="G43" s="849"/>
      <c r="H43" s="849"/>
    </row>
    <row r="44" spans="2:8" s="5" customFormat="1" x14ac:dyDescent="0.25">
      <c r="B44" s="851"/>
      <c r="C44" s="851"/>
      <c r="D44" s="851"/>
      <c r="G44" s="849"/>
      <c r="H44" s="849"/>
    </row>
    <row r="45" spans="2:8" s="5" customFormat="1" x14ac:dyDescent="0.25">
      <c r="B45" s="851"/>
      <c r="C45" s="851"/>
      <c r="D45" s="851"/>
      <c r="G45" s="849"/>
      <c r="H45" s="849"/>
    </row>
    <row r="46" spans="2:8" s="5" customFormat="1" x14ac:dyDescent="0.25">
      <c r="B46" s="851"/>
      <c r="C46" s="851"/>
      <c r="D46" s="851"/>
      <c r="G46" s="849"/>
      <c r="H46" s="849"/>
    </row>
    <row r="47" spans="2:8" s="5" customFormat="1" x14ac:dyDescent="0.25">
      <c r="B47" s="851"/>
      <c r="C47" s="851"/>
      <c r="D47" s="851"/>
      <c r="G47" s="849"/>
      <c r="H47" s="849"/>
    </row>
    <row r="48" spans="2:8" s="5" customFormat="1" x14ac:dyDescent="0.25">
      <c r="B48" s="851"/>
      <c r="C48" s="851"/>
      <c r="D48" s="851"/>
      <c r="G48" s="849"/>
      <c r="H48" s="849"/>
    </row>
    <row r="49" spans="1:8" s="5" customFormat="1" x14ac:dyDescent="0.25">
      <c r="B49" s="851"/>
      <c r="C49" s="851"/>
      <c r="D49" s="851"/>
      <c r="G49" s="849"/>
      <c r="H49" s="849"/>
    </row>
    <row r="50" spans="1:8" s="5" customFormat="1" x14ac:dyDescent="0.25">
      <c r="B50" s="851"/>
      <c r="C50" s="851"/>
      <c r="D50" s="851"/>
      <c r="G50" s="849"/>
      <c r="H50" s="849"/>
    </row>
    <row r="51" spans="1:8" s="5" customFormat="1" x14ac:dyDescent="0.25">
      <c r="B51" s="851"/>
      <c r="C51" s="851"/>
      <c r="D51" s="851"/>
      <c r="G51" s="849"/>
      <c r="H51" s="849"/>
    </row>
    <row r="52" spans="1:8" s="5" customFormat="1" x14ac:dyDescent="0.25">
      <c r="B52" s="851"/>
      <c r="C52" s="851"/>
      <c r="D52" s="851"/>
      <c r="G52" s="849"/>
      <c r="H52" s="849"/>
    </row>
    <row r="53" spans="1:8" s="5" customFormat="1" x14ac:dyDescent="0.25">
      <c r="B53" s="851"/>
      <c r="C53" s="851"/>
      <c r="D53" s="851"/>
      <c r="G53" s="849"/>
      <c r="H53" s="849"/>
    </row>
    <row r="54" spans="1:8" s="5" customFormat="1" x14ac:dyDescent="0.25">
      <c r="B54" s="851"/>
      <c r="C54" s="851"/>
      <c r="D54" s="851"/>
      <c r="G54" s="849"/>
      <c r="H54" s="849"/>
    </row>
    <row r="55" spans="1:8" s="5" customFormat="1" x14ac:dyDescent="0.25">
      <c r="B55" s="851"/>
      <c r="C55" s="851"/>
      <c r="D55" s="851"/>
      <c r="G55" s="849"/>
      <c r="H55" s="849"/>
    </row>
    <row r="56" spans="1:8" s="5" customFormat="1" x14ac:dyDescent="0.25">
      <c r="B56" s="851"/>
      <c r="C56" s="851"/>
      <c r="D56" s="851"/>
      <c r="G56" s="849"/>
      <c r="H56" s="849"/>
    </row>
    <row r="57" spans="1:8" s="5" customFormat="1" x14ac:dyDescent="0.25">
      <c r="B57" s="851"/>
      <c r="C57" s="851"/>
      <c r="D57" s="851"/>
      <c r="G57" s="849"/>
      <c r="H57" s="849"/>
    </row>
    <row r="58" spans="1:8" s="5" customFormat="1" x14ac:dyDescent="0.25">
      <c r="B58" s="851"/>
      <c r="C58" s="851"/>
      <c r="D58" s="851"/>
      <c r="G58" s="849"/>
      <c r="H58" s="849"/>
    </row>
    <row r="59" spans="1:8" s="5" customFormat="1" x14ac:dyDescent="0.25">
      <c r="B59" s="851"/>
      <c r="C59" s="851"/>
      <c r="D59" s="851"/>
      <c r="G59" s="849"/>
      <c r="H59" s="849"/>
    </row>
    <row r="60" spans="1:8" x14ac:dyDescent="0.25">
      <c r="A60" s="5"/>
      <c r="B60" s="851" t="s">
        <v>2725</v>
      </c>
      <c r="C60" s="851"/>
      <c r="D60" s="851"/>
      <c r="E60" s="5"/>
      <c r="F60" s="5"/>
      <c r="G60" s="849"/>
      <c r="H60" s="849"/>
    </row>
    <row r="61" spans="1:8" x14ac:dyDescent="0.25">
      <c r="A61" s="5" t="s">
        <v>2517</v>
      </c>
      <c r="B61" s="5"/>
      <c r="C61" s="5"/>
      <c r="D61" s="5" t="s">
        <v>2422</v>
      </c>
      <c r="E61" s="5" t="str">
        <f>Лечащий_врач</f>
        <v>Еременко А. Н.</v>
      </c>
      <c r="F61" s="5"/>
      <c r="G61" s="5" t="s">
        <v>2462</v>
      </c>
      <c r="H61" s="5"/>
    </row>
    <row r="62" spans="1:8" s="5" customFormat="1" x14ac:dyDescent="0.25">
      <c r="B62" s="688"/>
      <c r="C62" s="688"/>
      <c r="D62" s="688"/>
      <c r="G62" s="688"/>
      <c r="H62" s="688"/>
    </row>
    <row r="64" spans="1:8" x14ac:dyDescent="0.25">
      <c r="A64" s="852" t="s">
        <v>2072</v>
      </c>
      <c r="B64" s="853"/>
      <c r="C64" s="689">
        <f>дата_поступления</f>
        <v>42592</v>
      </c>
    </row>
    <row r="65" spans="1:3" ht="15.75" x14ac:dyDescent="0.25">
      <c r="A65" s="852" t="s">
        <v>2507</v>
      </c>
      <c r="B65" s="853"/>
      <c r="C65" s="702" t="s">
        <v>2564</v>
      </c>
    </row>
    <row r="66" spans="1:3" ht="15.75" x14ac:dyDescent="0.25">
      <c r="A66" s="852" t="s">
        <v>2508</v>
      </c>
      <c r="B66" s="853"/>
      <c r="C66" s="702" t="s">
        <v>2564</v>
      </c>
    </row>
    <row r="67" spans="1:3" ht="15.75" x14ac:dyDescent="0.25">
      <c r="A67" s="852" t="s">
        <v>2509</v>
      </c>
      <c r="B67" s="853"/>
      <c r="C67" s="702"/>
    </row>
    <row r="68" spans="1:3" ht="15.75" x14ac:dyDescent="0.25">
      <c r="A68" s="852" t="s">
        <v>2510</v>
      </c>
      <c r="B68" s="853"/>
      <c r="C68" s="702"/>
    </row>
    <row r="69" spans="1:3" ht="15.75" x14ac:dyDescent="0.25">
      <c r="A69" s="852" t="s">
        <v>2511</v>
      </c>
      <c r="B69" s="853"/>
      <c r="C69" s="702"/>
    </row>
    <row r="70" spans="1:3" ht="15.75" x14ac:dyDescent="0.25">
      <c r="A70" s="852" t="s">
        <v>2512</v>
      </c>
      <c r="B70" s="853"/>
      <c r="C70" s="702" t="s">
        <v>2564</v>
      </c>
    </row>
    <row r="71" spans="1:3" ht="15.75" x14ac:dyDescent="0.25">
      <c r="A71" s="852" t="s">
        <v>2513</v>
      </c>
      <c r="B71" s="853"/>
      <c r="C71" s="702" t="s">
        <v>2564</v>
      </c>
    </row>
    <row r="72" spans="1:3" ht="15.75" x14ac:dyDescent="0.25">
      <c r="A72" s="852" t="s">
        <v>2514</v>
      </c>
      <c r="B72" s="853"/>
      <c r="C72" s="702" t="s">
        <v>2564</v>
      </c>
    </row>
    <row r="73" spans="1:3" ht="15.75" x14ac:dyDescent="0.25">
      <c r="A73" s="852" t="s">
        <v>2525</v>
      </c>
      <c r="B73" s="853"/>
      <c r="C73" s="702" t="s">
        <v>2564</v>
      </c>
    </row>
    <row r="74" spans="1:3" ht="15.75" x14ac:dyDescent="0.25">
      <c r="A74" s="852" t="s">
        <v>2515</v>
      </c>
      <c r="B74" s="853"/>
      <c r="C74" s="702" t="s">
        <v>2564</v>
      </c>
    </row>
    <row r="75" spans="1:3" ht="15" customHeight="1" x14ac:dyDescent="0.25">
      <c r="A75" s="852" t="s">
        <v>2516</v>
      </c>
      <c r="B75" s="853"/>
      <c r="C75" s="702" t="s">
        <v>2564</v>
      </c>
    </row>
    <row r="76" spans="1:3" ht="15.75" x14ac:dyDescent="0.25">
      <c r="A76" s="852" t="s">
        <v>2518</v>
      </c>
      <c r="B76" s="853"/>
      <c r="C76" s="702" t="s">
        <v>2564</v>
      </c>
    </row>
    <row r="77" spans="1:3" ht="15.75" x14ac:dyDescent="0.25">
      <c r="A77" s="852" t="s">
        <v>2212</v>
      </c>
      <c r="B77" s="853"/>
      <c r="C77" s="702"/>
    </row>
    <row r="78" spans="1:3" ht="15.75" x14ac:dyDescent="0.25">
      <c r="A78" s="852" t="s">
        <v>1435</v>
      </c>
      <c r="B78" s="853"/>
      <c r="C78" s="702" t="s">
        <v>2564</v>
      </c>
    </row>
    <row r="79" spans="1:3" ht="15.75" x14ac:dyDescent="0.25">
      <c r="A79" s="852" t="s">
        <v>2519</v>
      </c>
      <c r="B79" s="853"/>
      <c r="C79" s="702"/>
    </row>
    <row r="80" spans="1:3" ht="15.75" x14ac:dyDescent="0.25">
      <c r="A80" s="852" t="s">
        <v>2520</v>
      </c>
      <c r="B80" s="853"/>
      <c r="C80" s="702"/>
    </row>
    <row r="81" spans="1:3" ht="15.75" x14ac:dyDescent="0.25">
      <c r="A81" s="852" t="s">
        <v>2521</v>
      </c>
      <c r="B81" s="853"/>
      <c r="C81" s="702"/>
    </row>
    <row r="82" spans="1:3" ht="15.75" x14ac:dyDescent="0.25">
      <c r="A82" s="852" t="s">
        <v>2522</v>
      </c>
      <c r="B82" s="853"/>
      <c r="C82" s="702"/>
    </row>
    <row r="83" spans="1:3" ht="15.75" x14ac:dyDescent="0.25">
      <c r="A83" s="852" t="s">
        <v>145</v>
      </c>
      <c r="B83" s="853"/>
      <c r="C83" s="702" t="s">
        <v>2564</v>
      </c>
    </row>
    <row r="84" spans="1:3" ht="15.75" x14ac:dyDescent="0.25">
      <c r="A84" s="852" t="s">
        <v>2523</v>
      </c>
      <c r="B84" s="853"/>
      <c r="C84" s="702"/>
    </row>
    <row r="85" spans="1:3" ht="15.75" x14ac:dyDescent="0.25">
      <c r="A85" s="852" t="s">
        <v>2527</v>
      </c>
      <c r="B85" s="853"/>
      <c r="C85" s="702"/>
    </row>
    <row r="86" spans="1:3" ht="15.75" x14ac:dyDescent="0.25">
      <c r="A86" s="852" t="s">
        <v>2526</v>
      </c>
      <c r="B86" s="853"/>
      <c r="C86" s="702"/>
    </row>
    <row r="87" spans="1:3" ht="15.75" x14ac:dyDescent="0.25">
      <c r="A87" s="854" t="s">
        <v>2528</v>
      </c>
      <c r="B87" s="851"/>
      <c r="C87" s="702"/>
    </row>
    <row r="88" spans="1:3" ht="15.75" x14ac:dyDescent="0.25">
      <c r="A88" s="854" t="s">
        <v>2524</v>
      </c>
      <c r="B88" s="851"/>
      <c r="C88" s="702"/>
    </row>
    <row r="89" spans="1:3" ht="15.75" x14ac:dyDescent="0.25">
      <c r="A89" s="851" t="s">
        <v>2450</v>
      </c>
      <c r="B89" s="851"/>
      <c r="C89" s="702" t="s">
        <v>2564</v>
      </c>
    </row>
    <row r="90" spans="1:3" ht="15.75" x14ac:dyDescent="0.25">
      <c r="A90" s="851" t="s">
        <v>2529</v>
      </c>
      <c r="B90" s="851"/>
      <c r="C90" s="702"/>
    </row>
    <row r="91" spans="1:3" ht="15.75" x14ac:dyDescent="0.25">
      <c r="A91" s="851" t="s">
        <v>2530</v>
      </c>
      <c r="B91" s="851"/>
      <c r="C91" s="702"/>
    </row>
    <row r="92" spans="1:3" ht="15.75" x14ac:dyDescent="0.25">
      <c r="A92" s="851" t="s">
        <v>1889</v>
      </c>
      <c r="B92" s="851"/>
      <c r="C92" s="702"/>
    </row>
    <row r="93" spans="1:3" ht="15.75" x14ac:dyDescent="0.25">
      <c r="A93" s="851" t="s">
        <v>2565</v>
      </c>
      <c r="B93" s="851"/>
      <c r="C93" s="702"/>
    </row>
    <row r="94" spans="1:3" ht="15.75" x14ac:dyDescent="0.25">
      <c r="A94" s="851" t="s">
        <v>2647</v>
      </c>
      <c r="B94" s="851"/>
      <c r="C94" s="702"/>
    </row>
    <row r="95" spans="1:3" x14ac:dyDescent="0.25">
      <c r="A95" s="849"/>
      <c r="B95" s="849"/>
      <c r="C95" s="564"/>
    </row>
    <row r="96" spans="1:3" x14ac:dyDescent="0.25">
      <c r="A96" s="849"/>
      <c r="B96" s="849"/>
      <c r="C96" s="564"/>
    </row>
    <row r="97" spans="1:3" x14ac:dyDescent="0.25">
      <c r="A97" s="849"/>
      <c r="B97" s="849"/>
      <c r="C97" s="564"/>
    </row>
    <row r="98" spans="1:3" x14ac:dyDescent="0.25">
      <c r="A98" s="849"/>
      <c r="B98" s="849"/>
      <c r="C98" s="564"/>
    </row>
    <row r="99" spans="1:3" x14ac:dyDescent="0.25">
      <c r="A99" s="849"/>
      <c r="B99" s="849"/>
      <c r="C99" s="564"/>
    </row>
    <row r="100" spans="1:3" x14ac:dyDescent="0.25">
      <c r="A100" s="849"/>
      <c r="B100" s="849"/>
      <c r="C100" s="564"/>
    </row>
    <row r="101" spans="1:3" x14ac:dyDescent="0.25">
      <c r="A101" s="849"/>
      <c r="B101" s="849"/>
      <c r="C101" s="564"/>
    </row>
    <row r="102" spans="1:3" x14ac:dyDescent="0.25">
      <c r="A102" s="849"/>
      <c r="B102" s="849"/>
      <c r="C102" s="564"/>
    </row>
    <row r="103" spans="1:3" x14ac:dyDescent="0.25">
      <c r="A103" s="849"/>
      <c r="B103" s="849"/>
      <c r="C103" s="564"/>
    </row>
    <row r="104" spans="1:3" x14ac:dyDescent="0.25">
      <c r="A104" s="849"/>
      <c r="B104" s="849"/>
      <c r="C104" s="564"/>
    </row>
    <row r="105" spans="1:3" x14ac:dyDescent="0.25">
      <c r="A105" s="849"/>
      <c r="B105" s="849"/>
      <c r="C105" s="564"/>
    </row>
    <row r="106" spans="1:3" x14ac:dyDescent="0.25">
      <c r="A106" s="849"/>
      <c r="B106" s="849"/>
      <c r="C106" s="564"/>
    </row>
    <row r="107" spans="1:3" x14ac:dyDescent="0.25">
      <c r="A107" s="849"/>
      <c r="B107" s="849"/>
      <c r="C107" s="564"/>
    </row>
    <row r="108" spans="1:3" x14ac:dyDescent="0.25">
      <c r="A108" s="849"/>
      <c r="B108" s="849"/>
      <c r="C108" s="564"/>
    </row>
    <row r="109" spans="1:3" x14ac:dyDescent="0.25">
      <c r="A109" s="849"/>
      <c r="B109" s="849"/>
      <c r="C109" s="564"/>
    </row>
    <row r="110" spans="1:3" x14ac:dyDescent="0.25">
      <c r="A110" s="849"/>
      <c r="B110" s="849"/>
      <c r="C110" s="564"/>
    </row>
    <row r="111" spans="1:3" x14ac:dyDescent="0.25">
      <c r="A111" s="849"/>
      <c r="B111" s="849"/>
      <c r="C111" s="564"/>
    </row>
    <row r="112" spans="1:3" x14ac:dyDescent="0.25">
      <c r="A112" s="849"/>
      <c r="B112" s="849"/>
      <c r="C112" s="564"/>
    </row>
  </sheetData>
  <autoFilter ref="B8:D31">
    <filterColumn colId="0" showButton="0">
      <filters blank="1">
        <filter val="Diclofenac-3ml,в\м,х2 раза"/>
        <filter val="Drotaverinе-2мл,в\м х2 раза"/>
        <filter val="Levofloxacini-100ml, в\в кап.х1 раз"/>
      </filters>
    </filterColumn>
    <filterColumn colId="1" showButton="0"/>
  </autoFilter>
  <mergeCells count="161">
    <mergeCell ref="C3:I4"/>
    <mergeCell ref="G36:H36"/>
    <mergeCell ref="G37:H37"/>
    <mergeCell ref="G38:H38"/>
    <mergeCell ref="G39:H39"/>
    <mergeCell ref="G27:H27"/>
    <mergeCell ref="G28:H28"/>
    <mergeCell ref="G29:H29"/>
    <mergeCell ref="G35:H35"/>
    <mergeCell ref="G21:H21"/>
    <mergeCell ref="G24:H24"/>
    <mergeCell ref="G25:H25"/>
    <mergeCell ref="G26:H26"/>
    <mergeCell ref="G15:H15"/>
    <mergeCell ref="G16:H16"/>
    <mergeCell ref="G17:H17"/>
    <mergeCell ref="G18:H18"/>
    <mergeCell ref="G19:H19"/>
    <mergeCell ref="G20:H20"/>
    <mergeCell ref="G9:H9"/>
    <mergeCell ref="G10:H10"/>
    <mergeCell ref="G11:H11"/>
    <mergeCell ref="G12:H12"/>
    <mergeCell ref="G13:H13"/>
    <mergeCell ref="A111:B111"/>
    <mergeCell ref="A112:B112"/>
    <mergeCell ref="A64:B64"/>
    <mergeCell ref="A65:B65"/>
    <mergeCell ref="A69:B69"/>
    <mergeCell ref="A103:B103"/>
    <mergeCell ref="A104:B104"/>
    <mergeCell ref="A105:B105"/>
    <mergeCell ref="A108:B108"/>
    <mergeCell ref="A106:B106"/>
    <mergeCell ref="A102:B102"/>
    <mergeCell ref="A95:B95"/>
    <mergeCell ref="A96:B96"/>
    <mergeCell ref="A89:B89"/>
    <mergeCell ref="A109:B109"/>
    <mergeCell ref="A97:B97"/>
    <mergeCell ref="A110:B110"/>
    <mergeCell ref="A98:B98"/>
    <mergeCell ref="A99:B99"/>
    <mergeCell ref="A100:B100"/>
    <mergeCell ref="A101:B101"/>
    <mergeCell ref="A107:B107"/>
    <mergeCell ref="A87:B87"/>
    <mergeCell ref="A88:B88"/>
    <mergeCell ref="A93:B93"/>
    <mergeCell ref="A94:B94"/>
    <mergeCell ref="A81:B81"/>
    <mergeCell ref="A82:B82"/>
    <mergeCell ref="A83:B83"/>
    <mergeCell ref="A84:B84"/>
    <mergeCell ref="A85:B85"/>
    <mergeCell ref="A90:B90"/>
    <mergeCell ref="A91:B91"/>
    <mergeCell ref="A92:B92"/>
    <mergeCell ref="A68:B68"/>
    <mergeCell ref="A70:B70"/>
    <mergeCell ref="A71:B71"/>
    <mergeCell ref="A72:B72"/>
    <mergeCell ref="A73:B73"/>
    <mergeCell ref="A74:B74"/>
    <mergeCell ref="A86:B86"/>
    <mergeCell ref="A75:B75"/>
    <mergeCell ref="A76:B76"/>
    <mergeCell ref="A77:B77"/>
    <mergeCell ref="A78:B78"/>
    <mergeCell ref="A79:B79"/>
    <mergeCell ref="A80:B80"/>
    <mergeCell ref="A66:B66"/>
    <mergeCell ref="G40:H40"/>
    <mergeCell ref="G41:H41"/>
    <mergeCell ref="G42:H42"/>
    <mergeCell ref="B54:D54"/>
    <mergeCell ref="A67:B67"/>
    <mergeCell ref="B55:D55"/>
    <mergeCell ref="B56:D56"/>
    <mergeCell ref="B57:D57"/>
    <mergeCell ref="B42:D42"/>
    <mergeCell ref="B40:D40"/>
    <mergeCell ref="B41:D41"/>
    <mergeCell ref="B58:D58"/>
    <mergeCell ref="B53:D53"/>
    <mergeCell ref="B51:D51"/>
    <mergeCell ref="B48:D48"/>
    <mergeCell ref="G59:H59"/>
    <mergeCell ref="G53:H53"/>
    <mergeCell ref="G54:H54"/>
    <mergeCell ref="G55:H55"/>
    <mergeCell ref="G51:H51"/>
    <mergeCell ref="G56:H56"/>
    <mergeCell ref="G57:H57"/>
    <mergeCell ref="G50:H50"/>
    <mergeCell ref="G60:H60"/>
    <mergeCell ref="G30:H30"/>
    <mergeCell ref="G31:H31"/>
    <mergeCell ref="G32:H32"/>
    <mergeCell ref="G34:H34"/>
    <mergeCell ref="G43:H43"/>
    <mergeCell ref="G44:H44"/>
    <mergeCell ref="G45:H45"/>
    <mergeCell ref="G49:H49"/>
    <mergeCell ref="G58:H58"/>
    <mergeCell ref="G46:H46"/>
    <mergeCell ref="G52:H52"/>
    <mergeCell ref="G47:H47"/>
    <mergeCell ref="G48:H48"/>
    <mergeCell ref="G14:H14"/>
    <mergeCell ref="G22:H22"/>
    <mergeCell ref="G23:H23"/>
    <mergeCell ref="B28:D28"/>
    <mergeCell ref="B29:D29"/>
    <mergeCell ref="B30:D30"/>
    <mergeCell ref="B34:D34"/>
    <mergeCell ref="B35:D35"/>
    <mergeCell ref="B60:D60"/>
    <mergeCell ref="B59:D59"/>
    <mergeCell ref="B31:D31"/>
    <mergeCell ref="B32:D32"/>
    <mergeCell ref="B33:D33"/>
    <mergeCell ref="B43:D43"/>
    <mergeCell ref="B44:D44"/>
    <mergeCell ref="B45:D45"/>
    <mergeCell ref="B47:D47"/>
    <mergeCell ref="B39:D39"/>
    <mergeCell ref="B36:D36"/>
    <mergeCell ref="B37:D37"/>
    <mergeCell ref="B38:D38"/>
    <mergeCell ref="B49:D49"/>
    <mergeCell ref="B50:D50"/>
    <mergeCell ref="B46:D46"/>
    <mergeCell ref="B52:D52"/>
    <mergeCell ref="B19:D19"/>
    <mergeCell ref="B20:D20"/>
    <mergeCell ref="B21:D21"/>
    <mergeCell ref="B22:D22"/>
    <mergeCell ref="B23:D23"/>
    <mergeCell ref="B24:D24"/>
    <mergeCell ref="B25:D25"/>
    <mergeCell ref="B26:D26"/>
    <mergeCell ref="B27:D27"/>
    <mergeCell ref="B10:D10"/>
    <mergeCell ref="B11:D11"/>
    <mergeCell ref="B12:D12"/>
    <mergeCell ref="B13:D13"/>
    <mergeCell ref="B14:D14"/>
    <mergeCell ref="B15:D15"/>
    <mergeCell ref="B16:D16"/>
    <mergeCell ref="B17:D17"/>
    <mergeCell ref="B18:D18"/>
    <mergeCell ref="G5:H5"/>
    <mergeCell ref="G6:H6"/>
    <mergeCell ref="G8:H8"/>
    <mergeCell ref="G7:H7"/>
    <mergeCell ref="B7:D7"/>
    <mergeCell ref="B5:D5"/>
    <mergeCell ref="B8:D8"/>
    <mergeCell ref="B6:D6"/>
    <mergeCell ref="B9:D9"/>
  </mergeCells>
  <dataValidations count="2">
    <dataValidation type="list" allowBlank="1" showInputMessage="1" showErrorMessage="1" sqref="G8:H32">
      <formula1>INDIRECT("Таблица4[Таблетки]")</formula1>
    </dataValidation>
    <dataValidation type="list" allowBlank="1" showInputMessage="1" showErrorMessage="1" sqref="C65:C94">
      <formula1>INDIRECT("Таблица124[Столбец1]")</formula1>
    </dataValidation>
  </dataValidations>
  <printOptions horizontalCentered="1" gridLines="1"/>
  <pageMargins left="0.70866141732283472" right="0.70866141732283472" top="0.74803149606299213" bottom="0.74803149606299213" header="0.31496062992125984" footer="0.31496062992125984"/>
  <pageSetup paperSize="9" orientation="portrait" blackAndWhite="1" r:id="rId1"/>
  <rowBreaks count="1" manualBreakCount="1">
    <brk id="63" max="16383"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0"/>
  <dimension ref="A1:H68"/>
  <sheetViews>
    <sheetView topLeftCell="A22" zoomScale="66" zoomScaleNormal="66" workbookViewId="0">
      <selection activeCell="D53" sqref="D53"/>
    </sheetView>
  </sheetViews>
  <sheetFormatPr defaultRowHeight="15" x14ac:dyDescent="0.25"/>
  <cols>
    <col min="1" max="1" width="17.7109375" customWidth="1"/>
    <col min="2" max="2" width="38" customWidth="1"/>
    <col min="3" max="3" width="32.42578125" customWidth="1"/>
    <col min="4" max="4" width="45.28515625" customWidth="1"/>
    <col min="5" max="5" width="39.7109375" customWidth="1"/>
    <col min="6" max="6" width="71.140625" customWidth="1"/>
    <col min="7" max="7" width="30.28515625" customWidth="1"/>
    <col min="8" max="8" width="11.7109375" customWidth="1"/>
  </cols>
  <sheetData>
    <row r="1" spans="1:8" x14ac:dyDescent="0.25">
      <c r="A1" s="5" t="s">
        <v>2460</v>
      </c>
      <c r="B1" t="s">
        <v>2393</v>
      </c>
      <c r="C1" t="s">
        <v>2400</v>
      </c>
      <c r="D1" s="5" t="s">
        <v>2577</v>
      </c>
      <c r="E1" t="s">
        <v>143</v>
      </c>
      <c r="G1" t="s">
        <v>2412</v>
      </c>
      <c r="H1" s="321" t="s">
        <v>2577</v>
      </c>
    </row>
    <row r="2" spans="1:8" x14ac:dyDescent="0.25">
      <c r="A2" t="s">
        <v>2387</v>
      </c>
      <c r="B2" t="s">
        <v>2394</v>
      </c>
      <c r="C2" t="s">
        <v>138</v>
      </c>
      <c r="D2" t="s">
        <v>2014</v>
      </c>
      <c r="E2" t="s">
        <v>2405</v>
      </c>
      <c r="G2" t="s">
        <v>2413</v>
      </c>
      <c r="H2" s="321" t="s">
        <v>2564</v>
      </c>
    </row>
    <row r="3" spans="1:8" x14ac:dyDescent="0.25">
      <c r="A3" t="s">
        <v>2388</v>
      </c>
      <c r="B3" t="s">
        <v>2395</v>
      </c>
      <c r="C3" t="s">
        <v>2013</v>
      </c>
      <c r="D3" t="s">
        <v>1433</v>
      </c>
      <c r="F3" s="5" t="s">
        <v>2577</v>
      </c>
      <c r="G3" t="s">
        <v>1730</v>
      </c>
      <c r="H3" s="675"/>
    </row>
    <row r="4" spans="1:8" x14ac:dyDescent="0.25">
      <c r="A4" t="s">
        <v>2389</v>
      </c>
      <c r="B4" t="s">
        <v>2396</v>
      </c>
      <c r="C4" t="s">
        <v>2401</v>
      </c>
      <c r="D4" t="s">
        <v>2402</v>
      </c>
      <c r="F4" t="s">
        <v>2414</v>
      </c>
      <c r="G4" t="s">
        <v>2321</v>
      </c>
    </row>
    <row r="5" spans="1:8" x14ac:dyDescent="0.25">
      <c r="A5" t="s">
        <v>2390</v>
      </c>
      <c r="B5" t="s">
        <v>2391</v>
      </c>
      <c r="D5" t="s">
        <v>2403</v>
      </c>
      <c r="F5" t="s">
        <v>2415</v>
      </c>
      <c r="G5" t="s">
        <v>2420</v>
      </c>
    </row>
    <row r="6" spans="1:8" x14ac:dyDescent="0.25">
      <c r="B6" t="s">
        <v>2392</v>
      </c>
      <c r="D6" t="s">
        <v>2404</v>
      </c>
      <c r="F6" t="s">
        <v>2416</v>
      </c>
      <c r="G6" t="s">
        <v>2419</v>
      </c>
    </row>
    <row r="7" spans="1:8" x14ac:dyDescent="0.25">
      <c r="B7" t="s">
        <v>2397</v>
      </c>
      <c r="G7" t="s">
        <v>2320</v>
      </c>
    </row>
    <row r="8" spans="1:8" x14ac:dyDescent="0.25">
      <c r="B8" t="s">
        <v>2398</v>
      </c>
      <c r="D8" s="5" t="s">
        <v>2577</v>
      </c>
    </row>
    <row r="9" spans="1:8" x14ac:dyDescent="0.25">
      <c r="D9" t="s">
        <v>2576</v>
      </c>
      <c r="F9" t="s">
        <v>2453</v>
      </c>
    </row>
    <row r="10" spans="1:8" ht="18" customHeight="1" x14ac:dyDescent="0.25">
      <c r="D10" t="s">
        <v>323</v>
      </c>
      <c r="F10" t="s">
        <v>2452</v>
      </c>
    </row>
    <row r="11" spans="1:8" ht="27.75" customHeight="1" x14ac:dyDescent="0.25"/>
    <row r="12" spans="1:8" ht="18" customHeight="1" x14ac:dyDescent="0.25">
      <c r="A12" s="5" t="s">
        <v>2461</v>
      </c>
      <c r="C12" s="5" t="s">
        <v>2558</v>
      </c>
      <c r="E12" s="691"/>
    </row>
    <row r="13" spans="1:8" ht="18.75" customHeight="1" x14ac:dyDescent="0.3">
      <c r="A13" t="s">
        <v>2455</v>
      </c>
      <c r="C13" t="s">
        <v>2560</v>
      </c>
      <c r="E13" s="690"/>
      <c r="F13" s="82" t="s">
        <v>2577</v>
      </c>
    </row>
    <row r="14" spans="1:8" ht="18.75" customHeight="1" x14ac:dyDescent="0.25">
      <c r="A14" t="s">
        <v>2737</v>
      </c>
      <c r="C14" t="s">
        <v>2555</v>
      </c>
      <c r="E14" s="5" t="s">
        <v>2578</v>
      </c>
      <c r="F14" s="82" t="s">
        <v>2406</v>
      </c>
    </row>
    <row r="15" spans="1:8" ht="15.75" x14ac:dyDescent="0.25">
      <c r="A15" t="s">
        <v>2454</v>
      </c>
      <c r="C15" t="s">
        <v>2559</v>
      </c>
      <c r="E15">
        <v>1000</v>
      </c>
      <c r="F15" s="82" t="s">
        <v>2407</v>
      </c>
    </row>
    <row r="16" spans="1:8" x14ac:dyDescent="0.25">
      <c r="A16" t="s">
        <v>2672</v>
      </c>
      <c r="C16" t="s">
        <v>2566</v>
      </c>
      <c r="E16">
        <v>1500</v>
      </c>
    </row>
    <row r="17" spans="1:6" x14ac:dyDescent="0.25">
      <c r="A17" t="s">
        <v>2738</v>
      </c>
      <c r="C17" t="s">
        <v>2561</v>
      </c>
      <c r="E17">
        <v>1800</v>
      </c>
      <c r="F17" s="5" t="s">
        <v>2577</v>
      </c>
    </row>
    <row r="18" spans="1:6" x14ac:dyDescent="0.25">
      <c r="C18" t="s">
        <v>2562</v>
      </c>
      <c r="E18">
        <v>2000</v>
      </c>
      <c r="F18" t="s">
        <v>2569</v>
      </c>
    </row>
    <row r="19" spans="1:6" x14ac:dyDescent="0.25">
      <c r="C19" t="s">
        <v>2554</v>
      </c>
      <c r="E19">
        <v>2300</v>
      </c>
      <c r="F19" t="s">
        <v>2568</v>
      </c>
    </row>
    <row r="20" spans="1:6" x14ac:dyDescent="0.25">
      <c r="C20" t="s">
        <v>2557</v>
      </c>
      <c r="E20">
        <v>2500</v>
      </c>
      <c r="F20" t="s">
        <v>2570</v>
      </c>
    </row>
    <row r="21" spans="1:6" x14ac:dyDescent="0.25">
      <c r="A21" s="5" t="s">
        <v>2462</v>
      </c>
      <c r="C21" t="s">
        <v>2556</v>
      </c>
      <c r="E21">
        <v>3000</v>
      </c>
      <c r="F21" t="s">
        <v>2761</v>
      </c>
    </row>
    <row r="22" spans="1:6" x14ac:dyDescent="0.25">
      <c r="A22" t="s">
        <v>2457</v>
      </c>
    </row>
    <row r="23" spans="1:6" x14ac:dyDescent="0.25">
      <c r="A23" t="s">
        <v>2456</v>
      </c>
    </row>
    <row r="24" spans="1:6" x14ac:dyDescent="0.25">
      <c r="A24" t="s">
        <v>2710</v>
      </c>
    </row>
    <row r="25" spans="1:6" x14ac:dyDescent="0.25">
      <c r="A25" t="s">
        <v>2682</v>
      </c>
      <c r="C25" s="5" t="s">
        <v>2577</v>
      </c>
    </row>
    <row r="26" spans="1:6" x14ac:dyDescent="0.25">
      <c r="A26" t="s">
        <v>2683</v>
      </c>
      <c r="C26" t="s">
        <v>2583</v>
      </c>
      <c r="D26" s="5" t="s">
        <v>2577</v>
      </c>
    </row>
    <row r="27" spans="1:6" x14ac:dyDescent="0.25">
      <c r="C27" t="s">
        <v>2581</v>
      </c>
      <c r="D27" t="s">
        <v>2593</v>
      </c>
      <c r="F27" s="5" t="s">
        <v>2577</v>
      </c>
    </row>
    <row r="28" spans="1:6" x14ac:dyDescent="0.25">
      <c r="C28" t="s">
        <v>2582</v>
      </c>
      <c r="D28" t="s">
        <v>2594</v>
      </c>
      <c r="E28" s="5" t="s">
        <v>2588</v>
      </c>
      <c r="F28" t="s">
        <v>2611</v>
      </c>
    </row>
    <row r="29" spans="1:6" x14ac:dyDescent="0.25">
      <c r="D29" t="s">
        <v>2595</v>
      </c>
      <c r="E29" t="s">
        <v>2590</v>
      </c>
      <c r="F29" t="s">
        <v>2610</v>
      </c>
    </row>
    <row r="30" spans="1:6" x14ac:dyDescent="0.25">
      <c r="D30" t="s">
        <v>2596</v>
      </c>
      <c r="E30" t="s">
        <v>2585</v>
      </c>
      <c r="F30" t="s">
        <v>2609</v>
      </c>
    </row>
    <row r="31" spans="1:6" x14ac:dyDescent="0.25">
      <c r="B31" t="s">
        <v>2684</v>
      </c>
      <c r="D31" t="s">
        <v>2597</v>
      </c>
      <c r="E31" t="s">
        <v>2586</v>
      </c>
      <c r="F31" t="s">
        <v>2589</v>
      </c>
    </row>
    <row r="32" spans="1:6" x14ac:dyDescent="0.25">
      <c r="D32" t="s">
        <v>2598</v>
      </c>
      <c r="E32" t="s">
        <v>2587</v>
      </c>
    </row>
    <row r="33" spans="2:7" x14ac:dyDescent="0.25">
      <c r="D33" t="s">
        <v>2599</v>
      </c>
    </row>
    <row r="34" spans="2:7" x14ac:dyDescent="0.25">
      <c r="B34" s="5" t="s">
        <v>2577</v>
      </c>
      <c r="D34" t="s">
        <v>2608</v>
      </c>
    </row>
    <row r="35" spans="2:7" x14ac:dyDescent="0.25">
      <c r="B35" t="s">
        <v>2685</v>
      </c>
    </row>
    <row r="36" spans="2:7" x14ac:dyDescent="0.25">
      <c r="B36" t="s">
        <v>2650</v>
      </c>
    </row>
    <row r="37" spans="2:7" x14ac:dyDescent="0.25">
      <c r="B37" t="s">
        <v>2651</v>
      </c>
      <c r="D37" s="5" t="s">
        <v>2577</v>
      </c>
    </row>
    <row r="38" spans="2:7" x14ac:dyDescent="0.25">
      <c r="D38" t="s">
        <v>2602</v>
      </c>
    </row>
    <row r="39" spans="2:7" x14ac:dyDescent="0.25">
      <c r="D39" t="s">
        <v>2604</v>
      </c>
      <c r="F39" s="5" t="s">
        <v>2577</v>
      </c>
    </row>
    <row r="40" spans="2:7" x14ac:dyDescent="0.25">
      <c r="D40" t="s">
        <v>2603</v>
      </c>
      <c r="F40" t="s">
        <v>2600</v>
      </c>
    </row>
    <row r="41" spans="2:7" x14ac:dyDescent="0.25">
      <c r="D41" t="s">
        <v>2605</v>
      </c>
      <c r="F41" t="s">
        <v>2601</v>
      </c>
      <c r="G41" s="672"/>
    </row>
    <row r="42" spans="2:7" x14ac:dyDescent="0.25">
      <c r="D42" t="s">
        <v>2606</v>
      </c>
    </row>
    <row r="43" spans="2:7" x14ac:dyDescent="0.25">
      <c r="C43" t="s">
        <v>2711</v>
      </c>
      <c r="D43" t="s">
        <v>2607</v>
      </c>
    </row>
    <row r="44" spans="2:7" x14ac:dyDescent="0.25">
      <c r="C44" t="s">
        <v>2712</v>
      </c>
      <c r="F44" s="5" t="s">
        <v>2577</v>
      </c>
    </row>
    <row r="45" spans="2:7" x14ac:dyDescent="0.25">
      <c r="F45" t="s">
        <v>2592</v>
      </c>
    </row>
    <row r="46" spans="2:7" x14ac:dyDescent="0.25">
      <c r="F46" t="s">
        <v>2662</v>
      </c>
    </row>
    <row r="47" spans="2:7" x14ac:dyDescent="0.25">
      <c r="D47" s="5" t="s">
        <v>2577</v>
      </c>
      <c r="F47" s="5"/>
    </row>
    <row r="48" spans="2:7" x14ac:dyDescent="0.25">
      <c r="D48" t="s">
        <v>2613</v>
      </c>
    </row>
    <row r="49" spans="4:6" ht="15.75" thickBot="1" x14ac:dyDescent="0.3">
      <c r="D49" t="s">
        <v>2614</v>
      </c>
      <c r="F49" s="700" t="s">
        <v>2577</v>
      </c>
    </row>
    <row r="50" spans="4:6" x14ac:dyDescent="0.25">
      <c r="D50" t="s">
        <v>2615</v>
      </c>
      <c r="F50" s="697" t="s">
        <v>2705</v>
      </c>
    </row>
    <row r="51" spans="4:6" x14ac:dyDescent="0.25">
      <c r="D51" t="s">
        <v>2781</v>
      </c>
      <c r="F51" s="698" t="s">
        <v>2704</v>
      </c>
    </row>
    <row r="52" spans="4:6" x14ac:dyDescent="0.25">
      <c r="D52" t="s">
        <v>2782</v>
      </c>
      <c r="F52" s="699" t="s">
        <v>2703</v>
      </c>
    </row>
    <row r="53" spans="4:6" x14ac:dyDescent="0.25">
      <c r="F53" s="698" t="s">
        <v>2688</v>
      </c>
    </row>
    <row r="54" spans="4:6" x14ac:dyDescent="0.25">
      <c r="F54" s="699"/>
    </row>
    <row r="55" spans="4:6" x14ac:dyDescent="0.25">
      <c r="F55" s="698"/>
    </row>
    <row r="56" spans="4:6" x14ac:dyDescent="0.25">
      <c r="F56" s="701"/>
    </row>
    <row r="58" spans="4:6" x14ac:dyDescent="0.25">
      <c r="E58" s="5" t="s">
        <v>2577</v>
      </c>
    </row>
    <row r="59" spans="4:6" x14ac:dyDescent="0.25">
      <c r="E59" t="s">
        <v>2648</v>
      </c>
    </row>
    <row r="60" spans="4:6" x14ac:dyDescent="0.25">
      <c r="E60" t="s">
        <v>2649</v>
      </c>
    </row>
    <row r="61" spans="4:6" x14ac:dyDescent="0.25">
      <c r="E61" t="s">
        <v>2650</v>
      </c>
    </row>
    <row r="62" spans="4:6" x14ac:dyDescent="0.25">
      <c r="E62" t="s">
        <v>2651</v>
      </c>
    </row>
    <row r="63" spans="4:6" x14ac:dyDescent="0.25">
      <c r="E63" t="s">
        <v>2686</v>
      </c>
    </row>
    <row r="64" spans="4:6" x14ac:dyDescent="0.25">
      <c r="E64" s="5" t="s">
        <v>2750</v>
      </c>
    </row>
    <row r="65" spans="5:6" x14ac:dyDescent="0.25">
      <c r="E65" t="s">
        <v>2764</v>
      </c>
    </row>
    <row r="66" spans="5:6" x14ac:dyDescent="0.25">
      <c r="E66" t="s">
        <v>2765</v>
      </c>
      <c r="F66" s="5" t="s">
        <v>2577</v>
      </c>
    </row>
    <row r="67" spans="5:6" x14ac:dyDescent="0.25">
      <c r="F67" s="719" t="s">
        <v>2664</v>
      </c>
    </row>
    <row r="68" spans="5:6" x14ac:dyDescent="0.25">
      <c r="F68" s="719" t="s">
        <v>2665</v>
      </c>
    </row>
  </sheetData>
  <pageMargins left="0.7" right="0.7" top="0.75" bottom="0.75" header="0.3" footer="0.3"/>
  <pageSetup paperSize="9" orientation="portrait" r:id="rId1"/>
  <tableParts count="2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M31"/>
  <sheetViews>
    <sheetView view="pageLayout" topLeftCell="A22" zoomScaleNormal="100" zoomScaleSheetLayoutView="100" workbookViewId="0">
      <selection activeCell="A14" sqref="A14:J14"/>
    </sheetView>
  </sheetViews>
  <sheetFormatPr defaultRowHeight="15" x14ac:dyDescent="0.25"/>
  <cols>
    <col min="1" max="2" width="9.140625" style="8"/>
    <col min="3" max="3" width="10.140625" style="8" bestFit="1" customWidth="1"/>
    <col min="4" max="9" width="9.140625" style="8"/>
    <col min="10" max="10" width="10.140625" style="8" bestFit="1" customWidth="1"/>
    <col min="11" max="11" width="9.140625" style="8"/>
    <col min="12" max="12" width="89.140625" style="172" hidden="1" customWidth="1"/>
    <col min="13" max="13" width="72.7109375" style="172" hidden="1" customWidth="1"/>
    <col min="14" max="16384" width="9.140625" style="8"/>
  </cols>
  <sheetData>
    <row r="1" spans="1:12" ht="15.75" x14ac:dyDescent="0.25">
      <c r="E1" s="11" t="s">
        <v>2424</v>
      </c>
    </row>
    <row r="2" spans="1:12" ht="15.75" x14ac:dyDescent="0.25">
      <c r="E2" s="11" t="s">
        <v>2425</v>
      </c>
    </row>
    <row r="4" spans="1:12" ht="15.75" x14ac:dyDescent="0.25">
      <c r="E4" s="11" t="s">
        <v>341</v>
      </c>
    </row>
    <row r="5" spans="1:12" ht="15.75" x14ac:dyDescent="0.25">
      <c r="A5" s="1040" t="s">
        <v>342</v>
      </c>
      <c r="B5" s="851"/>
      <c r="C5" s="851"/>
      <c r="D5" s="851"/>
      <c r="E5" s="851"/>
      <c r="F5" s="851"/>
      <c r="G5" s="851"/>
      <c r="H5" s="851"/>
      <c r="I5" s="851"/>
      <c r="J5" s="851"/>
    </row>
    <row r="7" spans="1:12" ht="15.75" x14ac:dyDescent="0.25">
      <c r="A7" s="14" t="s">
        <v>310</v>
      </c>
      <c r="B7" s="12" t="str">
        <f>ФИО</f>
        <v>Иванова Е.П.</v>
      </c>
    </row>
    <row r="9" spans="1:12" ht="15.75" x14ac:dyDescent="0.25">
      <c r="A9" s="14" t="s">
        <v>343</v>
      </c>
      <c r="B9" s="9" t="e">
        <f ca="1">Возраст_лет</f>
        <v>#REF!</v>
      </c>
      <c r="C9" s="138" t="e">
        <f>дата_рождения</f>
        <v>#REF!</v>
      </c>
      <c r="D9" s="139" t="s">
        <v>344</v>
      </c>
      <c r="E9" s="9" t="str">
        <f>IF(ПОЛ=1, "мужской", "женский")</f>
        <v>мужской</v>
      </c>
      <c r="G9" s="14" t="s">
        <v>345</v>
      </c>
      <c r="I9" s="9">
        <f>№_и_б</f>
        <v>21949</v>
      </c>
    </row>
    <row r="11" spans="1:12" ht="15.75" x14ac:dyDescent="0.25">
      <c r="A11" s="1047" t="s">
        <v>413</v>
      </c>
      <c r="B11" s="1048"/>
      <c r="C11" s="1048"/>
      <c r="D11" s="1048"/>
      <c r="E11" s="1048"/>
      <c r="F11" s="1048"/>
      <c r="G11" s="1048"/>
      <c r="H11" s="1048"/>
      <c r="I11" s="50">
        <f>Дата_операции</f>
        <v>42587</v>
      </c>
    </row>
    <row r="13" spans="1:12" ht="15.75" x14ac:dyDescent="0.25">
      <c r="A13" s="42" t="s">
        <v>71</v>
      </c>
    </row>
    <row r="14" spans="1:12" ht="45" x14ac:dyDescent="0.25">
      <c r="A14" s="1043"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14" s="942"/>
      <c r="C14" s="942"/>
      <c r="D14" s="942"/>
      <c r="E14" s="942"/>
      <c r="F14" s="942"/>
      <c r="G14" s="942"/>
      <c r="H14" s="942"/>
      <c r="I14" s="942"/>
      <c r="J14" s="942"/>
      <c r="L14" s="172" t="str">
        <f>A14</f>
        <v>МКБ, рецидив. Резидуальный камень н\чашки справа 20 мм.                                                                                                                                                                                                                                                                                                                                                           Гидронефроз справа 1 ст. Хронический калькулезный пиелонефрит , латентное течение. ХПН 0-1</v>
      </c>
    </row>
    <row r="15" spans="1:12" ht="15.75" x14ac:dyDescent="0.25">
      <c r="A15" s="39" t="str">
        <f>IF(Сопутствующий_диагноз=0, " ", "Сопутствующий диагноз:")</f>
        <v>Сопутствующий диагноз:</v>
      </c>
    </row>
    <row r="16" spans="1:12" x14ac:dyDescent="0.25">
      <c r="A16" s="1044" t="str">
        <f>IF(Сопутствующий_диагноз=0, " ", Сопутствующий_диагноз)</f>
        <v xml:space="preserve">ИБС: АКС. САГ 2 ст, 2 ст, риск 3. Ожирение 3-4 ст. П\о вентральная грыжа. </v>
      </c>
      <c r="B16" s="1045"/>
      <c r="C16" s="1045"/>
      <c r="D16" s="1045"/>
      <c r="E16" s="1045"/>
      <c r="F16" s="1045"/>
      <c r="G16" s="1045"/>
      <c r="H16" s="1045"/>
      <c r="I16" s="1045"/>
      <c r="J16" s="1045"/>
      <c r="L16" s="172" t="str">
        <f>A16</f>
        <v xml:space="preserve">ИБС: АКС. САГ 2 ст, 2 ст, риск 3. Ожирение 3-4 ст. П\о вентральная грыжа. </v>
      </c>
    </row>
    <row r="17" spans="1:13" ht="15.75" x14ac:dyDescent="0.25">
      <c r="A17" s="14" t="s">
        <v>346</v>
      </c>
    </row>
    <row r="18" spans="1:13" ht="30" x14ac:dyDescent="0.25">
      <c r="A18" s="839" t="str">
        <f>IF(данные_проведенного_обследования=0, " ", данные_проведенного_обследования)</f>
        <v xml:space="preserve">НА УЗИ и урограмме ( 11.07.16) -   в н\ чашке - 20 мм каменьУмеренное расширение ЧЛС справа. </v>
      </c>
      <c r="B18" s="839"/>
      <c r="C18" s="839"/>
      <c r="D18" s="839"/>
      <c r="E18" s="839"/>
      <c r="F18" s="839"/>
      <c r="G18" s="839"/>
      <c r="H18" s="839"/>
      <c r="I18" s="839"/>
      <c r="J18" s="839"/>
      <c r="L18" s="172" t="str">
        <f>A18</f>
        <v xml:space="preserve">НА УЗИ и урограмме ( 11.07.16) -   в н\ чашке - 20 мм каменьУмеренное расширение ЧЛС справа. </v>
      </c>
    </row>
    <row r="19" spans="1:13" ht="30" x14ac:dyDescent="0.25">
      <c r="A19" s="839" t="str">
        <f>IF(Данные_амбулаторного_обследования=0, " ", Данные_амбулаторного_обследования)</f>
        <v xml:space="preserve">ФЛГ (амб): без свежих инфильтративных изменений.
Терапевт (амб): противопоказаний для оперативного лечения нет. </v>
      </c>
      <c r="B19" s="839"/>
      <c r="C19" s="839"/>
      <c r="D19" s="839"/>
      <c r="E19" s="839"/>
      <c r="F19" s="839"/>
      <c r="G19" s="839"/>
      <c r="H19" s="839"/>
      <c r="I19" s="839"/>
      <c r="J19" s="839"/>
      <c r="L19" s="172" t="str">
        <f>A19</f>
        <v xml:space="preserve">ФЛГ (амб): без свежих инфильтративных изменений.
Терапевт (амб): противопоказаний для оперативного лечения нет. </v>
      </c>
    </row>
    <row r="20" spans="1:13" x14ac:dyDescent="0.25">
      <c r="A20" s="132"/>
      <c r="B20" s="132"/>
      <c r="C20" s="132"/>
      <c r="D20" s="132"/>
      <c r="E20" s="132"/>
      <c r="F20" s="132"/>
      <c r="G20" s="132"/>
      <c r="H20" s="132"/>
      <c r="I20" s="132"/>
      <c r="J20" s="132"/>
    </row>
    <row r="21" spans="1:13" ht="15.75" x14ac:dyDescent="0.25">
      <c r="A21" s="83" t="s">
        <v>347</v>
      </c>
      <c r="C21" s="1046" t="str">
        <f>Планируемое_оперативное_вмешательство__проведенное</f>
        <v xml:space="preserve">Комбинированная нефролитолапаксия. Стентирование справа. </v>
      </c>
      <c r="D21" s="1046"/>
      <c r="E21" s="1046"/>
      <c r="F21" s="1046"/>
      <c r="G21" s="1046"/>
      <c r="H21" s="1046"/>
      <c r="I21" s="1046"/>
      <c r="J21" s="1046"/>
      <c r="M21" s="172" t="str">
        <f>C21</f>
        <v xml:space="preserve">Комбинированная нефролитолапаксия. Стентирование справа. </v>
      </c>
    </row>
    <row r="22" spans="1:13" x14ac:dyDescent="0.25">
      <c r="D22" s="18" t="s">
        <v>348</v>
      </c>
      <c r="E22" s="58" t="str">
        <f>Оперирующий.хирург</f>
        <v>Еременко А. Н.</v>
      </c>
    </row>
    <row r="24" spans="1:13" ht="15.75" x14ac:dyDescent="0.25">
      <c r="A24" s="14" t="s">
        <v>350</v>
      </c>
    </row>
    <row r="25" spans="1:13" x14ac:dyDescent="0.25">
      <c r="A25" s="1041" t="str">
        <f>IF(ГИСТОЛОГИЯ=0, " ", ГИСТОЛОГИЯ)</f>
        <v xml:space="preserve"> </v>
      </c>
      <c r="B25" s="1042"/>
      <c r="C25" s="1042"/>
      <c r="D25" s="1042"/>
      <c r="E25" s="1042"/>
      <c r="F25" s="1042"/>
      <c r="G25" s="1042"/>
      <c r="H25" s="1042"/>
      <c r="I25" s="1042"/>
      <c r="J25" s="1042"/>
      <c r="L25" s="172" t="str">
        <f>A25</f>
        <v xml:space="preserve"> </v>
      </c>
    </row>
    <row r="27" spans="1:13" ht="15.75" x14ac:dyDescent="0.25">
      <c r="A27" s="14" t="s">
        <v>349</v>
      </c>
    </row>
    <row r="28" spans="1:13" ht="15.75" x14ac:dyDescent="0.25">
      <c r="A28" s="12" t="s">
        <v>351</v>
      </c>
    </row>
    <row r="29" spans="1:13" ht="15.75" x14ac:dyDescent="0.25">
      <c r="A29" s="358"/>
      <c r="B29" s="359"/>
      <c r="C29" s="1039" t="e">
        <f>IF(НАПРАВЛЕНИЕ_ГИСТОЛОГИЯ=0, " ", НАПРАВЛЕНИЕ_ГИСТОЛОГИЯ)</f>
        <v>#REF!</v>
      </c>
      <c r="D29" s="1039"/>
      <c r="E29" s="1039"/>
      <c r="F29" s="1039"/>
      <c r="G29" s="1039"/>
      <c r="H29" s="1039"/>
      <c r="I29" s="1039"/>
      <c r="J29" s="1039"/>
      <c r="M29" s="172" t="e">
        <f>C29</f>
        <v>#REF!</v>
      </c>
    </row>
    <row r="31" spans="1:13" ht="15.75" x14ac:dyDescent="0.25">
      <c r="A31" s="14" t="s">
        <v>352</v>
      </c>
      <c r="G31" s="12" t="str">
        <f>Лечащий_врач</f>
        <v>Еременко А. Н.</v>
      </c>
    </row>
  </sheetData>
  <sheetProtection formatCells="0" formatRows="0"/>
  <mergeCells count="9">
    <mergeCell ref="C29:J29"/>
    <mergeCell ref="A5:J5"/>
    <mergeCell ref="A19:J19"/>
    <mergeCell ref="A25:J25"/>
    <mergeCell ref="A14:J14"/>
    <mergeCell ref="A16:J16"/>
    <mergeCell ref="A18:J18"/>
    <mergeCell ref="C21:J21"/>
    <mergeCell ref="A11:H11"/>
  </mergeCells>
  <pageMargins left="1.003125" right="0.44062499999999999" top="0.41249999999999998" bottom="0.5" header="0.3" footer="0.3"/>
  <pageSetup paperSize="9" scale="9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L25"/>
  <sheetViews>
    <sheetView view="pageLayout" zoomScaleNormal="100" zoomScaleSheetLayoutView="115" workbookViewId="0">
      <selection activeCell="E32" sqref="E32"/>
    </sheetView>
  </sheetViews>
  <sheetFormatPr defaultRowHeight="15.75" x14ac:dyDescent="0.25"/>
  <cols>
    <col min="1" max="2" width="11.28515625" style="12" bestFit="1" customWidth="1"/>
    <col min="3" max="9" width="9.140625" style="12"/>
    <col min="10" max="10" width="77.28515625" style="153" hidden="1" customWidth="1"/>
    <col min="11" max="11" width="36.85546875" style="154" hidden="1" customWidth="1"/>
    <col min="12" max="12" width="42.5703125" style="154" hidden="1" customWidth="1"/>
    <col min="13" max="16384" width="9.140625" style="12"/>
  </cols>
  <sheetData>
    <row r="1" spans="1:10" ht="18.75" x14ac:dyDescent="0.3">
      <c r="B1" s="49">
        <f ca="1">TODAY()</f>
        <v>42601</v>
      </c>
      <c r="G1" s="37" t="s">
        <v>314</v>
      </c>
    </row>
    <row r="2" spans="1:10" x14ac:dyDescent="0.25">
      <c r="B2" s="40" t="s">
        <v>1412</v>
      </c>
    </row>
    <row r="3" spans="1:10" x14ac:dyDescent="0.25">
      <c r="A3" s="152">
        <f ca="1">B1-дата_поступления+1</f>
        <v>10</v>
      </c>
      <c r="B3" s="12" t="s">
        <v>384</v>
      </c>
      <c r="D3" s="3">
        <f ca="1">IF((B1-Дата_операции)&lt;0, " ", IF(Дата_операции=0, " ", B1-Дата_операции))</f>
        <v>14</v>
      </c>
      <c r="E3" s="12" t="str">
        <f ca="1">IF((B1-Дата_операции)&lt;0," ", IF(Дата_операции=0," ","сутки после операции"))</f>
        <v>сутки после операции</v>
      </c>
    </row>
    <row r="4" spans="1:10" x14ac:dyDescent="0.25">
      <c r="B4" s="40" t="s">
        <v>315</v>
      </c>
    </row>
    <row r="6" spans="1:10" x14ac:dyDescent="0.25">
      <c r="A6" s="12" t="s">
        <v>316</v>
      </c>
      <c r="C6" s="1049" t="s">
        <v>1413</v>
      </c>
      <c r="D6" s="1050"/>
      <c r="E6" s="1050"/>
      <c r="F6" s="1050"/>
      <c r="G6" s="1050"/>
    </row>
    <row r="7" spans="1:10" ht="47.25" x14ac:dyDescent="0.25">
      <c r="A7" s="1055" t="s">
        <v>1414</v>
      </c>
      <c r="B7" s="1056"/>
      <c r="C7" s="1056"/>
      <c r="D7" s="1056"/>
      <c r="E7" s="1056"/>
      <c r="F7" s="1056"/>
      <c r="G7" s="1056"/>
      <c r="H7" s="1056"/>
      <c r="J7" s="153" t="str">
        <f>A7</f>
        <v>_______________________________________________________________
_______________________________________________________________
_______________________________________________________________</v>
      </c>
    </row>
    <row r="8" spans="1:10" x14ac:dyDescent="0.25">
      <c r="A8" s="12" t="s">
        <v>317</v>
      </c>
      <c r="C8" s="1049" t="s">
        <v>1413</v>
      </c>
      <c r="D8" s="1050"/>
      <c r="E8" s="1050"/>
      <c r="F8" s="1050"/>
      <c r="G8" s="1050"/>
    </row>
    <row r="9" spans="1:10" ht="110.25" x14ac:dyDescent="0.25">
      <c r="A9" s="1055" t="s">
        <v>1415</v>
      </c>
      <c r="B9" s="1056"/>
      <c r="C9" s="1056"/>
      <c r="D9" s="1056"/>
      <c r="E9" s="1056"/>
      <c r="F9" s="1056"/>
      <c r="G9" s="1056"/>
      <c r="H9" s="1056"/>
      <c r="J9" s="153" t="str">
        <f>A9</f>
        <v>_______________________________________________________________
_______________________________________________________________
_______________________________________________________________
_______________________________________________________________
_______________________________________________________________
_______________________________________________________________
_______________________________________________________________</v>
      </c>
    </row>
    <row r="10" spans="1:10" x14ac:dyDescent="0.25">
      <c r="A10" s="12" t="s">
        <v>318</v>
      </c>
    </row>
    <row r="11" spans="1:10" x14ac:dyDescent="0.25">
      <c r="A11" s="1051" t="s">
        <v>1413</v>
      </c>
      <c r="B11" s="1050"/>
      <c r="C11" s="1050"/>
      <c r="D11" s="1050"/>
      <c r="E11" s="1050"/>
      <c r="F11" s="1050"/>
      <c r="G11" s="1050"/>
    </row>
    <row r="12" spans="1:10" ht="63" x14ac:dyDescent="0.25">
      <c r="A12" s="1055" t="s">
        <v>1416</v>
      </c>
      <c r="B12" s="1056"/>
      <c r="C12" s="1056"/>
      <c r="D12" s="1056"/>
      <c r="E12" s="1056"/>
      <c r="F12" s="1056"/>
      <c r="G12" s="1056"/>
      <c r="H12" s="1056"/>
      <c r="J12" s="153" t="str">
        <f>A12</f>
        <v>_______________________________________________________________
_______________________________________________________________
_______________________________________________________________
_______________________________________________________________</v>
      </c>
    </row>
    <row r="13" spans="1:10" x14ac:dyDescent="0.25">
      <c r="A13" s="12" t="s">
        <v>319</v>
      </c>
      <c r="D13" s="1049" t="s">
        <v>323</v>
      </c>
      <c r="E13" s="1050"/>
      <c r="F13" s="1050"/>
      <c r="G13" s="1050"/>
    </row>
    <row r="14" spans="1:10" ht="63" x14ac:dyDescent="0.25">
      <c r="A14" s="1055" t="s">
        <v>1416</v>
      </c>
      <c r="B14" s="1056"/>
      <c r="C14" s="1056"/>
      <c r="D14" s="1056"/>
      <c r="E14" s="1056"/>
      <c r="F14" s="1056"/>
      <c r="G14" s="1056"/>
      <c r="H14" s="1056"/>
      <c r="J14" s="153" t="str">
        <f>A14</f>
        <v>_______________________________________________________________
_______________________________________________________________
_______________________________________________________________
_______________________________________________________________</v>
      </c>
    </row>
    <row r="15" spans="1:10" x14ac:dyDescent="0.25">
      <c r="A15" s="38" t="s">
        <v>320</v>
      </c>
      <c r="B15" s="38"/>
      <c r="C15" s="38"/>
    </row>
    <row r="16" spans="1:10" x14ac:dyDescent="0.25">
      <c r="A16" s="39" t="s">
        <v>71</v>
      </c>
      <c r="B16" s="38"/>
      <c r="C16" s="38"/>
    </row>
    <row r="17" spans="1:12" ht="47.25" x14ac:dyDescent="0.25">
      <c r="A17" s="1057"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17" s="1058"/>
      <c r="C17" s="1058"/>
      <c r="D17" s="1058"/>
      <c r="E17" s="1058"/>
      <c r="F17" s="1058"/>
      <c r="G17" s="1058"/>
      <c r="H17" s="1058"/>
      <c r="J17" s="153" t="str">
        <f>A17</f>
        <v>МКБ, рецидив. Резидуальный камень н\чашки справа 20 мм.                                                                                                                                                                                                                                                                                                                                                           Гидронефроз справа 1 ст. Хронический калькулезный пиелонефрит , латентное течение. ХПН 0-1</v>
      </c>
    </row>
    <row r="18" spans="1:12" x14ac:dyDescent="0.25">
      <c r="A18" s="39" t="str">
        <f>IF(Сопутствующий_диагноз=0, " ", "Сопутствующий диагноз:")</f>
        <v>Сопутствующий диагноз:</v>
      </c>
      <c r="B18" s="38"/>
      <c r="C18" s="38"/>
    </row>
    <row r="19" spans="1:12" ht="31.5" x14ac:dyDescent="0.25">
      <c r="A19" s="1057" t="str">
        <f>IF(Сопутствующий_диагноз=0, " ", Сопутствующий_диагноз)</f>
        <v xml:space="preserve">ИБС: АКС. САГ 2 ст, 2 ст, риск 3. Ожирение 3-4 ст. П\о вентральная грыжа. </v>
      </c>
      <c r="B19" s="1058"/>
      <c r="C19" s="1058"/>
      <c r="D19" s="1058"/>
      <c r="E19" s="1058"/>
      <c r="F19" s="1058"/>
      <c r="G19" s="1058"/>
      <c r="H19" s="1058"/>
      <c r="J19" s="153" t="str">
        <f>A19</f>
        <v xml:space="preserve">ИБС: АКС. САГ 2 ст, 2 ст, риск 3. Ожирение 3-4 ст. П\о вентральная грыжа. </v>
      </c>
    </row>
    <row r="20" spans="1:12" x14ac:dyDescent="0.25">
      <c r="A20" s="38"/>
      <c r="B20" s="38"/>
      <c r="C20" s="38"/>
    </row>
    <row r="21" spans="1:12" x14ac:dyDescent="0.25">
      <c r="A21" s="12" t="s">
        <v>321</v>
      </c>
      <c r="B21" s="38"/>
      <c r="C21" s="38"/>
      <c r="E21" s="12" t="s">
        <v>322</v>
      </c>
    </row>
    <row r="22" spans="1:12" x14ac:dyDescent="0.25">
      <c r="A22" s="1052" t="s">
        <v>323</v>
      </c>
      <c r="B22" s="1053"/>
      <c r="C22" s="1053"/>
      <c r="E22" s="1054" t="s">
        <v>323</v>
      </c>
      <c r="F22" s="1053"/>
      <c r="G22" s="1053"/>
      <c r="H22" s="1053"/>
      <c r="K22" s="154" t="str">
        <f>A22</f>
        <v>нет</v>
      </c>
      <c r="L22" s="154" t="str">
        <f>E22</f>
        <v>нет</v>
      </c>
    </row>
    <row r="23" spans="1:12" x14ac:dyDescent="0.25">
      <c r="A23" s="38"/>
      <c r="B23" s="38"/>
      <c r="C23" s="38"/>
    </row>
    <row r="24" spans="1:12" x14ac:dyDescent="0.25">
      <c r="A24" s="12" t="s">
        <v>324</v>
      </c>
      <c r="G24" s="23" t="str">
        <f>Лечащий_врач</f>
        <v>Еременко А. Н.</v>
      </c>
    </row>
    <row r="25" spans="1:12" x14ac:dyDescent="0.25">
      <c r="C25" s="40" t="s">
        <v>325</v>
      </c>
      <c r="G25" s="41" t="s">
        <v>326</v>
      </c>
    </row>
  </sheetData>
  <sheetProtection formatCells="0" formatRows="0"/>
  <mergeCells count="12">
    <mergeCell ref="C6:G6"/>
    <mergeCell ref="C8:G8"/>
    <mergeCell ref="A11:G11"/>
    <mergeCell ref="D13:G13"/>
    <mergeCell ref="A22:C22"/>
    <mergeCell ref="E22:H22"/>
    <mergeCell ref="A7:H7"/>
    <mergeCell ref="A9:H9"/>
    <mergeCell ref="A12:H12"/>
    <mergeCell ref="A14:H14"/>
    <mergeCell ref="A17:H17"/>
    <mergeCell ref="A19:H19"/>
  </mergeCells>
  <pageMargins left="1.1375" right="0.52500000000000002" top="0.51406249999999998" bottom="0.75" header="0.3" footer="0.3"/>
  <pageSetup paperSize="9" scale="105"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K35"/>
  <sheetViews>
    <sheetView view="pageLayout" zoomScaleNormal="100" zoomScaleSheetLayoutView="85" workbookViewId="0">
      <selection activeCell="E31" sqref="E31"/>
    </sheetView>
  </sheetViews>
  <sheetFormatPr defaultRowHeight="15.75" x14ac:dyDescent="0.25"/>
  <cols>
    <col min="1" max="8" width="9.140625" style="85"/>
    <col min="9" max="9" width="36.85546875" style="85" customWidth="1"/>
    <col min="10" max="10" width="9.140625" style="85"/>
    <col min="11" max="11" width="100.7109375" style="156" hidden="1" customWidth="1"/>
    <col min="12" max="16384" width="9.140625" style="85"/>
  </cols>
  <sheetData>
    <row r="1" spans="1:11" ht="20.25" x14ac:dyDescent="0.25">
      <c r="A1" s="1059">
        <f>Дата_операции</f>
        <v>42587</v>
      </c>
      <c r="B1" s="1060"/>
      <c r="D1" s="151" t="s">
        <v>86</v>
      </c>
    </row>
    <row r="3" spans="1:11" x14ac:dyDescent="0.25">
      <c r="F3" s="51" t="s">
        <v>1733</v>
      </c>
    </row>
    <row r="4" spans="1:11" x14ac:dyDescent="0.25">
      <c r="F4" s="51" t="s">
        <v>1734</v>
      </c>
    </row>
    <row r="5" spans="1:11" x14ac:dyDescent="0.25">
      <c r="F5" s="51" t="str">
        <f>IF(И.О.ЗАВ.ОТД.=1,"и.о. зав.отделением урологии Юсуфова А.Г., врача-онколога Шиятая О.К. , .","зав.отделением урологии Котова С.В. врача-онколога Шиятая О.К. , ")</f>
        <v xml:space="preserve">зав.отделением урологии Котова С.В. врача-онколога Шиятая О.К. , </v>
      </c>
    </row>
    <row r="6" spans="1:11" x14ac:dyDescent="0.25">
      <c r="F6" s="360" t="s">
        <v>87</v>
      </c>
    </row>
    <row r="8" spans="1:11" x14ac:dyDescent="0.25">
      <c r="B8" s="86" t="s">
        <v>33</v>
      </c>
      <c r="C8" s="1065" t="str">
        <f>ФИО</f>
        <v>Иванова Е.П.</v>
      </c>
      <c r="D8" s="1066"/>
      <c r="E8" s="1066"/>
      <c r="F8" s="931"/>
      <c r="G8" s="86" t="s">
        <v>19</v>
      </c>
      <c r="H8" s="87">
        <f>№_и_б</f>
        <v>21949</v>
      </c>
    </row>
    <row r="9" spans="1:11" x14ac:dyDescent="0.25">
      <c r="B9" s="86" t="s">
        <v>20</v>
      </c>
      <c r="C9" s="98" t="e">
        <f ca="1">Возраст_лет</f>
        <v>#REF!</v>
      </c>
      <c r="D9" s="1061" t="e">
        <f>дата_рождения</f>
        <v>#REF!</v>
      </c>
      <c r="E9" s="865"/>
      <c r="F9" s="87" t="s">
        <v>35</v>
      </c>
      <c r="G9" s="88" t="s">
        <v>22</v>
      </c>
      <c r="H9" s="1065">
        <f>Телефон</f>
        <v>0</v>
      </c>
      <c r="I9" s="931"/>
    </row>
    <row r="10" spans="1:11" x14ac:dyDescent="0.25">
      <c r="B10" s="86" t="s">
        <v>21</v>
      </c>
      <c r="C10" s="1065">
        <f>Место_жительства</f>
        <v>0</v>
      </c>
      <c r="D10" s="1066"/>
      <c r="E10" s="1066"/>
      <c r="F10" s="931"/>
      <c r="G10" s="931"/>
      <c r="H10" s="931"/>
    </row>
    <row r="12" spans="1:11" x14ac:dyDescent="0.25">
      <c r="B12" s="86" t="s">
        <v>71</v>
      </c>
      <c r="C12" s="86"/>
      <c r="D12" s="86"/>
      <c r="E12" s="86"/>
      <c r="F12" s="86"/>
      <c r="G12" s="86"/>
      <c r="H12" s="86"/>
      <c r="I12" s="86"/>
    </row>
    <row r="13" spans="1:11" ht="31.5" x14ac:dyDescent="0.25">
      <c r="B13" s="1063"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C13" s="1063"/>
      <c r="D13" s="1063"/>
      <c r="E13" s="1063"/>
      <c r="F13" s="1063"/>
      <c r="G13" s="1063"/>
      <c r="H13" s="1063"/>
      <c r="I13" s="1063"/>
      <c r="K13" s="156" t="str">
        <f>B13</f>
        <v>МКБ, рецидив. Резидуальный камень н\чашки справа 20 мм.                                                                                                                                                                                                                                                                                                                                                           Гидронефроз справа 1 ст. Хронический калькулезный пиелонефрит , латентное течение. ХПН 0-1</v>
      </c>
    </row>
    <row r="14" spans="1:11" x14ac:dyDescent="0.25">
      <c r="B14" s="86" t="str">
        <f>IF( Сопутствующий_диагноз=0, " ", "Сопутствующий диагноз:")</f>
        <v>Сопутствующий диагноз:</v>
      </c>
      <c r="C14" s="86"/>
      <c r="D14" s="86"/>
      <c r="E14" s="86"/>
      <c r="F14" s="86"/>
      <c r="G14" s="86"/>
      <c r="H14" s="86"/>
      <c r="I14" s="86"/>
    </row>
    <row r="15" spans="1:11" x14ac:dyDescent="0.25">
      <c r="B15" s="1064" t="str">
        <f>IF(Сопутствующий_диагноз=0, " ", Сопутствующий_диагноз)</f>
        <v xml:space="preserve">ИБС: АКС. САГ 2 ст, 2 ст, риск 3. Ожирение 3-4 ст. П\о вентральная грыжа. </v>
      </c>
      <c r="C15" s="1064"/>
      <c r="D15" s="1064"/>
      <c r="E15" s="1064"/>
      <c r="F15" s="1064"/>
      <c r="G15" s="1064"/>
      <c r="H15" s="1064"/>
      <c r="I15" s="1064"/>
      <c r="K15" s="156" t="str">
        <f>B15</f>
        <v xml:space="preserve">ИБС: АКС. САГ 2 ст, 2 ст, риск 3. Ожирение 3-4 ст. П\о вентральная грыжа. </v>
      </c>
    </row>
    <row r="16" spans="1:11" x14ac:dyDescent="0.25">
      <c r="B16" s="52" t="s">
        <v>88</v>
      </c>
    </row>
    <row r="17" spans="2:11" x14ac:dyDescent="0.25">
      <c r="B17" s="1067" t="str">
        <f>IF(данные_проведенного_обследования=0, " ", данные_проведенного_обследования)</f>
        <v xml:space="preserve">НА УЗИ и урограмме ( 11.07.16) -   в н\ чашке - 20 мм каменьУмеренное расширение ЧЛС справа. </v>
      </c>
      <c r="C17" s="1068"/>
      <c r="D17" s="1068"/>
      <c r="E17" s="1068"/>
      <c r="F17" s="1068"/>
      <c r="G17" s="1068"/>
      <c r="H17" s="1068"/>
      <c r="I17" s="1068"/>
      <c r="K17" s="156" t="str">
        <f>B17</f>
        <v xml:space="preserve">НА УЗИ и урограмме ( 11.07.16) -   в н\ чашке - 20 мм каменьУмеренное расширение ЧЛС справа. </v>
      </c>
    </row>
    <row r="18" spans="2:11" ht="31.5" x14ac:dyDescent="0.25">
      <c r="B18" s="1067" t="str">
        <f>IF(Данные_амбулаторного_обследования=0, " ", Данные_амбулаторного_обследования)</f>
        <v xml:space="preserve">ФЛГ (амб): без свежих инфильтративных изменений.
Терапевт (амб): противопоказаний для оперативного лечения нет. </v>
      </c>
      <c r="C18" s="1068"/>
      <c r="D18" s="1068"/>
      <c r="E18" s="1068"/>
      <c r="F18" s="1068"/>
      <c r="G18" s="1068"/>
      <c r="H18" s="1068"/>
      <c r="I18" s="1068"/>
      <c r="K18" s="156" t="str">
        <f>B18</f>
        <v xml:space="preserve">ФЛГ (амб): без свежих инфильтративных изменений.
Терапевт (амб): противопоказаний для оперативного лечения нет. </v>
      </c>
    </row>
    <row r="19" spans="2:11" x14ac:dyDescent="0.25">
      <c r="B19" s="1067" t="str">
        <f>IF(ГИСТОЛОГИЯ=0, " ", ГИСТОЛОГИЯ)</f>
        <v xml:space="preserve"> </v>
      </c>
      <c r="C19" s="1068"/>
      <c r="D19" s="1068"/>
      <c r="E19" s="1068"/>
      <c r="F19" s="1068"/>
      <c r="G19" s="1068"/>
      <c r="H19" s="1068"/>
      <c r="I19" s="1068"/>
      <c r="K19" s="156" t="str">
        <f>B19</f>
        <v xml:space="preserve"> </v>
      </c>
    </row>
    <row r="20" spans="2:11" x14ac:dyDescent="0.25">
      <c r="B20" s="1062" t="str">
        <f>Показание_для_операции</f>
        <v xml:space="preserve">Наличие камня н\ чашки почки, вызывающего  воспаление и нарушение функции почек. </v>
      </c>
      <c r="C20" s="1069"/>
      <c r="D20" s="1069"/>
      <c r="E20" s="1069"/>
      <c r="F20" s="1069"/>
      <c r="G20" s="1069"/>
      <c r="H20" s="1069"/>
      <c r="I20" s="1069"/>
      <c r="K20" s="156" t="str">
        <f>B20</f>
        <v xml:space="preserve">Наличие камня н\ чашки почки, вызывающего  воспаление и нарушение функции почек. </v>
      </c>
    </row>
    <row r="22" spans="2:11" x14ac:dyDescent="0.25">
      <c r="B22" s="52" t="s">
        <v>73</v>
      </c>
    </row>
    <row r="23" spans="2:11" x14ac:dyDescent="0.25">
      <c r="B23" s="1062" t="str">
        <f>Планируемое_оперативное_вмешательство__проведенное</f>
        <v xml:space="preserve">Комбинированная нефролитолапаксия. Стентирование справа. </v>
      </c>
      <c r="C23" s="1062"/>
      <c r="D23" s="1062"/>
      <c r="E23" s="1062"/>
      <c r="F23" s="1062"/>
      <c r="G23" s="1062"/>
      <c r="H23" s="1062"/>
      <c r="I23" s="1062"/>
      <c r="K23" s="156" t="str">
        <f>B23</f>
        <v xml:space="preserve">Комбинированная нефролитолапаксия. Стентирование справа. </v>
      </c>
    </row>
    <row r="25" spans="2:11" x14ac:dyDescent="0.25">
      <c r="E25" s="85" t="s">
        <v>89</v>
      </c>
      <c r="H25" s="85" t="s">
        <v>90</v>
      </c>
    </row>
    <row r="27" spans="2:11" x14ac:dyDescent="0.25">
      <c r="E27" s="85" t="s">
        <v>1732</v>
      </c>
      <c r="H27" s="85" t="s">
        <v>1731</v>
      </c>
    </row>
    <row r="29" spans="2:11" x14ac:dyDescent="0.25">
      <c r="E29" s="85" t="s">
        <v>75</v>
      </c>
      <c r="H29" s="85" t="s">
        <v>91</v>
      </c>
    </row>
    <row r="31" spans="2:11" x14ac:dyDescent="0.25">
      <c r="E31" s="85" t="str">
        <f>IF(И.О.ЗАВ.ОТД.=1,"И.о. зав.отделением","Зав.отд.")</f>
        <v>Зав.отд.</v>
      </c>
      <c r="H31" s="85" t="str">
        <f>Зав.отд.</f>
        <v>Еременко С. Н.</v>
      </c>
    </row>
    <row r="33" spans="5:8" x14ac:dyDescent="0.25">
      <c r="E33" s="85" t="s">
        <v>92</v>
      </c>
      <c r="H33" s="85" t="s">
        <v>93</v>
      </c>
    </row>
    <row r="35" spans="5:8" x14ac:dyDescent="0.25">
      <c r="E35" s="85" t="s">
        <v>37</v>
      </c>
      <c r="H35" s="85" t="str">
        <f>Лечащий_врач</f>
        <v>Еременко А. Н.</v>
      </c>
    </row>
  </sheetData>
  <sheetProtection formatCells="0" formatRows="0"/>
  <mergeCells count="12">
    <mergeCell ref="A1:B1"/>
    <mergeCell ref="D9:E9"/>
    <mergeCell ref="B23:I23"/>
    <mergeCell ref="B13:I13"/>
    <mergeCell ref="B15:I15"/>
    <mergeCell ref="C8:F8"/>
    <mergeCell ref="C10:H10"/>
    <mergeCell ref="B17:I17"/>
    <mergeCell ref="B18:I18"/>
    <mergeCell ref="B19:I19"/>
    <mergeCell ref="B20:I20"/>
    <mergeCell ref="H9:I9"/>
  </mergeCells>
  <pageMargins left="0.8214285714285714" right="0.42410714285714285" top="0.27380952380952384" bottom="0.75" header="0.3" footer="0.3"/>
  <pageSetup paperSize="9" scale="8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filterMode="1"/>
  <dimension ref="A1:M72"/>
  <sheetViews>
    <sheetView view="pageLayout" zoomScale="115" zoomScaleNormal="100" zoomScaleSheetLayoutView="100" zoomScalePageLayoutView="115" workbookViewId="0">
      <selection activeCell="A6" sqref="A6:J6"/>
    </sheetView>
  </sheetViews>
  <sheetFormatPr defaultRowHeight="15.75" x14ac:dyDescent="0.25"/>
  <cols>
    <col min="1" max="11" width="9.140625" style="12"/>
    <col min="12" max="12" width="92.85546875" style="156" hidden="1" customWidth="1"/>
    <col min="13" max="13" width="72.28515625" style="173" hidden="1" customWidth="1"/>
    <col min="14" max="16384" width="9.140625" style="12"/>
  </cols>
  <sheetData>
    <row r="1" spans="1:12" x14ac:dyDescent="0.25">
      <c r="A1" s="70">
        <f ca="1">TODAY()</f>
        <v>42601</v>
      </c>
      <c r="C1" s="1070" t="s">
        <v>478</v>
      </c>
      <c r="D1" s="1071"/>
      <c r="E1" s="1071"/>
      <c r="F1" s="1071"/>
      <c r="G1" s="1071"/>
      <c r="H1" s="1071"/>
      <c r="I1" s="1071"/>
    </row>
    <row r="2" spans="1:12" x14ac:dyDescent="0.25">
      <c r="A2" s="92">
        <v>0.83333333333333337</v>
      </c>
    </row>
    <row r="3" spans="1:12" x14ac:dyDescent="0.25">
      <c r="A3" s="3" t="s">
        <v>339</v>
      </c>
      <c r="D3" s="46"/>
      <c r="E3" s="46"/>
      <c r="F3" s="46"/>
      <c r="G3" s="46"/>
      <c r="H3" s="46"/>
      <c r="I3" s="46"/>
    </row>
    <row r="4" spans="1:12" x14ac:dyDescent="0.25">
      <c r="A4" s="1073" t="s">
        <v>404</v>
      </c>
      <c r="B4" s="1055"/>
      <c r="C4" s="1055"/>
      <c r="D4" s="1055"/>
      <c r="E4" s="1055"/>
      <c r="F4" s="1055"/>
      <c r="G4" s="1055"/>
      <c r="H4" s="1055"/>
      <c r="I4" s="1055"/>
      <c r="J4" s="1074"/>
      <c r="K4" s="144"/>
      <c r="L4" s="156" t="str">
        <f>A4</f>
        <v>на боли, рези при хотьбе, при мочеиспускании</v>
      </c>
    </row>
    <row r="5" spans="1:12" x14ac:dyDescent="0.25">
      <c r="A5" s="3" t="s">
        <v>1423</v>
      </c>
    </row>
    <row r="6" spans="1:12" ht="157.5" x14ac:dyDescent="0.25">
      <c r="A6" s="1075" t="s">
        <v>405</v>
      </c>
      <c r="B6" s="1075"/>
      <c r="C6" s="1075"/>
      <c r="D6" s="1075"/>
      <c r="E6" s="1075"/>
      <c r="F6" s="1075"/>
      <c r="G6" s="1075"/>
      <c r="H6" s="1075"/>
      <c r="I6" s="1075"/>
      <c r="J6" s="1076"/>
      <c r="K6" s="144"/>
      <c r="L6" s="156" t="str">
        <f>A6</f>
        <v xml:space="preserve">Состояние  удовлетворительное. Температура 36,9С. Кожные покровы обычной окраски. Л/у доступные пальпации не увеличены. Дыхание в легких везикулярное. ЧД 16 в мин. Тоны сердца приглушены, ритмичные. АД 120/80, ЧСС 70 в мин. Живот не вздут, симметричный, мягкий, участвует в акте дыхания.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отрицательный с обеих сторон. Мочевой пузырь пальпаторно и перкуторно не определяется. Мочится самостоятельно. Уретрита нет. Органы мошонки: пальпируются оба яичка, варикоцеле, гидроцеле не определяется. Мочеиспускание не затрудненное, учащенное, безболезненное. Моча светлая, без примесей. </v>
      </c>
    </row>
    <row r="7" spans="1:12" x14ac:dyDescent="0.25">
      <c r="A7" s="3" t="s">
        <v>31</v>
      </c>
      <c r="C7" s="93">
        <f ca="1">A1-дата_поступления+1</f>
        <v>10</v>
      </c>
      <c r="D7" s="854" t="s">
        <v>384</v>
      </c>
      <c r="E7" s="851"/>
      <c r="F7" s="93">
        <f ca="1">IF((A1-Дата_операции)&lt;1, " ", IF(Дата_операции=0, " ", A1-Дата_операции))</f>
        <v>14</v>
      </c>
      <c r="G7" s="854" t="str">
        <f ca="1">IF((A1-Дата_операции)&lt;1, " ", IF(Дата_операции=0, " ", "сутки после операции"))</f>
        <v>сутки после операции</v>
      </c>
      <c r="H7" s="851"/>
      <c r="I7" s="851"/>
    </row>
    <row r="8" spans="1:12" x14ac:dyDescent="0.25">
      <c r="A8" s="39" t="s">
        <v>71</v>
      </c>
      <c r="B8" s="39"/>
      <c r="C8" s="39"/>
      <c r="D8" s="39"/>
      <c r="E8" s="39"/>
      <c r="F8" s="39"/>
      <c r="G8" s="39"/>
      <c r="H8" s="39"/>
    </row>
    <row r="9" spans="1:12" ht="47.25" x14ac:dyDescent="0.25">
      <c r="A9" s="1077"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9" s="1078"/>
      <c r="C9" s="1078"/>
      <c r="D9" s="1078"/>
      <c r="E9" s="1078"/>
      <c r="F9" s="1078"/>
      <c r="G9" s="1078"/>
      <c r="H9" s="1078"/>
      <c r="I9" s="1078"/>
      <c r="J9" s="1079"/>
      <c r="K9" s="144"/>
      <c r="L9" s="156" t="str">
        <f>A9</f>
        <v>МКБ, рецидив. Резидуальный камень н\чашки справа 20 мм.                                                                                                                                                                                                                                                                                                                                                           Гидронефроз справа 1 ст. Хронический калькулезный пиелонефрит , латентное течение. ХПН 0-1</v>
      </c>
    </row>
    <row r="10" spans="1:12" ht="31.5" x14ac:dyDescent="0.25">
      <c r="A10" s="1080" t="s">
        <v>409</v>
      </c>
      <c r="B10" s="1081"/>
      <c r="C10" s="1081"/>
      <c r="D10" s="1081"/>
      <c r="E10" s="1081"/>
      <c r="F10" s="1081"/>
      <c r="G10" s="1081"/>
      <c r="H10" s="1081"/>
      <c r="I10" s="1081"/>
      <c r="J10" s="1076"/>
      <c r="K10" s="144"/>
      <c r="L10" s="156" t="str">
        <f>A10</f>
        <v>Больному показано удаление внутреннего мочеточникового стента на 3.2.14г. С целью динамичского наблюдение и дальнейшей оценки характера пассажа мочи по ВМП.</v>
      </c>
    </row>
    <row r="11" spans="1:12" x14ac:dyDescent="0.25">
      <c r="A11" s="3" t="s">
        <v>39</v>
      </c>
      <c r="C11" s="357"/>
    </row>
    <row r="12" spans="1:12" x14ac:dyDescent="0.25">
      <c r="C12" s="357" t="s">
        <v>50</v>
      </c>
    </row>
    <row r="13" spans="1:12" s="82" customFormat="1" hidden="1" x14ac:dyDescent="0.25">
      <c r="A13" s="12"/>
      <c r="B13" s="12"/>
      <c r="C13" s="357" t="s">
        <v>45</v>
      </c>
      <c r="D13" s="94"/>
      <c r="E13" s="94"/>
      <c r="F13" s="12"/>
      <c r="G13" s="12"/>
      <c r="H13" s="12"/>
      <c r="I13" s="12"/>
      <c r="L13" s="91"/>
    </row>
    <row r="14" spans="1:12" s="82" customFormat="1" hidden="1" x14ac:dyDescent="0.25">
      <c r="A14" s="12"/>
      <c r="B14" s="12"/>
      <c r="C14" s="357" t="s">
        <v>46</v>
      </c>
      <c r="D14" s="94"/>
      <c r="E14" s="94"/>
      <c r="F14" s="12"/>
      <c r="G14" s="12"/>
      <c r="H14" s="12"/>
      <c r="I14" s="12"/>
      <c r="L14" s="91"/>
    </row>
    <row r="15" spans="1:12" s="82" customFormat="1" hidden="1" x14ac:dyDescent="0.25">
      <c r="A15" s="12"/>
      <c r="B15" s="12"/>
      <c r="C15" s="357" t="s">
        <v>392</v>
      </c>
      <c r="D15" s="94"/>
      <c r="E15" s="94"/>
      <c r="F15" s="12"/>
      <c r="G15" s="12"/>
      <c r="H15" s="12"/>
      <c r="I15" s="12"/>
      <c r="L15" s="91"/>
    </row>
    <row r="16" spans="1:12" s="82" customFormat="1" hidden="1" x14ac:dyDescent="0.25">
      <c r="A16" s="90"/>
      <c r="B16" s="12"/>
      <c r="C16" s="357" t="s">
        <v>391</v>
      </c>
      <c r="D16" s="94"/>
      <c r="E16" s="94"/>
      <c r="F16" s="90"/>
      <c r="G16" s="12"/>
      <c r="H16" s="12"/>
      <c r="I16" s="12"/>
      <c r="L16" s="91"/>
    </row>
    <row r="17" spans="1:12" s="82" customFormat="1" hidden="1" x14ac:dyDescent="0.25">
      <c r="A17" s="90"/>
      <c r="B17" s="90"/>
      <c r="C17" s="357" t="s">
        <v>396</v>
      </c>
      <c r="D17" s="90"/>
      <c r="E17" s="90"/>
      <c r="F17" s="90"/>
      <c r="H17" s="1058"/>
      <c r="I17" s="1058"/>
      <c r="L17" s="91"/>
    </row>
    <row r="18" spans="1:12" s="82" customFormat="1" hidden="1" x14ac:dyDescent="0.25">
      <c r="A18" s="90"/>
      <c r="B18" s="90"/>
      <c r="C18" s="357" t="s">
        <v>395</v>
      </c>
      <c r="D18" s="90"/>
      <c r="E18" s="12"/>
      <c r="F18" s="12"/>
      <c r="G18" s="90"/>
      <c r="H18" s="1058"/>
      <c r="I18" s="1058"/>
      <c r="L18" s="91"/>
    </row>
    <row r="19" spans="1:12" s="82" customFormat="1" hidden="1" x14ac:dyDescent="0.25">
      <c r="C19" s="357" t="s">
        <v>394</v>
      </c>
      <c r="L19" s="91"/>
    </row>
    <row r="20" spans="1:12" s="82" customFormat="1" hidden="1" x14ac:dyDescent="0.25">
      <c r="C20" s="357" t="s">
        <v>393</v>
      </c>
      <c r="L20" s="91"/>
    </row>
    <row r="21" spans="1:12" s="82" customFormat="1" hidden="1" x14ac:dyDescent="0.25">
      <c r="C21" s="357" t="s">
        <v>397</v>
      </c>
      <c r="L21" s="91"/>
    </row>
    <row r="22" spans="1:12" s="82" customFormat="1" hidden="1" x14ac:dyDescent="0.25">
      <c r="C22" s="357" t="s">
        <v>385</v>
      </c>
      <c r="L22" s="91"/>
    </row>
    <row r="23" spans="1:12" s="82" customFormat="1" hidden="1" x14ac:dyDescent="0.25">
      <c r="C23" s="357" t="s">
        <v>386</v>
      </c>
      <c r="L23" s="91"/>
    </row>
    <row r="24" spans="1:12" s="82" customFormat="1" hidden="1" x14ac:dyDescent="0.25">
      <c r="C24" s="357" t="s">
        <v>47</v>
      </c>
      <c r="L24" s="91"/>
    </row>
    <row r="25" spans="1:12" s="82" customFormat="1" hidden="1" x14ac:dyDescent="0.25">
      <c r="C25" s="357" t="s">
        <v>387</v>
      </c>
      <c r="L25" s="91"/>
    </row>
    <row r="26" spans="1:12" s="82" customFormat="1" hidden="1" x14ac:dyDescent="0.25">
      <c r="C26" s="357" t="s">
        <v>388</v>
      </c>
      <c r="L26" s="91"/>
    </row>
    <row r="27" spans="1:12" s="82" customFormat="1" hidden="1" x14ac:dyDescent="0.25">
      <c r="C27" s="357" t="s">
        <v>398</v>
      </c>
      <c r="L27" s="91"/>
    </row>
    <row r="28" spans="1:12" s="82" customFormat="1" hidden="1" x14ac:dyDescent="0.25">
      <c r="C28" s="357" t="s">
        <v>399</v>
      </c>
      <c r="L28" s="91"/>
    </row>
    <row r="29" spans="1:12" s="82" customFormat="1" hidden="1" x14ac:dyDescent="0.25">
      <c r="C29" s="357" t="s">
        <v>389</v>
      </c>
      <c r="L29" s="91"/>
    </row>
    <row r="30" spans="1:12" s="82" customFormat="1" hidden="1" x14ac:dyDescent="0.25">
      <c r="C30" s="357" t="s">
        <v>390</v>
      </c>
      <c r="L30" s="91"/>
    </row>
    <row r="31" spans="1:12" s="82" customFormat="1" hidden="1" x14ac:dyDescent="0.25">
      <c r="C31" s="357" t="s">
        <v>400</v>
      </c>
      <c r="L31" s="91"/>
    </row>
    <row r="32" spans="1:12" s="82" customFormat="1" hidden="1" x14ac:dyDescent="0.25">
      <c r="C32" s="357" t="s">
        <v>401</v>
      </c>
      <c r="L32" s="91"/>
    </row>
    <row r="33" spans="3:12" hidden="1" x14ac:dyDescent="0.25">
      <c r="C33" s="357" t="s">
        <v>402</v>
      </c>
    </row>
    <row r="34" spans="3:12" s="82" customFormat="1" hidden="1" x14ac:dyDescent="0.25">
      <c r="C34" s="357" t="s">
        <v>48</v>
      </c>
      <c r="L34" s="91"/>
    </row>
    <row r="35" spans="3:12" s="82" customFormat="1" hidden="1" x14ac:dyDescent="0.25">
      <c r="C35" s="357" t="s">
        <v>419</v>
      </c>
      <c r="L35" s="91"/>
    </row>
    <row r="36" spans="3:12" s="82" customFormat="1" hidden="1" x14ac:dyDescent="0.25">
      <c r="C36" s="357" t="s">
        <v>49</v>
      </c>
      <c r="L36" s="91"/>
    </row>
    <row r="37" spans="3:12" s="82" customFormat="1" hidden="1" x14ac:dyDescent="0.25">
      <c r="C37" s="357" t="s">
        <v>40</v>
      </c>
      <c r="L37" s="91"/>
    </row>
    <row r="38" spans="3:12" s="82" customFormat="1" hidden="1" x14ac:dyDescent="0.25">
      <c r="C38" s="357" t="s">
        <v>44</v>
      </c>
      <c r="L38" s="91"/>
    </row>
    <row r="39" spans="3:12" s="82" customFormat="1" hidden="1" x14ac:dyDescent="0.25">
      <c r="C39" s="357" t="s">
        <v>42</v>
      </c>
      <c r="L39" s="91"/>
    </row>
    <row r="40" spans="3:12" s="82" customFormat="1" hidden="1" x14ac:dyDescent="0.25">
      <c r="C40" s="357" t="s">
        <v>43</v>
      </c>
      <c r="L40" s="91"/>
    </row>
    <row r="41" spans="3:12" s="82" customFormat="1" hidden="1" x14ac:dyDescent="0.25">
      <c r="C41" s="357" t="s">
        <v>53</v>
      </c>
      <c r="L41" s="91"/>
    </row>
    <row r="42" spans="3:12" s="82" customFormat="1" hidden="1" x14ac:dyDescent="0.25">
      <c r="C42" s="357" t="s">
        <v>41</v>
      </c>
      <c r="L42" s="91"/>
    </row>
    <row r="43" spans="3:12" s="82" customFormat="1" hidden="1" x14ac:dyDescent="0.25">
      <c r="C43" s="357" t="s">
        <v>52</v>
      </c>
      <c r="L43" s="91"/>
    </row>
    <row r="44" spans="3:12" s="82" customFormat="1" hidden="1" x14ac:dyDescent="0.25">
      <c r="C44" s="357" t="s">
        <v>62</v>
      </c>
      <c r="L44" s="91"/>
    </row>
    <row r="45" spans="3:12" s="82" customFormat="1" hidden="1" x14ac:dyDescent="0.25">
      <c r="C45" s="357" t="s">
        <v>51</v>
      </c>
      <c r="L45" s="91"/>
    </row>
    <row r="46" spans="3:12" s="82" customFormat="1" hidden="1" x14ac:dyDescent="0.25">
      <c r="C46" s="357" t="s">
        <v>54</v>
      </c>
      <c r="L46" s="91"/>
    </row>
    <row r="47" spans="3:12" s="82" customFormat="1" hidden="1" x14ac:dyDescent="0.25">
      <c r="C47" s="357" t="s">
        <v>55</v>
      </c>
      <c r="L47" s="91"/>
    </row>
    <row r="48" spans="3:12" s="82" customFormat="1" hidden="1" x14ac:dyDescent="0.25">
      <c r="C48" s="357" t="s">
        <v>57</v>
      </c>
      <c r="L48" s="91"/>
    </row>
    <row r="49" spans="1:12" s="82" customFormat="1" hidden="1" x14ac:dyDescent="0.25">
      <c r="C49" s="357" t="s">
        <v>58</v>
      </c>
      <c r="L49" s="91"/>
    </row>
    <row r="50" spans="1:12" s="82" customFormat="1" hidden="1" x14ac:dyDescent="0.25">
      <c r="C50" s="357" t="s">
        <v>56</v>
      </c>
      <c r="L50" s="91"/>
    </row>
    <row r="51" spans="1:12" s="82" customFormat="1" hidden="1" x14ac:dyDescent="0.25">
      <c r="C51" s="357" t="s">
        <v>59</v>
      </c>
      <c r="L51" s="91"/>
    </row>
    <row r="52" spans="1:12" s="82" customFormat="1" hidden="1" x14ac:dyDescent="0.25">
      <c r="C52" s="357" t="s">
        <v>60</v>
      </c>
      <c r="L52" s="91"/>
    </row>
    <row r="53" spans="1:12" s="82" customFormat="1" hidden="1" x14ac:dyDescent="0.25">
      <c r="C53" s="357" t="s">
        <v>61</v>
      </c>
      <c r="L53" s="91"/>
    </row>
    <row r="54" spans="1:12" s="82" customFormat="1" hidden="1" x14ac:dyDescent="0.25">
      <c r="C54" s="357" t="s">
        <v>63</v>
      </c>
      <c r="L54" s="91"/>
    </row>
    <row r="55" spans="1:12" s="82" customFormat="1" hidden="1" x14ac:dyDescent="0.25">
      <c r="C55" s="357" t="s">
        <v>64</v>
      </c>
      <c r="L55" s="91"/>
    </row>
    <row r="56" spans="1:12" s="82" customFormat="1" hidden="1" x14ac:dyDescent="0.25">
      <c r="C56" s="357" t="s">
        <v>65</v>
      </c>
      <c r="L56" s="91"/>
    </row>
    <row r="57" spans="1:12" s="82" customFormat="1" hidden="1" x14ac:dyDescent="0.25">
      <c r="C57" s="357" t="s">
        <v>66</v>
      </c>
      <c r="L57" s="91"/>
    </row>
    <row r="58" spans="1:12" s="82" customFormat="1" hidden="1" x14ac:dyDescent="0.25">
      <c r="C58" s="357" t="s">
        <v>67</v>
      </c>
      <c r="L58" s="91"/>
    </row>
    <row r="59" spans="1:12" x14ac:dyDescent="0.25">
      <c r="F59" s="10" t="s">
        <v>479</v>
      </c>
      <c r="G59" s="361"/>
    </row>
    <row r="61" spans="1:12" x14ac:dyDescent="0.25">
      <c r="A61" s="70">
        <f ca="1">TODAY()+1</f>
        <v>42602</v>
      </c>
      <c r="C61" s="1072" t="s">
        <v>478</v>
      </c>
      <c r="D61" s="854"/>
      <c r="E61" s="854"/>
      <c r="F61" s="854"/>
      <c r="G61" s="854"/>
      <c r="H61" s="854"/>
      <c r="I61" s="854"/>
    </row>
    <row r="62" spans="1:12" x14ac:dyDescent="0.25">
      <c r="A62" s="92">
        <v>0.25</v>
      </c>
    </row>
    <row r="63" spans="1:12" x14ac:dyDescent="0.25">
      <c r="A63" s="3" t="s">
        <v>339</v>
      </c>
      <c r="D63" s="46"/>
      <c r="E63" s="46"/>
      <c r="F63" s="46"/>
      <c r="G63" s="46"/>
      <c r="H63" s="46"/>
      <c r="I63" s="46"/>
    </row>
    <row r="64" spans="1:12" x14ac:dyDescent="0.25">
      <c r="A64" s="1073" t="s">
        <v>404</v>
      </c>
      <c r="B64" s="1055"/>
      <c r="C64" s="1055"/>
      <c r="D64" s="1055"/>
      <c r="E64" s="1055"/>
      <c r="F64" s="1055"/>
      <c r="G64" s="1055"/>
      <c r="H64" s="1055"/>
      <c r="I64" s="1055"/>
      <c r="J64" s="1074"/>
      <c r="K64" s="144"/>
      <c r="L64" s="156" t="str">
        <f>A64</f>
        <v>на боли, рези при хотьбе, при мочеиспускании</v>
      </c>
    </row>
    <row r="65" spans="1:13" x14ac:dyDescent="0.25">
      <c r="A65" s="3" t="s">
        <v>1423</v>
      </c>
    </row>
    <row r="66" spans="1:13" ht="157.5" x14ac:dyDescent="0.25">
      <c r="A66" s="1082" t="s">
        <v>405</v>
      </c>
      <c r="B66" s="1082"/>
      <c r="C66" s="1082"/>
      <c r="D66" s="1082"/>
      <c r="E66" s="1082"/>
      <c r="F66" s="1082"/>
      <c r="G66" s="1082"/>
      <c r="H66" s="1082"/>
      <c r="I66" s="1082"/>
      <c r="J66" s="1074"/>
      <c r="K66" s="144"/>
      <c r="L66" s="156" t="str">
        <f>A66</f>
        <v xml:space="preserve">Состояние  удовлетворительное. Температура 36,9С. Кожные покровы обычной окраски. Л/у доступные пальпации не увеличены. Дыхание в легких везикулярное. ЧД 16 в мин. Тоны сердца приглушены, ритмичные. АД 120/80, ЧСС 70 в мин. Живот не вздут, симметричный, мягкий, участвует в акте дыхания.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отрицательный с обеих сторон. Мочевой пузырь пальпаторно и перкуторно не определяется. Мочится самостоятельно. Уретрита нет. Органы мошонки: пальпируются оба яичка, варикоцеле, гидроцеле не определяется. Мочеиспускание не затрудненное, учащенное, безболезненное. Моча светлая, без примесей. </v>
      </c>
    </row>
    <row r="67" spans="1:13" x14ac:dyDescent="0.25">
      <c r="A67" s="3" t="s">
        <v>31</v>
      </c>
      <c r="C67" s="93">
        <f ca="1">A61-дата_поступления+1</f>
        <v>11</v>
      </c>
      <c r="D67" s="854" t="s">
        <v>384</v>
      </c>
      <c r="E67" s="851"/>
      <c r="F67" s="93">
        <f ca="1">IF((A61-Дата_операции)&lt;1, " ", IF(Дата_операции=0, " ", A61-Дата_операции))</f>
        <v>15</v>
      </c>
      <c r="G67" s="854" t="str">
        <f ca="1">IF((A61-Дата_операции)&lt;1, " ", IF(Дата_операции=0, " ", "сутки после операции"))</f>
        <v>сутки после операции</v>
      </c>
      <c r="H67" s="851"/>
      <c r="I67" s="851"/>
    </row>
    <row r="68" spans="1:13" x14ac:dyDescent="0.25">
      <c r="A68" s="39" t="s">
        <v>71</v>
      </c>
      <c r="B68" s="39"/>
      <c r="C68" s="39"/>
      <c r="D68" s="39"/>
      <c r="E68" s="39"/>
      <c r="F68" s="39"/>
      <c r="G68" s="39"/>
      <c r="H68" s="39"/>
    </row>
    <row r="69" spans="1:13" ht="31.5" x14ac:dyDescent="0.25">
      <c r="A69" s="1083" t="s">
        <v>406</v>
      </c>
      <c r="B69" s="1084"/>
      <c r="C69" s="1084"/>
      <c r="D69" s="1084"/>
      <c r="E69" s="1084"/>
      <c r="F69" s="1084"/>
      <c r="G69" s="1084"/>
      <c r="H69" s="1084"/>
      <c r="I69" s="1084"/>
      <c r="J69" s="1042"/>
      <c r="K69" s="144"/>
      <c r="L69" s="156" t="str">
        <f>A69</f>
        <v>Стриктура верхней трети правого мочеточника. Гидронефроз справа. Внутренний мочеточниковый стент справа.</v>
      </c>
    </row>
    <row r="70" spans="1:13" ht="31.5" x14ac:dyDescent="0.25">
      <c r="A70" s="1085" t="s">
        <v>409</v>
      </c>
      <c r="B70" s="1055"/>
      <c r="C70" s="1055"/>
      <c r="D70" s="1055"/>
      <c r="E70" s="1055"/>
      <c r="F70" s="1055"/>
      <c r="G70" s="1055"/>
      <c r="H70" s="1055"/>
      <c r="I70" s="1055"/>
      <c r="J70" s="1074"/>
      <c r="K70" s="144"/>
      <c r="L70" s="156" t="str">
        <f>A70</f>
        <v>Больному показано удаление внутреннего мочеточникового стента на 3.2.14г. С целью динамичского наблюдение и дальнейшей оценки характера пассажа мочи по ВМП.</v>
      </c>
    </row>
    <row r="71" spans="1:13" x14ac:dyDescent="0.25">
      <c r="A71" s="3" t="s">
        <v>39</v>
      </c>
      <c r="C71" s="1074" t="s">
        <v>480</v>
      </c>
      <c r="D71" s="1056"/>
      <c r="E71" s="1056"/>
      <c r="F71" s="1056"/>
      <c r="G71" s="1056"/>
      <c r="H71" s="1056"/>
      <c r="I71" s="1056"/>
      <c r="J71" s="1056"/>
      <c r="M71" s="173" t="str">
        <f>C71</f>
        <v>Продолжение проводимой терапии в прежнем объеме</v>
      </c>
    </row>
    <row r="72" spans="1:13" x14ac:dyDescent="0.25">
      <c r="F72" s="10" t="s">
        <v>479</v>
      </c>
      <c r="G72" s="12" t="str">
        <f>IF(G59=0, " ", G59)</f>
        <v xml:space="preserve"> </v>
      </c>
    </row>
  </sheetData>
  <sheetProtection formatCells="0" formatRows="0" autoFilter="0"/>
  <autoFilter ref="C11:C58">
    <filterColumn colId="0">
      <filters>
        <filter val="Динамическое наблюдение, контроль жалоб, термометрия"/>
      </filters>
    </filterColumn>
  </autoFilter>
  <mergeCells count="17">
    <mergeCell ref="C71:J71"/>
    <mergeCell ref="D67:E67"/>
    <mergeCell ref="G67:I67"/>
    <mergeCell ref="A64:J64"/>
    <mergeCell ref="A66:J66"/>
    <mergeCell ref="A69:J69"/>
    <mergeCell ref="A70:J70"/>
    <mergeCell ref="C61:I61"/>
    <mergeCell ref="A4:J4"/>
    <mergeCell ref="A6:J6"/>
    <mergeCell ref="A9:J9"/>
    <mergeCell ref="A10:J10"/>
    <mergeCell ref="C1:I1"/>
    <mergeCell ref="H17:I17"/>
    <mergeCell ref="H18:I18"/>
    <mergeCell ref="D7:E7"/>
    <mergeCell ref="G7:I7"/>
  </mergeCells>
  <pageMargins left="0.97499999999999998" right="0.7" top="0.84375" bottom="0.44062499999999999" header="0.3" footer="0.3"/>
  <pageSetup paperSize="9" scale="90" orientation="portrait" r:id="rId1"/>
  <colBreaks count="1" manualBreakCount="1">
    <brk id="10" max="79"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filterMode="1">
    <tabColor theme="5" tint="0.39997558519241921"/>
  </sheetPr>
  <dimension ref="A1:I90"/>
  <sheetViews>
    <sheetView view="pageBreakPreview" zoomScale="78" zoomScaleNormal="100" zoomScaleSheetLayoutView="78" zoomScalePageLayoutView="95" workbookViewId="0">
      <selection activeCell="H14" sqref="H14:I14"/>
    </sheetView>
  </sheetViews>
  <sheetFormatPr defaultRowHeight="15" x14ac:dyDescent="0.25"/>
  <cols>
    <col min="1" max="1" width="10.5703125" style="5" bestFit="1" customWidth="1"/>
    <col min="2" max="4" width="9.140625" style="5"/>
    <col min="5" max="5" width="9.140625" style="5" customWidth="1"/>
    <col min="6" max="16384" width="9.140625" style="5"/>
  </cols>
  <sheetData>
    <row r="1" spans="1:9" ht="15.75" x14ac:dyDescent="0.25">
      <c r="A1" s="82" t="s">
        <v>2717</v>
      </c>
      <c r="F1" s="5">
        <f>№_и_б</f>
        <v>21949</v>
      </c>
    </row>
    <row r="2" spans="1:9" x14ac:dyDescent="0.25">
      <c r="A2" s="5" t="s">
        <v>33</v>
      </c>
      <c r="C2" s="5" t="str">
        <f>ФИО</f>
        <v>Иванова Е.П.</v>
      </c>
    </row>
    <row r="3" spans="1:9" x14ac:dyDescent="0.25">
      <c r="A3" s="5" t="s">
        <v>2085</v>
      </c>
      <c r="C3" s="836" t="str">
        <f>Данные!C22</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c r="D3" s="836"/>
      <c r="E3" s="836"/>
      <c r="F3" s="836"/>
      <c r="G3" s="836"/>
      <c r="H3" s="836"/>
      <c r="I3" s="836"/>
    </row>
    <row r="4" spans="1:9" ht="38.25" customHeight="1" x14ac:dyDescent="0.25">
      <c r="C4" s="836"/>
      <c r="D4" s="836"/>
      <c r="E4" s="836"/>
      <c r="F4" s="836"/>
      <c r="G4" s="836"/>
      <c r="H4" s="836"/>
      <c r="I4" s="836"/>
    </row>
    <row r="5" spans="1:9" x14ac:dyDescent="0.25">
      <c r="A5" s="856" t="s">
        <v>2531</v>
      </c>
      <c r="B5" s="1038" t="s">
        <v>2716</v>
      </c>
      <c r="C5" s="1038" t="s">
        <v>2718</v>
      </c>
      <c r="D5" s="848"/>
      <c r="E5" s="848"/>
      <c r="F5" s="848"/>
      <c r="G5" s="1038" t="s">
        <v>2069</v>
      </c>
      <c r="H5" s="848"/>
      <c r="I5" s="848"/>
    </row>
    <row r="6" spans="1:9" ht="15" customHeight="1" x14ac:dyDescent="0.25">
      <c r="A6" s="856"/>
      <c r="B6" s="853"/>
      <c r="C6" s="848"/>
      <c r="D6" s="848"/>
      <c r="E6" s="848"/>
      <c r="F6" s="848"/>
      <c r="G6" s="752" t="s">
        <v>2719</v>
      </c>
      <c r="H6" s="848" t="s">
        <v>2720</v>
      </c>
      <c r="I6" s="848"/>
    </row>
    <row r="7" spans="1:9" x14ac:dyDescent="0.25">
      <c r="B7" s="752"/>
      <c r="C7" s="853"/>
      <c r="D7" s="853"/>
      <c r="E7" s="853"/>
      <c r="F7" s="853"/>
      <c r="G7" s="753"/>
      <c r="H7" s="851"/>
      <c r="I7" s="851"/>
    </row>
    <row r="8" spans="1:9" ht="15" hidden="1" customHeight="1" x14ac:dyDescent="0.25">
      <c r="B8" s="757"/>
      <c r="C8" s="853" t="s">
        <v>2721</v>
      </c>
      <c r="D8" s="848"/>
      <c r="E8" s="848"/>
      <c r="F8" s="848"/>
      <c r="G8" s="753"/>
      <c r="H8" s="753"/>
    </row>
    <row r="9" spans="1:9" ht="15" hidden="1" customHeight="1" x14ac:dyDescent="0.25">
      <c r="B9" s="757"/>
      <c r="C9" s="853" t="s">
        <v>2722</v>
      </c>
      <c r="D9" s="848"/>
      <c r="E9" s="848"/>
      <c r="F9" s="848"/>
      <c r="G9" s="753"/>
      <c r="H9" s="753"/>
    </row>
    <row r="10" spans="1:9" ht="18.75" hidden="1" customHeight="1" x14ac:dyDescent="0.25">
      <c r="B10" s="755"/>
      <c r="C10" s="853" t="s">
        <v>2723</v>
      </c>
      <c r="D10" s="848"/>
      <c r="E10" s="848"/>
      <c r="F10" s="848"/>
      <c r="G10" s="753"/>
      <c r="H10" s="753"/>
    </row>
    <row r="11" spans="1:9" ht="15" customHeight="1" x14ac:dyDescent="0.25">
      <c r="B11" s="757"/>
      <c r="C11" s="853"/>
      <c r="D11" s="848"/>
      <c r="E11" s="848"/>
      <c r="F11" s="848"/>
      <c r="G11" s="753"/>
      <c r="H11" s="851"/>
      <c r="I11" s="851"/>
    </row>
    <row r="12" spans="1:9" ht="14.25" customHeight="1" x14ac:dyDescent="0.25">
      <c r="B12" s="755"/>
      <c r="C12" s="853"/>
      <c r="D12" s="848"/>
      <c r="E12" s="848"/>
      <c r="F12" s="848"/>
      <c r="G12" s="753"/>
      <c r="H12" s="851"/>
      <c r="I12" s="851"/>
    </row>
    <row r="13" spans="1:9" ht="15" customHeight="1" x14ac:dyDescent="0.25">
      <c r="B13" s="757"/>
      <c r="C13" s="853"/>
      <c r="D13" s="848"/>
      <c r="E13" s="848"/>
      <c r="F13" s="848"/>
      <c r="G13" s="753"/>
      <c r="H13" s="851"/>
      <c r="I13" s="851"/>
    </row>
    <row r="14" spans="1:9" ht="15" customHeight="1" x14ac:dyDescent="0.25">
      <c r="B14" s="757"/>
      <c r="C14" s="853"/>
      <c r="D14" s="848"/>
      <c r="E14" s="848"/>
      <c r="F14" s="848"/>
      <c r="G14" s="753"/>
      <c r="H14" s="851"/>
      <c r="I14" s="851"/>
    </row>
    <row r="15" spans="1:9" ht="15" customHeight="1" x14ac:dyDescent="0.25">
      <c r="B15" s="757"/>
      <c r="C15" s="853"/>
      <c r="D15" s="848"/>
      <c r="E15" s="848"/>
      <c r="F15" s="848"/>
      <c r="G15" s="753"/>
      <c r="H15" s="851"/>
      <c r="I15" s="851"/>
    </row>
    <row r="16" spans="1:9" ht="15" customHeight="1" x14ac:dyDescent="0.25">
      <c r="B16" s="757"/>
      <c r="C16" s="853"/>
      <c r="D16" s="848"/>
      <c r="E16" s="848"/>
      <c r="F16" s="848"/>
      <c r="G16" s="753"/>
      <c r="H16" s="851"/>
      <c r="I16" s="851"/>
    </row>
    <row r="17" spans="2:9" ht="15" customHeight="1" x14ac:dyDescent="0.25">
      <c r="B17" s="757"/>
      <c r="C17" s="853"/>
      <c r="D17" s="848"/>
      <c r="E17" s="848"/>
      <c r="F17" s="848"/>
      <c r="G17" s="753"/>
      <c r="H17" s="851"/>
      <c r="I17" s="851"/>
    </row>
    <row r="18" spans="2:9" x14ac:dyDescent="0.25">
      <c r="B18" s="756"/>
      <c r="C18" s="853"/>
      <c r="D18" s="848"/>
      <c r="E18" s="848"/>
      <c r="F18" s="848"/>
      <c r="G18" s="753"/>
      <c r="H18" s="851"/>
      <c r="I18" s="851"/>
    </row>
    <row r="19" spans="2:9" x14ac:dyDescent="0.25">
      <c r="B19" s="754"/>
      <c r="C19" s="853"/>
      <c r="D19" s="848"/>
      <c r="E19" s="848"/>
      <c r="F19" s="848"/>
      <c r="G19" s="753"/>
      <c r="H19" s="851"/>
      <c r="I19" s="851"/>
    </row>
    <row r="20" spans="2:9" x14ac:dyDescent="0.25">
      <c r="B20" s="754"/>
      <c r="C20" s="853"/>
      <c r="D20" s="848"/>
      <c r="E20" s="848"/>
      <c r="F20" s="848"/>
      <c r="G20" s="753"/>
      <c r="H20" s="851"/>
      <c r="I20" s="851"/>
    </row>
    <row r="21" spans="2:9" x14ac:dyDescent="0.25">
      <c r="B21" s="754"/>
      <c r="C21" s="853"/>
      <c r="D21" s="848"/>
      <c r="E21" s="848"/>
      <c r="F21" s="848"/>
      <c r="G21" s="753"/>
      <c r="H21" s="851"/>
      <c r="I21" s="851"/>
    </row>
    <row r="22" spans="2:9" x14ac:dyDescent="0.25">
      <c r="B22" s="754"/>
      <c r="C22" s="853"/>
      <c r="D22" s="848"/>
      <c r="E22" s="848"/>
      <c r="F22" s="848"/>
      <c r="G22" s="753"/>
      <c r="H22" s="851"/>
      <c r="I22" s="851"/>
    </row>
    <row r="23" spans="2:9" x14ac:dyDescent="0.25">
      <c r="B23" s="754"/>
      <c r="C23" s="853"/>
      <c r="D23" s="848"/>
      <c r="E23" s="848"/>
      <c r="F23" s="848"/>
      <c r="G23" s="753"/>
      <c r="H23" s="851"/>
      <c r="I23" s="851"/>
    </row>
    <row r="24" spans="2:9" x14ac:dyDescent="0.25">
      <c r="B24" s="754"/>
      <c r="C24" s="853"/>
      <c r="D24" s="848"/>
      <c r="E24" s="848"/>
      <c r="F24" s="848"/>
      <c r="G24" s="753"/>
      <c r="H24" s="851"/>
      <c r="I24" s="851"/>
    </row>
    <row r="25" spans="2:9" x14ac:dyDescent="0.25">
      <c r="B25" s="754"/>
      <c r="C25" s="853"/>
      <c r="D25" s="848"/>
      <c r="E25" s="848"/>
      <c r="F25" s="848"/>
      <c r="G25" s="753"/>
      <c r="H25" s="851"/>
      <c r="I25" s="851"/>
    </row>
    <row r="26" spans="2:9" x14ac:dyDescent="0.25">
      <c r="B26" s="754"/>
      <c r="C26" s="853"/>
      <c r="D26" s="848"/>
      <c r="E26" s="848"/>
      <c r="F26" s="848"/>
      <c r="G26" s="753"/>
      <c r="H26" s="851"/>
      <c r="I26" s="851"/>
    </row>
    <row r="27" spans="2:9" x14ac:dyDescent="0.25">
      <c r="B27" s="754"/>
      <c r="C27" s="853"/>
      <c r="D27" s="848"/>
      <c r="E27" s="848"/>
      <c r="F27" s="848"/>
      <c r="G27" s="753"/>
      <c r="H27" s="851"/>
      <c r="I27" s="851"/>
    </row>
    <row r="28" spans="2:9" x14ac:dyDescent="0.25">
      <c r="B28" s="754"/>
      <c r="C28" s="853"/>
      <c r="D28" s="848"/>
      <c r="E28" s="848"/>
      <c r="F28" s="848"/>
      <c r="G28" s="753"/>
      <c r="H28" s="851"/>
      <c r="I28" s="851"/>
    </row>
    <row r="29" spans="2:9" x14ac:dyDescent="0.25">
      <c r="B29" s="754"/>
      <c r="C29" s="853"/>
      <c r="D29" s="848"/>
      <c r="E29" s="848"/>
      <c r="F29" s="848"/>
      <c r="G29" s="753"/>
      <c r="H29" s="851"/>
      <c r="I29" s="851"/>
    </row>
    <row r="30" spans="2:9" x14ac:dyDescent="0.25">
      <c r="B30" s="754"/>
      <c r="C30" s="853"/>
      <c r="D30" s="848"/>
      <c r="E30" s="848"/>
      <c r="F30" s="848"/>
      <c r="G30" s="753"/>
      <c r="H30" s="851"/>
      <c r="I30" s="851"/>
    </row>
    <row r="31" spans="2:9" x14ac:dyDescent="0.25">
      <c r="B31" s="754"/>
      <c r="C31" s="853"/>
      <c r="D31" s="848"/>
      <c r="E31" s="848"/>
      <c r="F31" s="848"/>
      <c r="G31" s="753"/>
      <c r="H31" s="851"/>
      <c r="I31" s="851"/>
    </row>
    <row r="32" spans="2:9" x14ac:dyDescent="0.25">
      <c r="B32" s="754"/>
      <c r="C32" s="853"/>
      <c r="D32" s="848"/>
      <c r="E32" s="848"/>
      <c r="F32" s="848"/>
      <c r="G32" s="753"/>
      <c r="H32" s="851"/>
      <c r="I32" s="851"/>
    </row>
    <row r="33" spans="1:9" x14ac:dyDescent="0.25">
      <c r="B33" s="754"/>
      <c r="C33" s="853"/>
      <c r="D33" s="848"/>
      <c r="E33" s="848"/>
      <c r="F33" s="848"/>
      <c r="G33" s="753"/>
      <c r="H33" s="851"/>
      <c r="I33" s="851"/>
    </row>
    <row r="34" spans="1:9" x14ac:dyDescent="0.25">
      <c r="B34" s="754"/>
      <c r="C34" s="853"/>
      <c r="D34" s="848"/>
      <c r="E34" s="848"/>
      <c r="F34" s="848"/>
      <c r="G34" s="753"/>
      <c r="H34" s="851"/>
      <c r="I34" s="851"/>
    </row>
    <row r="35" spans="1:9" x14ac:dyDescent="0.25">
      <c r="B35" s="754"/>
      <c r="C35" s="853"/>
      <c r="D35" s="848"/>
      <c r="E35" s="848"/>
      <c r="F35" s="848"/>
      <c r="G35" s="753"/>
      <c r="H35" s="851"/>
      <c r="I35" s="851"/>
    </row>
    <row r="36" spans="1:9" x14ac:dyDescent="0.25">
      <c r="B36" s="754"/>
      <c r="C36" s="853"/>
      <c r="D36" s="848"/>
      <c r="E36" s="848"/>
      <c r="F36" s="848"/>
      <c r="G36" s="753"/>
      <c r="H36" s="851"/>
      <c r="I36" s="851"/>
    </row>
    <row r="37" spans="1:9" x14ac:dyDescent="0.25">
      <c r="B37" s="754"/>
      <c r="C37" s="853"/>
      <c r="D37" s="848"/>
      <c r="E37" s="848"/>
      <c r="F37" s="848"/>
      <c r="G37" s="753"/>
      <c r="H37" s="851"/>
      <c r="I37" s="851"/>
    </row>
    <row r="38" spans="1:9" x14ac:dyDescent="0.25">
      <c r="B38" s="754"/>
      <c r="C38" s="754"/>
      <c r="D38" s="754"/>
      <c r="G38" s="753"/>
    </row>
    <row r="39" spans="1:9" x14ac:dyDescent="0.25">
      <c r="A39" s="5" t="s">
        <v>2517</v>
      </c>
      <c r="H39" s="753"/>
    </row>
    <row r="40" spans="1:9" x14ac:dyDescent="0.25">
      <c r="B40" s="753"/>
      <c r="C40" s="753"/>
      <c r="D40" s="753"/>
      <c r="G40" s="753"/>
    </row>
    <row r="42" spans="1:9" x14ac:dyDescent="0.25">
      <c r="A42" s="852" t="s">
        <v>2072</v>
      </c>
      <c r="B42" s="853"/>
      <c r="C42" s="689">
        <f>дата_поступления</f>
        <v>42592</v>
      </c>
    </row>
    <row r="43" spans="1:9" ht="15.75" x14ac:dyDescent="0.25">
      <c r="A43" s="852" t="s">
        <v>2507</v>
      </c>
      <c r="B43" s="853"/>
      <c r="C43" s="702" t="s">
        <v>2564</v>
      </c>
    </row>
    <row r="44" spans="1:9" ht="15.75" x14ac:dyDescent="0.25">
      <c r="A44" s="852" t="s">
        <v>2508</v>
      </c>
      <c r="B44" s="853"/>
      <c r="C44" s="702" t="s">
        <v>2564</v>
      </c>
    </row>
    <row r="45" spans="1:9" ht="15.75" x14ac:dyDescent="0.25">
      <c r="A45" s="852" t="s">
        <v>2509</v>
      </c>
      <c r="B45" s="853"/>
      <c r="C45" s="702"/>
    </row>
    <row r="46" spans="1:9" ht="15.75" x14ac:dyDescent="0.25">
      <c r="A46" s="852" t="s">
        <v>2510</v>
      </c>
      <c r="B46" s="853"/>
      <c r="C46" s="702"/>
    </row>
    <row r="47" spans="1:9" ht="15.75" x14ac:dyDescent="0.25">
      <c r="A47" s="852" t="s">
        <v>2511</v>
      </c>
      <c r="B47" s="853"/>
      <c r="C47" s="702"/>
    </row>
    <row r="48" spans="1:9" ht="15.75" x14ac:dyDescent="0.25">
      <c r="A48" s="852" t="s">
        <v>2512</v>
      </c>
      <c r="B48" s="853"/>
      <c r="C48" s="702" t="s">
        <v>2564</v>
      </c>
    </row>
    <row r="49" spans="1:3" ht="15.75" x14ac:dyDescent="0.25">
      <c r="A49" s="852" t="s">
        <v>2513</v>
      </c>
      <c r="B49" s="853"/>
      <c r="C49" s="702" t="s">
        <v>2564</v>
      </c>
    </row>
    <row r="50" spans="1:3" ht="15.75" x14ac:dyDescent="0.25">
      <c r="A50" s="852" t="s">
        <v>2514</v>
      </c>
      <c r="B50" s="853"/>
      <c r="C50" s="702" t="s">
        <v>2564</v>
      </c>
    </row>
    <row r="51" spans="1:3" ht="15.75" x14ac:dyDescent="0.25">
      <c r="A51" s="852" t="s">
        <v>2525</v>
      </c>
      <c r="B51" s="853"/>
      <c r="C51" s="702" t="s">
        <v>2564</v>
      </c>
    </row>
    <row r="52" spans="1:3" ht="15.75" x14ac:dyDescent="0.25">
      <c r="A52" s="852" t="s">
        <v>2515</v>
      </c>
      <c r="B52" s="853"/>
      <c r="C52" s="702" t="s">
        <v>2564</v>
      </c>
    </row>
    <row r="53" spans="1:3" ht="15" customHeight="1" x14ac:dyDescent="0.25">
      <c r="A53" s="852" t="s">
        <v>2516</v>
      </c>
      <c r="B53" s="853"/>
      <c r="C53" s="702" t="s">
        <v>2564</v>
      </c>
    </row>
    <row r="54" spans="1:3" ht="15.75" x14ac:dyDescent="0.25">
      <c r="A54" s="852" t="s">
        <v>2518</v>
      </c>
      <c r="B54" s="853"/>
      <c r="C54" s="702" t="s">
        <v>2564</v>
      </c>
    </row>
    <row r="55" spans="1:3" ht="15.75" x14ac:dyDescent="0.25">
      <c r="A55" s="852" t="s">
        <v>2212</v>
      </c>
      <c r="B55" s="853"/>
      <c r="C55" s="702"/>
    </row>
    <row r="56" spans="1:3" ht="15.75" x14ac:dyDescent="0.25">
      <c r="A56" s="852" t="s">
        <v>1435</v>
      </c>
      <c r="B56" s="853"/>
      <c r="C56" s="702" t="s">
        <v>2564</v>
      </c>
    </row>
    <row r="57" spans="1:3" ht="15.75" x14ac:dyDescent="0.25">
      <c r="A57" s="852" t="s">
        <v>2519</v>
      </c>
      <c r="B57" s="853"/>
      <c r="C57" s="702"/>
    </row>
    <row r="58" spans="1:3" ht="15.75" x14ac:dyDescent="0.25">
      <c r="A58" s="852" t="s">
        <v>2520</v>
      </c>
      <c r="B58" s="853"/>
      <c r="C58" s="702"/>
    </row>
    <row r="59" spans="1:3" ht="15.75" x14ac:dyDescent="0.25">
      <c r="A59" s="852" t="s">
        <v>2521</v>
      </c>
      <c r="B59" s="853"/>
      <c r="C59" s="702"/>
    </row>
    <row r="60" spans="1:3" ht="15.75" x14ac:dyDescent="0.25">
      <c r="A60" s="852" t="s">
        <v>2522</v>
      </c>
      <c r="B60" s="853"/>
      <c r="C60" s="702"/>
    </row>
    <row r="61" spans="1:3" ht="15.75" x14ac:dyDescent="0.25">
      <c r="A61" s="852" t="s">
        <v>145</v>
      </c>
      <c r="B61" s="853"/>
      <c r="C61" s="702" t="s">
        <v>2564</v>
      </c>
    </row>
    <row r="62" spans="1:3" ht="15.75" x14ac:dyDescent="0.25">
      <c r="A62" s="852" t="s">
        <v>2523</v>
      </c>
      <c r="B62" s="853"/>
      <c r="C62" s="702" t="s">
        <v>2564</v>
      </c>
    </row>
    <row r="63" spans="1:3" ht="15.75" x14ac:dyDescent="0.25">
      <c r="A63" s="852" t="s">
        <v>2527</v>
      </c>
      <c r="B63" s="853"/>
      <c r="C63" s="702"/>
    </row>
    <row r="64" spans="1:3" ht="15.75" x14ac:dyDescent="0.25">
      <c r="A64" s="852" t="s">
        <v>2526</v>
      </c>
      <c r="B64" s="853"/>
      <c r="C64" s="702"/>
    </row>
    <row r="65" spans="1:3" ht="15.75" x14ac:dyDescent="0.25">
      <c r="A65" s="854" t="s">
        <v>2528</v>
      </c>
      <c r="B65" s="851"/>
      <c r="C65" s="702"/>
    </row>
    <row r="66" spans="1:3" ht="15.75" x14ac:dyDescent="0.25">
      <c r="A66" s="854" t="s">
        <v>2524</v>
      </c>
      <c r="B66" s="851"/>
      <c r="C66" s="702"/>
    </row>
    <row r="67" spans="1:3" ht="15.75" x14ac:dyDescent="0.25">
      <c r="A67" s="851" t="s">
        <v>2450</v>
      </c>
      <c r="B67" s="851"/>
      <c r="C67" s="702"/>
    </row>
    <row r="68" spans="1:3" ht="15.75" x14ac:dyDescent="0.25">
      <c r="A68" s="851" t="s">
        <v>2529</v>
      </c>
      <c r="B68" s="851"/>
      <c r="C68" s="702"/>
    </row>
    <row r="69" spans="1:3" ht="15.75" x14ac:dyDescent="0.25">
      <c r="A69" s="851" t="s">
        <v>2530</v>
      </c>
      <c r="B69" s="851"/>
      <c r="C69" s="702"/>
    </row>
    <row r="70" spans="1:3" ht="15.75" x14ac:dyDescent="0.25">
      <c r="A70" s="851" t="s">
        <v>1889</v>
      </c>
      <c r="B70" s="851"/>
      <c r="C70" s="702"/>
    </row>
    <row r="71" spans="1:3" ht="15.75" x14ac:dyDescent="0.25">
      <c r="A71" s="851" t="s">
        <v>2565</v>
      </c>
      <c r="B71" s="851"/>
      <c r="C71" s="702"/>
    </row>
    <row r="72" spans="1:3" ht="15.75" x14ac:dyDescent="0.25">
      <c r="A72" s="851" t="s">
        <v>2647</v>
      </c>
      <c r="B72" s="851"/>
      <c r="C72" s="702"/>
    </row>
    <row r="73" spans="1:3" x14ac:dyDescent="0.25">
      <c r="A73" s="849"/>
      <c r="B73" s="849"/>
      <c r="C73" s="564"/>
    </row>
    <row r="74" spans="1:3" x14ac:dyDescent="0.25">
      <c r="A74" s="849"/>
      <c r="B74" s="849"/>
      <c r="C74" s="564"/>
    </row>
    <row r="75" spans="1:3" x14ac:dyDescent="0.25">
      <c r="A75" s="849"/>
      <c r="B75" s="849"/>
      <c r="C75" s="564"/>
    </row>
    <row r="76" spans="1:3" x14ac:dyDescent="0.25">
      <c r="A76" s="849"/>
      <c r="B76" s="849"/>
      <c r="C76" s="564"/>
    </row>
    <row r="77" spans="1:3" x14ac:dyDescent="0.25">
      <c r="A77" s="849"/>
      <c r="B77" s="849"/>
      <c r="C77" s="564"/>
    </row>
    <row r="78" spans="1:3" x14ac:dyDescent="0.25">
      <c r="A78" s="849"/>
      <c r="B78" s="849"/>
      <c r="C78" s="564"/>
    </row>
    <row r="79" spans="1:3" x14ac:dyDescent="0.25">
      <c r="A79" s="849"/>
      <c r="B79" s="849"/>
      <c r="C79" s="564"/>
    </row>
    <row r="80" spans="1:3" x14ac:dyDescent="0.25">
      <c r="A80" s="849"/>
      <c r="B80" s="849"/>
      <c r="C80" s="564"/>
    </row>
    <row r="81" spans="1:3" x14ac:dyDescent="0.25">
      <c r="A81" s="849"/>
      <c r="B81" s="849"/>
      <c r="C81" s="564"/>
    </row>
    <row r="82" spans="1:3" x14ac:dyDescent="0.25">
      <c r="A82" s="849"/>
      <c r="B82" s="849"/>
      <c r="C82" s="564"/>
    </row>
    <row r="83" spans="1:3" x14ac:dyDescent="0.25">
      <c r="A83" s="849"/>
      <c r="B83" s="849"/>
      <c r="C83" s="564"/>
    </row>
    <row r="84" spans="1:3" x14ac:dyDescent="0.25">
      <c r="A84" s="849"/>
      <c r="B84" s="849"/>
      <c r="C84" s="564"/>
    </row>
    <row r="85" spans="1:3" x14ac:dyDescent="0.25">
      <c r="A85" s="849"/>
      <c r="B85" s="849"/>
      <c r="C85" s="564"/>
    </row>
    <row r="86" spans="1:3" x14ac:dyDescent="0.25">
      <c r="A86" s="849"/>
      <c r="B86" s="849"/>
      <c r="C86" s="564"/>
    </row>
    <row r="87" spans="1:3" x14ac:dyDescent="0.25">
      <c r="A87" s="849"/>
      <c r="B87" s="849"/>
      <c r="C87" s="564"/>
    </row>
    <row r="88" spans="1:3" x14ac:dyDescent="0.25">
      <c r="A88" s="849"/>
      <c r="B88" s="849"/>
      <c r="C88" s="564"/>
    </row>
    <row r="89" spans="1:3" x14ac:dyDescent="0.25">
      <c r="A89" s="849"/>
      <c r="B89" s="849"/>
      <c r="C89" s="564"/>
    </row>
    <row r="90" spans="1:3" x14ac:dyDescent="0.25">
      <c r="A90" s="849"/>
      <c r="B90" s="849"/>
      <c r="C90" s="564"/>
    </row>
  </sheetData>
  <autoFilter ref="C7:F10">
    <filterColumn colId="0" showButton="0">
      <filters blank="1"/>
    </filterColumn>
    <filterColumn colId="1" showButton="0"/>
    <filterColumn colId="2" showButton="0"/>
  </autoFilter>
  <mergeCells count="114">
    <mergeCell ref="H17:I17"/>
    <mergeCell ref="H18:I18"/>
    <mergeCell ref="H19:I19"/>
    <mergeCell ref="C11:F11"/>
    <mergeCell ref="C12:F12"/>
    <mergeCell ref="A42:B42"/>
    <mergeCell ref="C3:I4"/>
    <mergeCell ref="C21:F21"/>
    <mergeCell ref="C22:F22"/>
    <mergeCell ref="C8:F8"/>
    <mergeCell ref="C9:F9"/>
    <mergeCell ref="C17:F17"/>
    <mergeCell ref="C15:F15"/>
    <mergeCell ref="C16:F16"/>
    <mergeCell ref="C13:F13"/>
    <mergeCell ref="C14:F14"/>
    <mergeCell ref="C10:F10"/>
    <mergeCell ref="G5:I5"/>
    <mergeCell ref="H6:I6"/>
    <mergeCell ref="C5:F6"/>
    <mergeCell ref="H7:I7"/>
    <mergeCell ref="H11:I11"/>
    <mergeCell ref="H12:I12"/>
    <mergeCell ref="H13:I13"/>
    <mergeCell ref="H14:I14"/>
    <mergeCell ref="H15:I15"/>
    <mergeCell ref="H16:I16"/>
    <mergeCell ref="C18:F18"/>
    <mergeCell ref="C19:F19"/>
    <mergeCell ref="C20:F20"/>
    <mergeCell ref="C35:F35"/>
    <mergeCell ref="C36:F36"/>
    <mergeCell ref="C37:F37"/>
    <mergeCell ref="C32:F32"/>
    <mergeCell ref="C33:F33"/>
    <mergeCell ref="C34:F34"/>
    <mergeCell ref="C29:F29"/>
    <mergeCell ref="C30:F30"/>
    <mergeCell ref="C31:F31"/>
    <mergeCell ref="C26:F26"/>
    <mergeCell ref="C27:F27"/>
    <mergeCell ref="C28:F28"/>
    <mergeCell ref="C23:F23"/>
    <mergeCell ref="C24:F24"/>
    <mergeCell ref="C25:F25"/>
    <mergeCell ref="H20:I20"/>
    <mergeCell ref="H21:I21"/>
    <mergeCell ref="H34:I34"/>
    <mergeCell ref="A5:A6"/>
    <mergeCell ref="B5:B6"/>
    <mergeCell ref="C7:F7"/>
    <mergeCell ref="A82:B82"/>
    <mergeCell ref="A83:B83"/>
    <mergeCell ref="A84:B84"/>
    <mergeCell ref="A76:B76"/>
    <mergeCell ref="A77:B77"/>
    <mergeCell ref="A78:B78"/>
    <mergeCell ref="A79:B79"/>
    <mergeCell ref="A80:B80"/>
    <mergeCell ref="A81:B81"/>
    <mergeCell ref="A70:B70"/>
    <mergeCell ref="A71:B71"/>
    <mergeCell ref="A72:B72"/>
    <mergeCell ref="A73:B73"/>
    <mergeCell ref="A74:B74"/>
    <mergeCell ref="A75:B75"/>
    <mergeCell ref="A64:B64"/>
    <mergeCell ref="A65:B65"/>
    <mergeCell ref="A66:B66"/>
    <mergeCell ref="A58:B58"/>
    <mergeCell ref="A59:B59"/>
    <mergeCell ref="A60:B60"/>
    <mergeCell ref="A88:B88"/>
    <mergeCell ref="A89:B89"/>
    <mergeCell ref="A90:B90"/>
    <mergeCell ref="A85:B85"/>
    <mergeCell ref="A86:B86"/>
    <mergeCell ref="A87:B87"/>
    <mergeCell ref="A67:B67"/>
    <mergeCell ref="A68:B68"/>
    <mergeCell ref="A69:B69"/>
    <mergeCell ref="A61:B61"/>
    <mergeCell ref="A62:B62"/>
    <mergeCell ref="A63:B63"/>
    <mergeCell ref="A52:B52"/>
    <mergeCell ref="A53:B53"/>
    <mergeCell ref="A54:B54"/>
    <mergeCell ref="H22:I22"/>
    <mergeCell ref="H23:I23"/>
    <mergeCell ref="H24:I24"/>
    <mergeCell ref="H25:I25"/>
    <mergeCell ref="H26:I26"/>
    <mergeCell ref="H27:I27"/>
    <mergeCell ref="A55:B55"/>
    <mergeCell ref="A56:B56"/>
    <mergeCell ref="A57:B57"/>
    <mergeCell ref="A46:B46"/>
    <mergeCell ref="A47:B47"/>
    <mergeCell ref="A48:B48"/>
    <mergeCell ref="A49:B49"/>
    <mergeCell ref="A50:B50"/>
    <mergeCell ref="A51:B51"/>
    <mergeCell ref="A43:B43"/>
    <mergeCell ref="A44:B44"/>
    <mergeCell ref="A45:B45"/>
    <mergeCell ref="H35:I35"/>
    <mergeCell ref="H36:I36"/>
    <mergeCell ref="H37:I37"/>
    <mergeCell ref="H28:I28"/>
    <mergeCell ref="H29:I29"/>
    <mergeCell ref="H30:I30"/>
    <mergeCell ref="H31:I31"/>
    <mergeCell ref="H32:I32"/>
    <mergeCell ref="H33:I33"/>
  </mergeCells>
  <dataValidations count="2">
    <dataValidation type="list" allowBlank="1" showInputMessage="1" showErrorMessage="1" sqref="C43:C72">
      <formula1>INDIRECT("Таблица124[Столбец1]")</formula1>
    </dataValidation>
    <dataValidation type="list" allowBlank="1" showInputMessage="1" showErrorMessage="1" sqref="H7:H17 G8:G17">
      <formula1>INDIRECT("Таблица4[Таблетки]")</formula1>
    </dataValidation>
  </dataValidations>
  <printOptions horizontalCentered="1" gridLines="1"/>
  <pageMargins left="0.70866141732283472" right="0.70866141732283472" top="0.74803149606299213" bottom="0.74803149606299213" header="0.31496062992125984" footer="0.31496062992125984"/>
  <pageSetup paperSize="9" orientation="portrait" blackAndWhite="1" r:id="rId1"/>
  <rowBreaks count="1" manualBreakCount="1">
    <brk id="41" max="16383" man="1"/>
  </row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dimension ref="A1:AP789"/>
  <sheetViews>
    <sheetView topLeftCell="O1" zoomScale="85" zoomScaleNormal="85" workbookViewId="0">
      <selection activeCell="S5" sqref="S5"/>
    </sheetView>
  </sheetViews>
  <sheetFormatPr defaultRowHeight="20.100000000000001" customHeight="1" x14ac:dyDescent="0.25"/>
  <cols>
    <col min="1" max="1" width="25.7109375" style="123" customWidth="1"/>
    <col min="2" max="2" width="63.5703125" style="124" customWidth="1"/>
    <col min="3" max="3" width="9.140625" style="371"/>
    <col min="4" max="4" width="82.5703125" style="124" customWidth="1"/>
    <col min="5" max="5" width="9.140625" style="371"/>
    <col min="6" max="6" width="9.140625" style="124"/>
    <col min="7" max="15" width="9.140625" style="125"/>
    <col min="16" max="16" width="9.140625" style="551"/>
    <col min="17" max="17" width="6.7109375" style="284" customWidth="1"/>
    <col min="18" max="18" width="9.140625" style="284" customWidth="1"/>
    <col min="19" max="19" width="75.140625" style="284" customWidth="1"/>
    <col min="20" max="20" width="25.7109375" style="284" customWidth="1"/>
    <col min="21" max="21" width="8.42578125" style="284" customWidth="1"/>
    <col min="22" max="22" width="28.7109375" style="284" customWidth="1"/>
    <col min="23" max="23" width="7.42578125" style="284" customWidth="1"/>
    <col min="24" max="24" width="27.42578125" style="284" customWidth="1"/>
    <col min="25" max="25" width="9.140625" style="551"/>
    <col min="26" max="26" width="9.140625" style="125"/>
    <col min="27" max="29" width="9.140625" style="8" hidden="1" customWidth="1"/>
    <col min="30" max="31" width="9.140625" style="125" customWidth="1"/>
    <col min="32" max="33" width="9.140625" style="125" hidden="1" customWidth="1"/>
    <col min="34" max="41" width="9.140625" style="125"/>
    <col min="42" max="42" width="14.85546875" style="125" bestFit="1" customWidth="1"/>
    <col min="43" max="16384" width="9.140625" style="125"/>
  </cols>
  <sheetData>
    <row r="1" spans="1:42" s="368" customFormat="1" ht="63" x14ac:dyDescent="0.25">
      <c r="A1" s="367" t="s">
        <v>2146</v>
      </c>
      <c r="D1" s="368" t="s">
        <v>586</v>
      </c>
      <c r="F1" s="368" t="s">
        <v>587</v>
      </c>
      <c r="Q1" s="369" t="s">
        <v>734</v>
      </c>
      <c r="R1" s="369"/>
      <c r="S1" s="369"/>
      <c r="T1" s="369"/>
      <c r="U1" s="369"/>
      <c r="V1" s="369"/>
      <c r="W1" s="369"/>
      <c r="X1" s="369"/>
      <c r="AA1" s="370" t="s">
        <v>69</v>
      </c>
      <c r="AB1" s="370" t="s">
        <v>68</v>
      </c>
      <c r="AC1" s="370" t="s">
        <v>70</v>
      </c>
      <c r="AH1" s="1099" t="str">
        <f ca="1">IF(И.О.ЗАВ.ОТД.=1,"Осмотр с и.о.зав.отд. Юсуфовым А.Г.", IF(WEEKDAY(Дневник!A2,2)=5,"Осмотр с проф.Кривобородовым Г.Г., зав.отд. Котовым С.В.",IF(WEEKDAY(Дневник!A2,2)=3,"Осмотр с проф. Кривобородовым Г.Г., зав.отд. Котовым С.В.","Осмотр с зав.отд. Котовым С.В.")))</f>
        <v>Осмотр с проф.Кривобородовым Г.Г., зав.отд. Котовым С.В.</v>
      </c>
      <c r="AI1" s="1100"/>
      <c r="AJ1" s="1100"/>
      <c r="AK1" s="1100"/>
      <c r="AL1" s="1100"/>
      <c r="AM1" s="1100"/>
      <c r="AN1" s="1100"/>
      <c r="AP1" s="655">
        <f ca="1">IF(TODAY()=дата_поступления, TODAY()+1, TODAY())</f>
        <v>42601</v>
      </c>
    </row>
    <row r="2" spans="1:42" ht="20.100000000000001" customHeight="1" thickBot="1" x14ac:dyDescent="0.3">
      <c r="A2" s="436"/>
      <c r="B2" s="437"/>
      <c r="D2" s="438"/>
      <c r="F2" s="437"/>
      <c r="Q2" s="1101" t="s">
        <v>735</v>
      </c>
      <c r="R2" s="1101"/>
      <c r="S2" s="1101"/>
      <c r="T2" s="1101"/>
      <c r="U2" s="1101"/>
      <c r="V2" s="1101"/>
      <c r="W2" s="1101"/>
      <c r="X2" s="1101"/>
      <c r="AA2" s="54" t="s">
        <v>407</v>
      </c>
      <c r="AB2" s="54" t="s">
        <v>103</v>
      </c>
      <c r="AC2" s="54">
        <v>15</v>
      </c>
      <c r="AF2" s="515" t="s">
        <v>2116</v>
      </c>
      <c r="AG2" s="515" t="s">
        <v>2117</v>
      </c>
    </row>
    <row r="3" spans="1:42" ht="20.100000000000001" customHeight="1" thickBot="1" x14ac:dyDescent="0.3">
      <c r="A3" s="439" t="s">
        <v>481</v>
      </c>
      <c r="B3" s="440"/>
      <c r="D3" s="438"/>
      <c r="F3" s="1086" t="s">
        <v>723</v>
      </c>
      <c r="G3" s="1098"/>
      <c r="H3" s="1098"/>
      <c r="I3" s="1098"/>
      <c r="J3" s="1098"/>
      <c r="K3" s="1098"/>
      <c r="L3" s="1098"/>
      <c r="M3" s="1098"/>
      <c r="N3" s="1098"/>
      <c r="O3" s="1098"/>
      <c r="Q3" s="215" t="s">
        <v>736</v>
      </c>
      <c r="R3" s="216" t="s">
        <v>737</v>
      </c>
      <c r="S3" s="216" t="s">
        <v>738</v>
      </c>
      <c r="T3" s="216" t="s">
        <v>739</v>
      </c>
      <c r="U3" s="217" t="s">
        <v>740</v>
      </c>
      <c r="V3" s="216" t="s">
        <v>741</v>
      </c>
      <c r="W3" s="216" t="s">
        <v>742</v>
      </c>
      <c r="X3" s="218" t="s">
        <v>743</v>
      </c>
      <c r="AA3" s="54" t="s">
        <v>588</v>
      </c>
      <c r="AB3" s="54" t="s">
        <v>103</v>
      </c>
      <c r="AC3" s="54">
        <v>15</v>
      </c>
      <c r="AF3" s="515">
        <v>1</v>
      </c>
      <c r="AG3" s="515">
        <v>200430</v>
      </c>
    </row>
    <row r="4" spans="1:42" ht="20.100000000000001" customHeight="1" thickBot="1" x14ac:dyDescent="0.3">
      <c r="A4" s="441" t="s">
        <v>482</v>
      </c>
      <c r="B4" s="442" t="s">
        <v>483</v>
      </c>
      <c r="D4" s="443" t="s">
        <v>1497</v>
      </c>
      <c r="F4" s="1086" t="s">
        <v>2426</v>
      </c>
      <c r="G4" s="1098"/>
      <c r="H4" s="1098"/>
      <c r="I4" s="1098"/>
      <c r="J4" s="1098"/>
      <c r="K4" s="1098"/>
      <c r="L4" s="1098"/>
      <c r="M4" s="1098"/>
      <c r="N4" s="1098"/>
      <c r="O4" s="1098"/>
      <c r="Q4" s="219">
        <v>1</v>
      </c>
      <c r="R4" s="220">
        <v>2</v>
      </c>
      <c r="S4" s="220">
        <v>3</v>
      </c>
      <c r="T4" s="220">
        <v>4</v>
      </c>
      <c r="U4" s="221">
        <v>5</v>
      </c>
      <c r="V4" s="222">
        <v>6</v>
      </c>
      <c r="W4" s="220">
        <v>7</v>
      </c>
      <c r="X4" s="223">
        <v>8</v>
      </c>
      <c r="AA4" s="54" t="s">
        <v>589</v>
      </c>
      <c r="AB4" s="54" t="s">
        <v>103</v>
      </c>
      <c r="AC4" s="54">
        <v>15</v>
      </c>
      <c r="AF4" s="515">
        <v>2</v>
      </c>
      <c r="AG4" s="515">
        <v>200431</v>
      </c>
    </row>
    <row r="5" spans="1:42" ht="20.100000000000001" customHeight="1" thickBot="1" x14ac:dyDescent="0.3">
      <c r="A5" s="444" t="s">
        <v>82</v>
      </c>
      <c r="B5" s="445" t="s">
        <v>484</v>
      </c>
      <c r="D5" s="446" t="s">
        <v>1498</v>
      </c>
      <c r="F5" s="1086" t="s">
        <v>336</v>
      </c>
      <c r="G5" s="1098"/>
      <c r="H5" s="1098"/>
      <c r="I5" s="1098"/>
      <c r="J5" s="1098"/>
      <c r="K5" s="1098"/>
      <c r="L5" s="1098"/>
      <c r="M5" s="1098"/>
      <c r="N5" s="1098"/>
      <c r="O5" s="1098"/>
      <c r="Q5" s="224" t="s">
        <v>744</v>
      </c>
      <c r="R5" s="225"/>
      <c r="S5" s="226" t="s">
        <v>745</v>
      </c>
      <c r="T5" s="227" t="s">
        <v>746</v>
      </c>
      <c r="U5" s="228" t="s">
        <v>408</v>
      </c>
      <c r="V5" s="229" t="s">
        <v>747</v>
      </c>
      <c r="W5" s="230">
        <v>15</v>
      </c>
      <c r="X5" s="231" t="s">
        <v>748</v>
      </c>
      <c r="AA5" s="54" t="s">
        <v>590</v>
      </c>
      <c r="AB5" s="54" t="s">
        <v>103</v>
      </c>
      <c r="AC5" s="54">
        <v>15</v>
      </c>
      <c r="AF5" s="515">
        <v>3</v>
      </c>
      <c r="AG5" s="515">
        <v>200432</v>
      </c>
    </row>
    <row r="6" spans="1:42" ht="20.100000000000001" customHeight="1" thickBot="1" x14ac:dyDescent="0.3">
      <c r="A6" s="444" t="s">
        <v>485</v>
      </c>
      <c r="B6" s="445" t="s">
        <v>481</v>
      </c>
      <c r="D6" s="443" t="s">
        <v>1499</v>
      </c>
      <c r="F6" s="1086" t="s">
        <v>337</v>
      </c>
      <c r="G6" s="1098"/>
      <c r="H6" s="1098"/>
      <c r="I6" s="1098"/>
      <c r="J6" s="1098"/>
      <c r="K6" s="1098"/>
      <c r="L6" s="1098"/>
      <c r="M6" s="1098"/>
      <c r="N6" s="1098"/>
      <c r="O6" s="1098"/>
      <c r="Q6" s="232" t="s">
        <v>408</v>
      </c>
      <c r="R6" s="233" t="s">
        <v>407</v>
      </c>
      <c r="S6" s="234" t="s">
        <v>749</v>
      </c>
      <c r="T6" s="235" t="s">
        <v>750</v>
      </c>
      <c r="U6" s="236" t="s">
        <v>408</v>
      </c>
      <c r="V6" s="237" t="s">
        <v>751</v>
      </c>
      <c r="W6" s="238"/>
      <c r="X6" s="239" t="s">
        <v>752</v>
      </c>
      <c r="AA6" s="54" t="s">
        <v>591</v>
      </c>
      <c r="AB6" s="54" t="s">
        <v>103</v>
      </c>
      <c r="AC6" s="54">
        <v>15</v>
      </c>
      <c r="AF6" s="515">
        <v>4</v>
      </c>
      <c r="AG6" s="515">
        <v>200433</v>
      </c>
    </row>
    <row r="7" spans="1:42" ht="20.100000000000001" customHeight="1" thickBot="1" x14ac:dyDescent="0.3">
      <c r="A7" s="444" t="s">
        <v>486</v>
      </c>
      <c r="B7" s="445" t="s">
        <v>487</v>
      </c>
      <c r="D7" s="446" t="s">
        <v>1500</v>
      </c>
      <c r="F7" s="1086" t="s">
        <v>330</v>
      </c>
      <c r="G7" s="1098"/>
      <c r="H7" s="1098"/>
      <c r="I7" s="1098"/>
      <c r="J7" s="1098"/>
      <c r="K7" s="1098"/>
      <c r="L7" s="1098"/>
      <c r="M7" s="1098"/>
      <c r="N7" s="1098"/>
      <c r="O7" s="1098"/>
      <c r="Q7" s="232" t="s">
        <v>408</v>
      </c>
      <c r="R7" s="240" t="s">
        <v>601</v>
      </c>
      <c r="S7" s="234" t="s">
        <v>753</v>
      </c>
      <c r="T7" s="235" t="s">
        <v>754</v>
      </c>
      <c r="U7" s="236" t="s">
        <v>408</v>
      </c>
      <c r="V7" s="237" t="s">
        <v>755</v>
      </c>
      <c r="W7" s="238"/>
      <c r="X7" s="239" t="s">
        <v>756</v>
      </c>
      <c r="AA7" s="54" t="s">
        <v>592</v>
      </c>
      <c r="AB7" s="54" t="s">
        <v>103</v>
      </c>
      <c r="AC7" s="54">
        <v>15</v>
      </c>
      <c r="AF7" s="515">
        <v>5</v>
      </c>
      <c r="AG7" s="515">
        <v>200434</v>
      </c>
    </row>
    <row r="8" spans="1:42" ht="20.100000000000001" customHeight="1" x14ac:dyDescent="0.25">
      <c r="A8" s="447"/>
      <c r="B8" s="448"/>
      <c r="D8" s="446" t="s">
        <v>1501</v>
      </c>
      <c r="F8" s="1086" t="s">
        <v>327</v>
      </c>
      <c r="G8" s="1098"/>
      <c r="H8" s="1098"/>
      <c r="I8" s="1098"/>
      <c r="J8" s="1098"/>
      <c r="K8" s="1098"/>
      <c r="L8" s="1098"/>
      <c r="M8" s="1098"/>
      <c r="N8" s="1098"/>
      <c r="O8" s="1098"/>
      <c r="Q8" s="232" t="s">
        <v>408</v>
      </c>
      <c r="R8" s="240" t="s">
        <v>588</v>
      </c>
      <c r="S8" s="234" t="s">
        <v>757</v>
      </c>
      <c r="T8" s="235" t="s">
        <v>758</v>
      </c>
      <c r="U8" s="236">
        <v>3</v>
      </c>
      <c r="V8" s="237" t="s">
        <v>759</v>
      </c>
      <c r="W8" s="238"/>
      <c r="X8" s="239" t="s">
        <v>760</v>
      </c>
      <c r="AA8" s="54" t="s">
        <v>593</v>
      </c>
      <c r="AB8" s="54" t="s">
        <v>103</v>
      </c>
      <c r="AC8" s="54">
        <v>15</v>
      </c>
      <c r="AF8" s="515">
        <v>6</v>
      </c>
      <c r="AG8" s="515">
        <v>200435</v>
      </c>
    </row>
    <row r="9" spans="1:42" ht="20.100000000000001" customHeight="1" x14ac:dyDescent="0.25">
      <c r="A9" s="439" t="s">
        <v>489</v>
      </c>
      <c r="B9" s="448"/>
      <c r="D9" s="443" t="s">
        <v>1502</v>
      </c>
      <c r="F9" s="1086" t="s">
        <v>328</v>
      </c>
      <c r="G9" s="1098"/>
      <c r="H9" s="1098"/>
      <c r="I9" s="1098"/>
      <c r="J9" s="1098"/>
      <c r="K9" s="1098"/>
      <c r="L9" s="1098"/>
      <c r="M9" s="1098"/>
      <c r="N9" s="1098"/>
      <c r="O9" s="1098"/>
      <c r="Q9" s="232" t="s">
        <v>408</v>
      </c>
      <c r="R9" s="240" t="s">
        <v>600</v>
      </c>
      <c r="S9" s="234" t="s">
        <v>761</v>
      </c>
      <c r="T9" s="235" t="s">
        <v>762</v>
      </c>
      <c r="U9" s="236">
        <v>2</v>
      </c>
      <c r="V9" s="237" t="s">
        <v>763</v>
      </c>
      <c r="W9" s="238"/>
      <c r="X9" s="239" t="s">
        <v>764</v>
      </c>
      <c r="AA9" s="54" t="s">
        <v>594</v>
      </c>
      <c r="AB9" s="54" t="s">
        <v>103</v>
      </c>
      <c r="AC9" s="54">
        <v>15</v>
      </c>
      <c r="AF9" s="515">
        <v>7</v>
      </c>
      <c r="AG9" s="515">
        <v>200436</v>
      </c>
    </row>
    <row r="10" spans="1:42" ht="20.100000000000001" customHeight="1" x14ac:dyDescent="0.25">
      <c r="A10" s="449" t="s">
        <v>482</v>
      </c>
      <c r="B10" s="434" t="s">
        <v>490</v>
      </c>
      <c r="D10" s="446" t="s">
        <v>1503</v>
      </c>
      <c r="F10" s="1086" t="s">
        <v>329</v>
      </c>
      <c r="G10" s="1098"/>
      <c r="H10" s="1098"/>
      <c r="I10" s="1098"/>
      <c r="J10" s="1098"/>
      <c r="K10" s="1098"/>
      <c r="L10" s="1098"/>
      <c r="M10" s="1098"/>
      <c r="N10" s="1098"/>
      <c r="O10" s="1098"/>
      <c r="Q10" s="232" t="s">
        <v>408</v>
      </c>
      <c r="R10" s="240" t="s">
        <v>597</v>
      </c>
      <c r="S10" s="234" t="s">
        <v>765</v>
      </c>
      <c r="T10" s="235" t="s">
        <v>766</v>
      </c>
      <c r="U10" s="236">
        <v>2</v>
      </c>
      <c r="V10" s="237" t="s">
        <v>767</v>
      </c>
      <c r="W10" s="238"/>
      <c r="X10" s="239" t="s">
        <v>768</v>
      </c>
      <c r="AA10" s="54" t="s">
        <v>595</v>
      </c>
      <c r="AB10" s="54" t="s">
        <v>103</v>
      </c>
      <c r="AC10" s="54">
        <v>15</v>
      </c>
      <c r="AF10" s="515">
        <v>8</v>
      </c>
      <c r="AG10" s="515">
        <v>200437</v>
      </c>
    </row>
    <row r="11" spans="1:42" ht="20.100000000000001" customHeight="1" x14ac:dyDescent="0.25">
      <c r="A11" s="449" t="s">
        <v>82</v>
      </c>
      <c r="B11" s="450" t="s">
        <v>491</v>
      </c>
      <c r="D11" s="446" t="s">
        <v>1504</v>
      </c>
      <c r="F11" s="1086" t="s">
        <v>331</v>
      </c>
      <c r="G11" s="1098"/>
      <c r="H11" s="1098"/>
      <c r="I11" s="1098"/>
      <c r="J11" s="1098"/>
      <c r="K11" s="1098"/>
      <c r="L11" s="1098"/>
      <c r="M11" s="1098"/>
      <c r="N11" s="1098"/>
      <c r="O11" s="1098"/>
      <c r="Q11" s="232" t="s">
        <v>408</v>
      </c>
      <c r="R11" s="240" t="s">
        <v>590</v>
      </c>
      <c r="S11" s="234" t="s">
        <v>769</v>
      </c>
      <c r="T11" s="235" t="s">
        <v>770</v>
      </c>
      <c r="U11" s="236">
        <v>1</v>
      </c>
      <c r="V11" s="237" t="s">
        <v>771</v>
      </c>
      <c r="W11" s="238"/>
      <c r="X11" s="239" t="s">
        <v>772</v>
      </c>
      <c r="AA11" s="54" t="s">
        <v>596</v>
      </c>
      <c r="AB11" s="54" t="s">
        <v>103</v>
      </c>
      <c r="AC11" s="54">
        <v>15</v>
      </c>
      <c r="AF11" s="515">
        <v>9</v>
      </c>
      <c r="AG11" s="515">
        <v>200438</v>
      </c>
    </row>
    <row r="12" spans="1:42" ht="20.100000000000001" customHeight="1" x14ac:dyDescent="0.25">
      <c r="A12" s="449" t="s">
        <v>485</v>
      </c>
      <c r="B12" s="450" t="s">
        <v>492</v>
      </c>
      <c r="D12" s="446" t="s">
        <v>1505</v>
      </c>
      <c r="F12" s="1086" t="s">
        <v>332</v>
      </c>
      <c r="G12" s="1098"/>
      <c r="H12" s="1098"/>
      <c r="I12" s="1098"/>
      <c r="J12" s="1098"/>
      <c r="K12" s="1098"/>
      <c r="L12" s="1098"/>
      <c r="M12" s="1098"/>
      <c r="N12" s="1098"/>
      <c r="O12" s="1098"/>
      <c r="Q12" s="232" t="s">
        <v>408</v>
      </c>
      <c r="R12" s="240" t="s">
        <v>603</v>
      </c>
      <c r="S12" s="234" t="s">
        <v>773</v>
      </c>
      <c r="T12" s="235" t="s">
        <v>774</v>
      </c>
      <c r="U12" s="236">
        <v>1</v>
      </c>
      <c r="V12" s="237" t="s">
        <v>775</v>
      </c>
      <c r="W12" s="238"/>
      <c r="X12" s="239" t="s">
        <v>776</v>
      </c>
      <c r="AA12" s="54" t="s">
        <v>597</v>
      </c>
      <c r="AB12" s="54" t="s">
        <v>103</v>
      </c>
      <c r="AC12" s="54">
        <v>15</v>
      </c>
      <c r="AF12" s="515">
        <v>10</v>
      </c>
      <c r="AG12" s="515">
        <v>200439</v>
      </c>
    </row>
    <row r="13" spans="1:42" ht="20.100000000000001" customHeight="1" x14ac:dyDescent="0.25">
      <c r="A13" s="449" t="s">
        <v>486</v>
      </c>
      <c r="B13" s="450" t="s">
        <v>493</v>
      </c>
      <c r="D13" s="446" t="s">
        <v>1506</v>
      </c>
      <c r="F13" s="1086" t="s">
        <v>333</v>
      </c>
      <c r="G13" s="1098"/>
      <c r="H13" s="1098"/>
      <c r="I13" s="1098"/>
      <c r="J13" s="1098"/>
      <c r="K13" s="1098"/>
      <c r="L13" s="1098"/>
      <c r="M13" s="1098"/>
      <c r="N13" s="1098"/>
      <c r="O13" s="1098"/>
      <c r="Q13" s="232" t="s">
        <v>408</v>
      </c>
      <c r="R13" s="240" t="s">
        <v>599</v>
      </c>
      <c r="S13" s="234" t="s">
        <v>777</v>
      </c>
      <c r="T13" s="235" t="s">
        <v>778</v>
      </c>
      <c r="U13" s="236">
        <v>1</v>
      </c>
      <c r="V13" s="237" t="s">
        <v>759</v>
      </c>
      <c r="W13" s="238"/>
      <c r="X13" s="239" t="s">
        <v>779</v>
      </c>
      <c r="AA13" s="54" t="s">
        <v>598</v>
      </c>
      <c r="AB13" s="54" t="s">
        <v>103</v>
      </c>
      <c r="AC13" s="54">
        <v>15</v>
      </c>
      <c r="AF13" s="515">
        <v>11</v>
      </c>
      <c r="AG13" s="515">
        <v>200036</v>
      </c>
    </row>
    <row r="14" spans="1:42" ht="20.100000000000001" customHeight="1" x14ac:dyDescent="0.25">
      <c r="A14" s="447"/>
      <c r="B14" s="448"/>
      <c r="D14" s="446" t="s">
        <v>1507</v>
      </c>
      <c r="F14" s="1086" t="s">
        <v>334</v>
      </c>
      <c r="G14" s="1098"/>
      <c r="H14" s="1098"/>
      <c r="I14" s="1098"/>
      <c r="J14" s="1098"/>
      <c r="K14" s="1098"/>
      <c r="L14" s="1098"/>
      <c r="M14" s="1098"/>
      <c r="N14" s="1098"/>
      <c r="O14" s="1098"/>
      <c r="Q14" s="232" t="s">
        <v>408</v>
      </c>
      <c r="R14" s="240" t="s">
        <v>595</v>
      </c>
      <c r="S14" s="234" t="s">
        <v>780</v>
      </c>
      <c r="T14" s="235" t="s">
        <v>781</v>
      </c>
      <c r="U14" s="236">
        <v>1</v>
      </c>
      <c r="V14" s="237"/>
      <c r="W14" s="238"/>
      <c r="X14" s="239" t="s">
        <v>782</v>
      </c>
      <c r="AA14" s="54" t="s">
        <v>599</v>
      </c>
      <c r="AB14" s="54" t="s">
        <v>103</v>
      </c>
      <c r="AC14" s="54">
        <v>15</v>
      </c>
    </row>
    <row r="15" spans="1:42" ht="20.100000000000001" customHeight="1" thickBot="1" x14ac:dyDescent="0.3">
      <c r="A15" s="439" t="s">
        <v>494</v>
      </c>
      <c r="B15" s="448"/>
      <c r="D15" s="446" t="s">
        <v>1508</v>
      </c>
      <c r="F15" s="1086" t="s">
        <v>335</v>
      </c>
      <c r="G15" s="1098"/>
      <c r="H15" s="1098"/>
      <c r="I15" s="1098"/>
      <c r="J15" s="1098"/>
      <c r="K15" s="1098"/>
      <c r="L15" s="1098"/>
      <c r="M15" s="1098"/>
      <c r="N15" s="1098"/>
      <c r="O15" s="1098"/>
      <c r="Q15" s="232" t="s">
        <v>408</v>
      </c>
      <c r="R15" s="240" t="s">
        <v>593</v>
      </c>
      <c r="S15" s="234" t="s">
        <v>783</v>
      </c>
      <c r="T15" s="235" t="s">
        <v>784</v>
      </c>
      <c r="U15" s="236">
        <v>1</v>
      </c>
      <c r="V15" s="237" t="s">
        <v>785</v>
      </c>
      <c r="W15" s="238"/>
      <c r="X15" s="239" t="s">
        <v>408</v>
      </c>
      <c r="AA15" s="54" t="s">
        <v>600</v>
      </c>
      <c r="AB15" s="54" t="s">
        <v>103</v>
      </c>
      <c r="AC15" s="54">
        <v>15</v>
      </c>
    </row>
    <row r="16" spans="1:42" ht="20.100000000000001" customHeight="1" thickBot="1" x14ac:dyDescent="0.3">
      <c r="A16" s="451" t="s">
        <v>482</v>
      </c>
      <c r="B16" s="452" t="s">
        <v>498</v>
      </c>
      <c r="D16" s="446" t="s">
        <v>1509</v>
      </c>
      <c r="F16" s="1073"/>
      <c r="G16" s="816"/>
      <c r="H16" s="816"/>
      <c r="I16" s="816"/>
      <c r="J16" s="816"/>
      <c r="K16" s="816"/>
      <c r="L16" s="816"/>
      <c r="M16" s="816"/>
      <c r="N16" s="816"/>
      <c r="O16" s="816"/>
      <c r="Q16" s="232" t="s">
        <v>408</v>
      </c>
      <c r="R16" s="240" t="s">
        <v>594</v>
      </c>
      <c r="S16" s="234" t="s">
        <v>786</v>
      </c>
      <c r="T16" s="235" t="s">
        <v>787</v>
      </c>
      <c r="U16" s="236">
        <v>1</v>
      </c>
      <c r="V16" s="237" t="s">
        <v>788</v>
      </c>
      <c r="W16" s="238"/>
      <c r="X16" s="239" t="s">
        <v>408</v>
      </c>
      <c r="AA16" s="54" t="s">
        <v>601</v>
      </c>
      <c r="AB16" s="54" t="s">
        <v>103</v>
      </c>
      <c r="AC16" s="54">
        <v>15</v>
      </c>
    </row>
    <row r="17" spans="1:29" ht="20.100000000000001" customHeight="1" thickBot="1" x14ac:dyDescent="0.3">
      <c r="A17" s="453" t="s">
        <v>82</v>
      </c>
      <c r="B17" s="454" t="s">
        <v>495</v>
      </c>
      <c r="D17" s="446" t="s">
        <v>1510</v>
      </c>
      <c r="F17" s="1073"/>
      <c r="G17" s="816"/>
      <c r="H17" s="816"/>
      <c r="I17" s="816"/>
      <c r="J17" s="816"/>
      <c r="K17" s="816"/>
      <c r="L17" s="816"/>
      <c r="M17" s="816"/>
      <c r="N17" s="816"/>
      <c r="O17" s="816"/>
      <c r="Q17" s="232" t="s">
        <v>408</v>
      </c>
      <c r="R17" s="240" t="s">
        <v>591</v>
      </c>
      <c r="S17" s="234" t="s">
        <v>789</v>
      </c>
      <c r="T17" s="235" t="s">
        <v>790</v>
      </c>
      <c r="U17" s="236">
        <v>1</v>
      </c>
      <c r="V17" s="237" t="s">
        <v>791</v>
      </c>
      <c r="W17" s="238"/>
      <c r="X17" s="239" t="s">
        <v>408</v>
      </c>
      <c r="AA17" s="54" t="s">
        <v>602</v>
      </c>
      <c r="AB17" s="54" t="s">
        <v>103</v>
      </c>
      <c r="AC17" s="54">
        <v>15</v>
      </c>
    </row>
    <row r="18" spans="1:29" ht="20.100000000000001" customHeight="1" thickBot="1" x14ac:dyDescent="0.3">
      <c r="A18" s="453" t="s">
        <v>485</v>
      </c>
      <c r="B18" s="454" t="s">
        <v>496</v>
      </c>
      <c r="D18" s="446" t="s">
        <v>1511</v>
      </c>
      <c r="F18" s="1073"/>
      <c r="G18" s="816"/>
      <c r="H18" s="816"/>
      <c r="I18" s="816"/>
      <c r="J18" s="816"/>
      <c r="K18" s="816"/>
      <c r="L18" s="816"/>
      <c r="M18" s="816"/>
      <c r="N18" s="816"/>
      <c r="O18" s="816"/>
      <c r="Q18" s="232" t="s">
        <v>408</v>
      </c>
      <c r="R18" s="240" t="s">
        <v>589</v>
      </c>
      <c r="S18" s="234" t="s">
        <v>792</v>
      </c>
      <c r="T18" s="235" t="s">
        <v>793</v>
      </c>
      <c r="U18" s="236">
        <v>3</v>
      </c>
      <c r="V18" s="237" t="s">
        <v>794</v>
      </c>
      <c r="W18" s="238"/>
      <c r="X18" s="239" t="s">
        <v>408</v>
      </c>
      <c r="AA18" s="54" t="s">
        <v>603</v>
      </c>
      <c r="AB18" s="54" t="s">
        <v>103</v>
      </c>
      <c r="AC18" s="54">
        <v>15</v>
      </c>
    </row>
    <row r="19" spans="1:29" ht="20.100000000000001" customHeight="1" thickBot="1" x14ac:dyDescent="0.3">
      <c r="A19" s="453" t="s">
        <v>486</v>
      </c>
      <c r="B19" s="454" t="s">
        <v>497</v>
      </c>
      <c r="D19" s="446" t="s">
        <v>1512</v>
      </c>
      <c r="F19" s="1086" t="s">
        <v>2144</v>
      </c>
      <c r="G19" s="1087"/>
      <c r="H19" s="1087"/>
      <c r="I19" s="1087"/>
      <c r="J19" s="1087"/>
      <c r="K19" s="1087"/>
      <c r="L19" s="1087"/>
      <c r="M19" s="1087"/>
      <c r="N19" s="1087"/>
      <c r="O19" s="1087"/>
      <c r="Q19" s="232" t="s">
        <v>408</v>
      </c>
      <c r="R19" s="240" t="s">
        <v>602</v>
      </c>
      <c r="S19" s="234" t="s">
        <v>795</v>
      </c>
      <c r="T19" s="235" t="s">
        <v>796</v>
      </c>
      <c r="U19" s="236">
        <v>1</v>
      </c>
      <c r="V19" s="237" t="s">
        <v>797</v>
      </c>
      <c r="W19" s="238" t="s">
        <v>408</v>
      </c>
      <c r="X19" s="239" t="s">
        <v>408</v>
      </c>
      <c r="AA19" s="54" t="s">
        <v>604</v>
      </c>
      <c r="AB19" s="54" t="s">
        <v>605</v>
      </c>
      <c r="AC19" s="54">
        <v>12</v>
      </c>
    </row>
    <row r="20" spans="1:29" ht="20.100000000000001" customHeight="1" x14ac:dyDescent="0.25">
      <c r="A20" s="447"/>
      <c r="B20" s="448"/>
      <c r="D20" s="446" t="s">
        <v>1513</v>
      </c>
      <c r="F20" s="1073" t="s">
        <v>2145</v>
      </c>
      <c r="G20" s="816"/>
      <c r="H20" s="816"/>
      <c r="I20" s="816"/>
      <c r="J20" s="816"/>
      <c r="K20" s="816"/>
      <c r="L20" s="816"/>
      <c r="M20" s="816"/>
      <c r="N20" s="816"/>
      <c r="O20" s="816"/>
      <c r="Q20" s="232" t="s">
        <v>408</v>
      </c>
      <c r="R20" s="240" t="s">
        <v>598</v>
      </c>
      <c r="S20" s="234" t="s">
        <v>798</v>
      </c>
      <c r="T20" s="235" t="s">
        <v>799</v>
      </c>
      <c r="U20" s="236">
        <v>1</v>
      </c>
      <c r="V20" s="237" t="s">
        <v>800</v>
      </c>
      <c r="W20" s="238" t="s">
        <v>408</v>
      </c>
      <c r="X20" s="239" t="s">
        <v>408</v>
      </c>
      <c r="AA20" s="54" t="s">
        <v>606</v>
      </c>
      <c r="AB20" s="54" t="s">
        <v>607</v>
      </c>
      <c r="AC20" s="54">
        <v>12</v>
      </c>
    </row>
    <row r="21" spans="1:29" ht="20.100000000000001" customHeight="1" thickBot="1" x14ac:dyDescent="0.3">
      <c r="A21" s="439" t="s">
        <v>499</v>
      </c>
      <c r="B21" s="448"/>
      <c r="D21" s="446" t="s">
        <v>1514</v>
      </c>
      <c r="F21" s="1073"/>
      <c r="G21" s="816"/>
      <c r="H21" s="816"/>
      <c r="I21" s="816"/>
      <c r="J21" s="816"/>
      <c r="K21" s="816"/>
      <c r="L21" s="816"/>
      <c r="M21" s="816"/>
      <c r="N21" s="816"/>
      <c r="O21" s="816"/>
      <c r="Q21" s="232" t="s">
        <v>408</v>
      </c>
      <c r="R21" s="240" t="s">
        <v>596</v>
      </c>
      <c r="S21" s="234" t="s">
        <v>801</v>
      </c>
      <c r="T21" s="235" t="s">
        <v>802</v>
      </c>
      <c r="U21" s="236" t="s">
        <v>408</v>
      </c>
      <c r="V21" s="237" t="s">
        <v>803</v>
      </c>
      <c r="W21" s="238" t="s">
        <v>408</v>
      </c>
      <c r="X21" s="239" t="s">
        <v>408</v>
      </c>
      <c r="AA21" s="54" t="s">
        <v>608</v>
      </c>
      <c r="AB21" s="54" t="s">
        <v>607</v>
      </c>
      <c r="AC21" s="54">
        <v>12</v>
      </c>
    </row>
    <row r="22" spans="1:29" ht="20.100000000000001" customHeight="1" thickBot="1" x14ac:dyDescent="0.3">
      <c r="A22" s="451" t="s">
        <v>482</v>
      </c>
      <c r="B22" s="455" t="s">
        <v>500</v>
      </c>
      <c r="D22" s="446" t="s">
        <v>1515</v>
      </c>
      <c r="F22" s="1086" t="s">
        <v>2110</v>
      </c>
      <c r="G22" s="1098"/>
      <c r="H22" s="1098"/>
      <c r="I22" s="1098"/>
      <c r="J22" s="1098"/>
      <c r="K22" s="1098"/>
      <c r="L22" s="1098"/>
      <c r="M22" s="1098"/>
      <c r="N22" s="1098"/>
      <c r="O22" s="1098"/>
      <c r="Q22" s="241" t="s">
        <v>408</v>
      </c>
      <c r="R22" s="240" t="s">
        <v>592</v>
      </c>
      <c r="S22" s="242" t="s">
        <v>804</v>
      </c>
      <c r="T22" s="243" t="s">
        <v>805</v>
      </c>
      <c r="U22" s="236">
        <v>1</v>
      </c>
      <c r="V22" s="237" t="s">
        <v>806</v>
      </c>
      <c r="W22" s="238" t="s">
        <v>408</v>
      </c>
      <c r="X22" s="239" t="s">
        <v>408</v>
      </c>
      <c r="AA22" s="54" t="s">
        <v>609</v>
      </c>
      <c r="AB22" s="54" t="s">
        <v>607</v>
      </c>
      <c r="AC22" s="54">
        <v>12</v>
      </c>
    </row>
    <row r="23" spans="1:29" ht="20.100000000000001" customHeight="1" thickBot="1" x14ac:dyDescent="0.3">
      <c r="A23" s="453" t="s">
        <v>82</v>
      </c>
      <c r="B23" s="454" t="s">
        <v>501</v>
      </c>
      <c r="D23" s="446" t="s">
        <v>1516</v>
      </c>
      <c r="F23" s="1073" t="s">
        <v>2111</v>
      </c>
      <c r="G23" s="816"/>
      <c r="H23" s="816"/>
      <c r="I23" s="816"/>
      <c r="J23" s="816"/>
      <c r="K23" s="816"/>
      <c r="L23" s="816"/>
      <c r="M23" s="816"/>
      <c r="N23" s="816"/>
      <c r="O23" s="816"/>
      <c r="Q23" s="232" t="s">
        <v>408</v>
      </c>
      <c r="R23" s="238"/>
      <c r="S23" s="244"/>
      <c r="T23" s="235" t="s">
        <v>807</v>
      </c>
      <c r="U23" s="236" t="s">
        <v>408</v>
      </c>
      <c r="V23" s="237" t="s">
        <v>808</v>
      </c>
      <c r="W23" s="238" t="s">
        <v>408</v>
      </c>
      <c r="X23" s="239" t="s">
        <v>408</v>
      </c>
      <c r="AA23" s="54" t="s">
        <v>610</v>
      </c>
      <c r="AB23" s="54" t="s">
        <v>607</v>
      </c>
      <c r="AC23" s="54">
        <v>12</v>
      </c>
    </row>
    <row r="24" spans="1:29" ht="20.100000000000001" customHeight="1" thickBot="1" x14ac:dyDescent="0.3">
      <c r="A24" s="453" t="s">
        <v>485</v>
      </c>
      <c r="B24" s="454" t="s">
        <v>502</v>
      </c>
      <c r="D24" s="446" t="s">
        <v>1517</v>
      </c>
      <c r="F24" s="1073" t="s">
        <v>2112</v>
      </c>
      <c r="G24" s="816"/>
      <c r="H24" s="816"/>
      <c r="I24" s="816"/>
      <c r="J24" s="816"/>
      <c r="K24" s="816"/>
      <c r="L24" s="816"/>
      <c r="M24" s="816"/>
      <c r="N24" s="816"/>
      <c r="O24" s="816"/>
      <c r="Q24" s="232" t="s">
        <v>408</v>
      </c>
      <c r="R24" s="238"/>
      <c r="S24" s="244"/>
      <c r="T24" s="235" t="s">
        <v>809</v>
      </c>
      <c r="U24" s="236" t="s">
        <v>408</v>
      </c>
      <c r="V24" s="237" t="s">
        <v>810</v>
      </c>
      <c r="W24" s="238" t="s">
        <v>408</v>
      </c>
      <c r="X24" s="239" t="s">
        <v>408</v>
      </c>
      <c r="AA24" s="54" t="s">
        <v>611</v>
      </c>
      <c r="AB24" s="54" t="s">
        <v>607</v>
      </c>
      <c r="AC24" s="54">
        <v>12</v>
      </c>
    </row>
    <row r="25" spans="1:29" ht="20.100000000000001" customHeight="1" thickBot="1" x14ac:dyDescent="0.3">
      <c r="A25" s="453" t="s">
        <v>486</v>
      </c>
      <c r="B25" s="454" t="s">
        <v>503</v>
      </c>
      <c r="D25" s="443" t="s">
        <v>1518</v>
      </c>
      <c r="F25" s="1073" t="s">
        <v>2130</v>
      </c>
      <c r="G25" s="816"/>
      <c r="H25" s="816"/>
      <c r="I25" s="816"/>
      <c r="J25" s="816"/>
      <c r="K25" s="816"/>
      <c r="L25" s="816"/>
      <c r="M25" s="816"/>
      <c r="N25" s="816"/>
      <c r="O25" s="816"/>
      <c r="Q25" s="232" t="s">
        <v>408</v>
      </c>
      <c r="R25" s="238"/>
      <c r="S25" s="244"/>
      <c r="T25" s="235" t="s">
        <v>811</v>
      </c>
      <c r="U25" s="236" t="s">
        <v>408</v>
      </c>
      <c r="V25" s="237"/>
      <c r="W25" s="238" t="s">
        <v>408</v>
      </c>
      <c r="X25" s="239" t="s">
        <v>408</v>
      </c>
      <c r="AA25" s="54" t="s">
        <v>612</v>
      </c>
      <c r="AB25" s="54" t="s">
        <v>607</v>
      </c>
      <c r="AC25" s="54">
        <v>12</v>
      </c>
    </row>
    <row r="26" spans="1:29" ht="20.100000000000001" customHeight="1" x14ac:dyDescent="0.25">
      <c r="A26" s="447"/>
      <c r="B26" s="448"/>
      <c r="D26" s="446" t="s">
        <v>1519</v>
      </c>
      <c r="F26" s="1073"/>
      <c r="G26" s="816"/>
      <c r="H26" s="816"/>
      <c r="I26" s="816"/>
      <c r="J26" s="816"/>
      <c r="K26" s="816"/>
      <c r="L26" s="816"/>
      <c r="M26" s="816"/>
      <c r="N26" s="816"/>
      <c r="O26" s="816"/>
      <c r="Q26" s="232" t="s">
        <v>408</v>
      </c>
      <c r="R26" s="238"/>
      <c r="S26" s="244"/>
      <c r="T26" s="235" t="s">
        <v>812</v>
      </c>
      <c r="U26" s="236" t="s">
        <v>408</v>
      </c>
      <c r="V26" s="237" t="s">
        <v>813</v>
      </c>
      <c r="W26" s="238" t="s">
        <v>408</v>
      </c>
      <c r="X26" s="239" t="s">
        <v>408</v>
      </c>
      <c r="AA26" s="54" t="s">
        <v>613</v>
      </c>
      <c r="AB26" s="54" t="s">
        <v>614</v>
      </c>
      <c r="AC26" s="54">
        <v>11</v>
      </c>
    </row>
    <row r="27" spans="1:29" ht="20.100000000000001" customHeight="1" x14ac:dyDescent="0.25">
      <c r="A27" s="439" t="s">
        <v>504</v>
      </c>
      <c r="B27" s="448"/>
      <c r="D27" s="446" t="s">
        <v>1520</v>
      </c>
      <c r="F27" s="1086" t="s">
        <v>2131</v>
      </c>
      <c r="G27" s="1087"/>
      <c r="H27" s="1087"/>
      <c r="I27" s="1087"/>
      <c r="J27" s="1087"/>
      <c r="K27" s="1087"/>
      <c r="L27" s="1087"/>
      <c r="M27" s="1087"/>
      <c r="N27" s="1087"/>
      <c r="O27" s="1087"/>
      <c r="Q27" s="232" t="s">
        <v>408</v>
      </c>
      <c r="R27" s="238"/>
      <c r="S27" s="244"/>
      <c r="T27" s="235" t="s">
        <v>814</v>
      </c>
      <c r="U27" s="236">
        <v>1</v>
      </c>
      <c r="V27" s="237" t="s">
        <v>815</v>
      </c>
      <c r="W27" s="238" t="s">
        <v>408</v>
      </c>
      <c r="X27" s="239" t="s">
        <v>408</v>
      </c>
      <c r="AA27" s="54" t="s">
        <v>603</v>
      </c>
      <c r="AB27" s="54" t="s">
        <v>614</v>
      </c>
      <c r="AC27" s="54">
        <v>11</v>
      </c>
    </row>
    <row r="28" spans="1:29" ht="20.100000000000001" customHeight="1" x14ac:dyDescent="0.25">
      <c r="A28" s="449" t="s">
        <v>482</v>
      </c>
      <c r="B28" s="434" t="s">
        <v>505</v>
      </c>
      <c r="D28" s="446" t="s">
        <v>1521</v>
      </c>
      <c r="F28" s="1073" t="s">
        <v>2132</v>
      </c>
      <c r="G28" s="816"/>
      <c r="H28" s="816"/>
      <c r="I28" s="816"/>
      <c r="J28" s="816"/>
      <c r="K28" s="816"/>
      <c r="L28" s="816"/>
      <c r="M28" s="816"/>
      <c r="N28" s="816"/>
      <c r="O28" s="816"/>
      <c r="Q28" s="232" t="s">
        <v>408</v>
      </c>
      <c r="R28" s="238"/>
      <c r="S28" s="244"/>
      <c r="T28" s="235" t="s">
        <v>816</v>
      </c>
      <c r="U28" s="236" t="s">
        <v>408</v>
      </c>
      <c r="V28" s="237" t="s">
        <v>817</v>
      </c>
      <c r="W28" s="238" t="s">
        <v>408</v>
      </c>
      <c r="X28" s="239" t="s">
        <v>408</v>
      </c>
      <c r="AA28" s="54" t="s">
        <v>615</v>
      </c>
      <c r="AB28" s="54" t="s">
        <v>614</v>
      </c>
      <c r="AC28" s="54">
        <v>11</v>
      </c>
    </row>
    <row r="29" spans="1:29" ht="20.100000000000001" customHeight="1" x14ac:dyDescent="0.25">
      <c r="A29" s="449" t="s">
        <v>82</v>
      </c>
      <c r="B29" s="434" t="s">
        <v>506</v>
      </c>
      <c r="D29" s="446" t="s">
        <v>1522</v>
      </c>
      <c r="F29" s="1073" t="s">
        <v>2133</v>
      </c>
      <c r="G29" s="816"/>
      <c r="H29" s="816"/>
      <c r="I29" s="816"/>
      <c r="J29" s="816"/>
      <c r="K29" s="816"/>
      <c r="L29" s="816"/>
      <c r="M29" s="816"/>
      <c r="N29" s="816"/>
      <c r="O29" s="816"/>
      <c r="Q29" s="232" t="s">
        <v>408</v>
      </c>
      <c r="R29" s="238"/>
      <c r="S29" s="244"/>
      <c r="T29" s="235" t="s">
        <v>818</v>
      </c>
      <c r="U29" s="236">
        <v>1</v>
      </c>
      <c r="V29" s="237" t="s">
        <v>819</v>
      </c>
      <c r="W29" s="238" t="s">
        <v>408</v>
      </c>
      <c r="X29" s="239" t="s">
        <v>408</v>
      </c>
      <c r="AA29" s="54" t="s">
        <v>616</v>
      </c>
      <c r="AB29" s="54" t="s">
        <v>614</v>
      </c>
      <c r="AC29" s="54">
        <v>11</v>
      </c>
    </row>
    <row r="30" spans="1:29" ht="20.100000000000001" customHeight="1" x14ac:dyDescent="0.25">
      <c r="A30" s="449" t="s">
        <v>507</v>
      </c>
      <c r="B30" s="434" t="s">
        <v>508</v>
      </c>
      <c r="D30" s="446" t="s">
        <v>1523</v>
      </c>
      <c r="F30" s="1073" t="s">
        <v>2134</v>
      </c>
      <c r="G30" s="816"/>
      <c r="H30" s="816"/>
      <c r="I30" s="816"/>
      <c r="J30" s="816"/>
      <c r="K30" s="816"/>
      <c r="L30" s="816"/>
      <c r="M30" s="816"/>
      <c r="N30" s="816"/>
      <c r="O30" s="816"/>
      <c r="Q30" s="232" t="s">
        <v>408</v>
      </c>
      <c r="R30" s="238"/>
      <c r="S30" s="244"/>
      <c r="T30" s="235" t="s">
        <v>820</v>
      </c>
      <c r="U30" s="236">
        <v>1</v>
      </c>
      <c r="V30" s="237" t="s">
        <v>821</v>
      </c>
      <c r="W30" s="238" t="s">
        <v>408</v>
      </c>
      <c r="X30" s="239" t="s">
        <v>408</v>
      </c>
      <c r="AA30" s="54" t="s">
        <v>617</v>
      </c>
      <c r="AB30" s="54" t="s">
        <v>618</v>
      </c>
      <c r="AC30" s="54">
        <v>15</v>
      </c>
    </row>
    <row r="31" spans="1:29" ht="20.100000000000001" customHeight="1" x14ac:dyDescent="0.25">
      <c r="A31" s="449" t="s">
        <v>412</v>
      </c>
      <c r="B31" s="434" t="s">
        <v>509</v>
      </c>
      <c r="D31" s="446" t="s">
        <v>1524</v>
      </c>
      <c r="F31" s="1073" t="s">
        <v>2135</v>
      </c>
      <c r="G31" s="816"/>
      <c r="H31" s="816"/>
      <c r="I31" s="816"/>
      <c r="J31" s="816"/>
      <c r="K31" s="816"/>
      <c r="L31" s="816"/>
      <c r="M31" s="816"/>
      <c r="N31" s="816"/>
      <c r="O31" s="816"/>
      <c r="Q31" s="232" t="s">
        <v>408</v>
      </c>
      <c r="R31" s="238"/>
      <c r="S31" s="244"/>
      <c r="T31" s="235" t="s">
        <v>822</v>
      </c>
      <c r="U31" s="236" t="s">
        <v>408</v>
      </c>
      <c r="V31" s="237" t="s">
        <v>408</v>
      </c>
      <c r="W31" s="238" t="s">
        <v>408</v>
      </c>
      <c r="X31" s="239" t="s">
        <v>408</v>
      </c>
      <c r="AA31" s="54" t="s">
        <v>619</v>
      </c>
      <c r="AB31" s="54" t="s">
        <v>618</v>
      </c>
      <c r="AC31" s="54">
        <v>15</v>
      </c>
    </row>
    <row r="32" spans="1:29" ht="20.100000000000001" customHeight="1" x14ac:dyDescent="0.25">
      <c r="A32" s="447"/>
      <c r="B32" s="448"/>
      <c r="D32" s="443" t="s">
        <v>1525</v>
      </c>
      <c r="F32" s="1073" t="s">
        <v>2136</v>
      </c>
      <c r="G32" s="816"/>
      <c r="H32" s="816"/>
      <c r="I32" s="816"/>
      <c r="J32" s="816"/>
      <c r="K32" s="816"/>
      <c r="L32" s="816"/>
      <c r="M32" s="816"/>
      <c r="N32" s="816"/>
      <c r="O32" s="816"/>
      <c r="Q32" s="232" t="s">
        <v>408</v>
      </c>
      <c r="R32" s="238"/>
      <c r="S32" s="244"/>
      <c r="T32" s="235" t="s">
        <v>823</v>
      </c>
      <c r="U32" s="236" t="s">
        <v>408</v>
      </c>
      <c r="V32" s="237" t="s">
        <v>408</v>
      </c>
      <c r="W32" s="238" t="s">
        <v>408</v>
      </c>
      <c r="X32" s="239" t="s">
        <v>408</v>
      </c>
      <c r="AA32" s="54" t="s">
        <v>620</v>
      </c>
      <c r="AB32" s="54" t="s">
        <v>618</v>
      </c>
      <c r="AC32" s="54">
        <v>15</v>
      </c>
    </row>
    <row r="33" spans="1:29" ht="20.100000000000001" customHeight="1" thickBot="1" x14ac:dyDescent="0.3">
      <c r="A33" s="439" t="s">
        <v>510</v>
      </c>
      <c r="B33" s="448"/>
      <c r="D33" s="446" t="s">
        <v>1526</v>
      </c>
      <c r="F33" s="1073" t="s">
        <v>2137</v>
      </c>
      <c r="G33" s="816"/>
      <c r="H33" s="816"/>
      <c r="I33" s="816"/>
      <c r="J33" s="816"/>
      <c r="K33" s="816"/>
      <c r="L33" s="816"/>
      <c r="M33" s="816"/>
      <c r="N33" s="816"/>
      <c r="O33" s="816"/>
      <c r="Q33" s="232" t="s">
        <v>408</v>
      </c>
      <c r="R33" s="238"/>
      <c r="S33" s="244"/>
      <c r="T33" s="235" t="s">
        <v>824</v>
      </c>
      <c r="U33" s="236" t="s">
        <v>408</v>
      </c>
      <c r="V33" s="237" t="s">
        <v>408</v>
      </c>
      <c r="W33" s="238" t="s">
        <v>408</v>
      </c>
      <c r="X33" s="239" t="s">
        <v>408</v>
      </c>
      <c r="AA33" s="54" t="s">
        <v>621</v>
      </c>
      <c r="AB33" s="54" t="s">
        <v>618</v>
      </c>
      <c r="AC33" s="54">
        <v>15</v>
      </c>
    </row>
    <row r="34" spans="1:29" ht="20.100000000000001" customHeight="1" thickBot="1" x14ac:dyDescent="0.3">
      <c r="A34" s="451" t="s">
        <v>482</v>
      </c>
      <c r="B34" s="452" t="s">
        <v>511</v>
      </c>
      <c r="D34" s="446" t="s">
        <v>1527</v>
      </c>
      <c r="F34" s="1073" t="s">
        <v>2138</v>
      </c>
      <c r="G34" s="816"/>
      <c r="H34" s="816"/>
      <c r="I34" s="816"/>
      <c r="J34" s="816"/>
      <c r="K34" s="816"/>
      <c r="L34" s="816"/>
      <c r="M34" s="816"/>
      <c r="N34" s="816"/>
      <c r="O34" s="816"/>
      <c r="Q34" s="232" t="s">
        <v>408</v>
      </c>
      <c r="R34" s="238"/>
      <c r="S34" s="244"/>
      <c r="T34" s="235" t="s">
        <v>408</v>
      </c>
      <c r="U34" s="236" t="s">
        <v>408</v>
      </c>
      <c r="V34" s="237" t="s">
        <v>408</v>
      </c>
      <c r="W34" s="238" t="s">
        <v>408</v>
      </c>
      <c r="X34" s="239" t="s">
        <v>408</v>
      </c>
      <c r="AA34" s="54" t="s">
        <v>622</v>
      </c>
      <c r="AB34" s="54" t="s">
        <v>618</v>
      </c>
      <c r="AC34" s="54">
        <v>15</v>
      </c>
    </row>
    <row r="35" spans="1:29" ht="20.100000000000001" customHeight="1" thickBot="1" x14ac:dyDescent="0.3">
      <c r="A35" s="453" t="s">
        <v>82</v>
      </c>
      <c r="B35" s="454" t="s">
        <v>512</v>
      </c>
      <c r="D35" s="446" t="s">
        <v>1528</v>
      </c>
      <c r="F35" s="1073" t="s">
        <v>2139</v>
      </c>
      <c r="G35" s="816"/>
      <c r="H35" s="816"/>
      <c r="I35" s="816"/>
      <c r="J35" s="816"/>
      <c r="K35" s="816"/>
      <c r="L35" s="816"/>
      <c r="M35" s="816"/>
      <c r="N35" s="816"/>
      <c r="O35" s="816"/>
      <c r="Q35" s="232" t="s">
        <v>408</v>
      </c>
      <c r="R35" s="238"/>
      <c r="S35" s="244"/>
      <c r="T35" s="235" t="s">
        <v>825</v>
      </c>
      <c r="U35" s="236" t="s">
        <v>408</v>
      </c>
      <c r="V35" s="237" t="s">
        <v>408</v>
      </c>
      <c r="W35" s="238" t="s">
        <v>408</v>
      </c>
      <c r="X35" s="239" t="s">
        <v>408</v>
      </c>
      <c r="AA35" s="54" t="s">
        <v>623</v>
      </c>
      <c r="AB35" s="54" t="s">
        <v>618</v>
      </c>
      <c r="AC35" s="54">
        <v>15</v>
      </c>
    </row>
    <row r="36" spans="1:29" ht="20.100000000000001" customHeight="1" thickBot="1" x14ac:dyDescent="0.3">
      <c r="A36" s="453" t="s">
        <v>485</v>
      </c>
      <c r="B36" s="454" t="s">
        <v>513</v>
      </c>
      <c r="D36" s="446" t="s">
        <v>1529</v>
      </c>
      <c r="F36" s="1073" t="s">
        <v>2140</v>
      </c>
      <c r="G36" s="816"/>
      <c r="H36" s="816"/>
      <c r="I36" s="816"/>
      <c r="J36" s="816"/>
      <c r="K36" s="816"/>
      <c r="L36" s="816"/>
      <c r="M36" s="816"/>
      <c r="N36" s="816"/>
      <c r="O36" s="816"/>
      <c r="Q36" s="232" t="s">
        <v>408</v>
      </c>
      <c r="R36" s="238"/>
      <c r="S36" s="244"/>
      <c r="T36" s="235" t="s">
        <v>750</v>
      </c>
      <c r="U36" s="236" t="s">
        <v>408</v>
      </c>
      <c r="V36" s="237" t="s">
        <v>408</v>
      </c>
      <c r="W36" s="238" t="s">
        <v>408</v>
      </c>
      <c r="X36" s="239" t="s">
        <v>408</v>
      </c>
      <c r="AA36" s="54" t="s">
        <v>624</v>
      </c>
      <c r="AB36" s="54" t="s">
        <v>618</v>
      </c>
      <c r="AC36" s="54">
        <v>15</v>
      </c>
    </row>
    <row r="37" spans="1:29" ht="20.100000000000001" customHeight="1" thickBot="1" x14ac:dyDescent="0.3">
      <c r="A37" s="453" t="s">
        <v>486</v>
      </c>
      <c r="B37" s="454" t="s">
        <v>514</v>
      </c>
      <c r="D37" s="446" t="s">
        <v>1530</v>
      </c>
      <c r="F37" s="1073"/>
      <c r="G37" s="816"/>
      <c r="H37" s="816"/>
      <c r="I37" s="816"/>
      <c r="J37" s="816"/>
      <c r="K37" s="816"/>
      <c r="L37" s="816"/>
      <c r="M37" s="816"/>
      <c r="N37" s="816"/>
      <c r="O37" s="816"/>
      <c r="Q37" s="232" t="s">
        <v>408</v>
      </c>
      <c r="R37" s="238"/>
      <c r="S37" s="244"/>
      <c r="T37" s="235" t="s">
        <v>754</v>
      </c>
      <c r="U37" s="236" t="s">
        <v>408</v>
      </c>
      <c r="V37" s="237" t="s">
        <v>408</v>
      </c>
      <c r="W37" s="238" t="s">
        <v>408</v>
      </c>
      <c r="X37" s="239" t="s">
        <v>408</v>
      </c>
      <c r="AA37" s="54" t="s">
        <v>625</v>
      </c>
      <c r="AB37" s="54" t="s">
        <v>618</v>
      </c>
      <c r="AC37" s="54">
        <v>15</v>
      </c>
    </row>
    <row r="38" spans="1:29" ht="20.100000000000001" customHeight="1" x14ac:dyDescent="0.25">
      <c r="A38" s="447"/>
      <c r="B38" s="448"/>
      <c r="D38" s="443" t="s">
        <v>1531</v>
      </c>
      <c r="F38" s="1086" t="s">
        <v>2286</v>
      </c>
      <c r="G38" s="1087"/>
      <c r="H38" s="1087"/>
      <c r="I38" s="1087"/>
      <c r="J38" s="1087"/>
      <c r="K38" s="1087"/>
      <c r="L38" s="1087"/>
      <c r="M38" s="1087"/>
      <c r="N38" s="1087"/>
      <c r="O38" s="1087"/>
      <c r="Q38" s="232" t="s">
        <v>408</v>
      </c>
      <c r="R38" s="238"/>
      <c r="S38" s="244"/>
      <c r="T38" s="235" t="s">
        <v>826</v>
      </c>
      <c r="U38" s="236">
        <v>1</v>
      </c>
      <c r="V38" s="237" t="s">
        <v>408</v>
      </c>
      <c r="W38" s="238" t="s">
        <v>408</v>
      </c>
      <c r="X38" s="239" t="s">
        <v>408</v>
      </c>
      <c r="AA38" s="54" t="s">
        <v>626</v>
      </c>
      <c r="AB38" s="54" t="s">
        <v>618</v>
      </c>
      <c r="AC38" s="54">
        <v>15</v>
      </c>
    </row>
    <row r="39" spans="1:29" ht="20.100000000000001" customHeight="1" thickBot="1" x14ac:dyDescent="0.3">
      <c r="A39" s="439" t="s">
        <v>515</v>
      </c>
      <c r="B39" s="448"/>
      <c r="D39" s="446" t="s">
        <v>1532</v>
      </c>
      <c r="F39" s="1073" t="s">
        <v>2287</v>
      </c>
      <c r="G39" s="816"/>
      <c r="H39" s="816"/>
      <c r="I39" s="816"/>
      <c r="J39" s="816"/>
      <c r="K39" s="816"/>
      <c r="L39" s="816"/>
      <c r="M39" s="816"/>
      <c r="N39" s="816"/>
      <c r="O39" s="816"/>
      <c r="Q39" s="232" t="s">
        <v>408</v>
      </c>
      <c r="R39" s="238"/>
      <c r="S39" s="244"/>
      <c r="T39" s="235" t="s">
        <v>827</v>
      </c>
      <c r="U39" s="236">
        <v>1</v>
      </c>
      <c r="V39" s="237" t="s">
        <v>408</v>
      </c>
      <c r="W39" s="238" t="s">
        <v>408</v>
      </c>
      <c r="X39" s="239" t="s">
        <v>408</v>
      </c>
      <c r="AA39" s="54" t="s">
        <v>627</v>
      </c>
      <c r="AB39" s="54" t="s">
        <v>618</v>
      </c>
      <c r="AC39" s="54">
        <v>15</v>
      </c>
    </row>
    <row r="40" spans="1:29" ht="20.100000000000001" customHeight="1" thickBot="1" x14ac:dyDescent="0.3">
      <c r="A40" s="451" t="s">
        <v>482</v>
      </c>
      <c r="B40" s="452" t="s">
        <v>516</v>
      </c>
      <c r="D40" s="446" t="s">
        <v>1533</v>
      </c>
      <c r="F40" s="1073" t="s">
        <v>2288</v>
      </c>
      <c r="G40" s="816"/>
      <c r="H40" s="816"/>
      <c r="I40" s="816"/>
      <c r="J40" s="816"/>
      <c r="K40" s="816"/>
      <c r="L40" s="816"/>
      <c r="M40" s="816"/>
      <c r="N40" s="816"/>
      <c r="O40" s="816"/>
      <c r="Q40" s="232" t="s">
        <v>408</v>
      </c>
      <c r="R40" s="238"/>
      <c r="S40" s="244"/>
      <c r="T40" s="235" t="s">
        <v>828</v>
      </c>
      <c r="U40" s="236" t="s">
        <v>408</v>
      </c>
      <c r="V40" s="237" t="s">
        <v>408</v>
      </c>
      <c r="W40" s="238" t="s">
        <v>408</v>
      </c>
      <c r="X40" s="239" t="s">
        <v>408</v>
      </c>
      <c r="AA40" s="54" t="s">
        <v>628</v>
      </c>
      <c r="AB40" s="54" t="s">
        <v>618</v>
      </c>
      <c r="AC40" s="54">
        <v>15</v>
      </c>
    </row>
    <row r="41" spans="1:29" ht="20.100000000000001" customHeight="1" thickBot="1" x14ac:dyDescent="0.3">
      <c r="A41" s="453" t="s">
        <v>82</v>
      </c>
      <c r="B41" s="454" t="s">
        <v>517</v>
      </c>
      <c r="D41" s="446" t="s">
        <v>1534</v>
      </c>
      <c r="F41" s="1073" t="s">
        <v>2289</v>
      </c>
      <c r="G41" s="816"/>
      <c r="H41" s="816"/>
      <c r="I41" s="816"/>
      <c r="J41" s="816"/>
      <c r="K41" s="816"/>
      <c r="L41" s="816"/>
      <c r="M41" s="816"/>
      <c r="N41" s="816"/>
      <c r="O41" s="816"/>
      <c r="Q41" s="232" t="s">
        <v>408</v>
      </c>
      <c r="R41" s="238"/>
      <c r="S41" s="244"/>
      <c r="T41" s="235" t="s">
        <v>829</v>
      </c>
      <c r="U41" s="236">
        <v>1</v>
      </c>
      <c r="V41" s="237" t="s">
        <v>408</v>
      </c>
      <c r="W41" s="238" t="s">
        <v>408</v>
      </c>
      <c r="X41" s="239" t="s">
        <v>408</v>
      </c>
      <c r="AA41" s="54" t="s">
        <v>629</v>
      </c>
      <c r="AB41" s="54" t="s">
        <v>630</v>
      </c>
      <c r="AC41" s="54">
        <v>12</v>
      </c>
    </row>
    <row r="42" spans="1:29" ht="20.100000000000001" customHeight="1" thickBot="1" x14ac:dyDescent="0.3">
      <c r="A42" s="453" t="s">
        <v>485</v>
      </c>
      <c r="B42" s="454" t="s">
        <v>518</v>
      </c>
      <c r="D42" s="446" t="s">
        <v>1535</v>
      </c>
      <c r="F42" s="1073"/>
      <c r="G42" s="816"/>
      <c r="H42" s="816"/>
      <c r="I42" s="816"/>
      <c r="J42" s="816"/>
      <c r="K42" s="816"/>
      <c r="L42" s="816"/>
      <c r="M42" s="816"/>
      <c r="N42" s="816"/>
      <c r="O42" s="816"/>
      <c r="Q42" s="232" t="s">
        <v>408</v>
      </c>
      <c r="R42" s="238"/>
      <c r="S42" s="244"/>
      <c r="T42" s="235" t="s">
        <v>830</v>
      </c>
      <c r="U42" s="236" t="s">
        <v>408</v>
      </c>
      <c r="V42" s="237" t="s">
        <v>408</v>
      </c>
      <c r="W42" s="238" t="s">
        <v>408</v>
      </c>
      <c r="X42" s="239" t="s">
        <v>408</v>
      </c>
      <c r="AA42" s="54" t="s">
        <v>631</v>
      </c>
      <c r="AB42" s="54" t="s">
        <v>630</v>
      </c>
      <c r="AC42" s="54">
        <v>12</v>
      </c>
    </row>
    <row r="43" spans="1:29" ht="20.100000000000001" customHeight="1" thickBot="1" x14ac:dyDescent="0.3">
      <c r="A43" s="453" t="s">
        <v>486</v>
      </c>
      <c r="B43" s="454" t="s">
        <v>519</v>
      </c>
      <c r="D43" s="443" t="s">
        <v>2285</v>
      </c>
      <c r="F43" s="1073"/>
      <c r="G43" s="816"/>
      <c r="H43" s="816"/>
      <c r="I43" s="816"/>
      <c r="J43" s="816"/>
      <c r="K43" s="816"/>
      <c r="L43" s="816"/>
      <c r="M43" s="816"/>
      <c r="N43" s="816"/>
      <c r="O43" s="816"/>
      <c r="Q43" s="232" t="s">
        <v>408</v>
      </c>
      <c r="R43" s="238"/>
      <c r="S43" s="244"/>
      <c r="T43" s="235" t="s">
        <v>831</v>
      </c>
      <c r="U43" s="236" t="s">
        <v>408</v>
      </c>
      <c r="V43" s="237" t="s">
        <v>408</v>
      </c>
      <c r="W43" s="238" t="s">
        <v>408</v>
      </c>
      <c r="X43" s="239" t="s">
        <v>408</v>
      </c>
      <c r="AA43" s="54" t="s">
        <v>632</v>
      </c>
      <c r="AB43" s="54" t="s">
        <v>630</v>
      </c>
      <c r="AC43" s="54">
        <v>12</v>
      </c>
    </row>
    <row r="44" spans="1:29" ht="20.100000000000001" customHeight="1" x14ac:dyDescent="0.25">
      <c r="A44" s="447"/>
      <c r="B44" s="448"/>
      <c r="D44" s="438"/>
      <c r="F44" s="605"/>
      <c r="Q44" s="232" t="s">
        <v>408</v>
      </c>
      <c r="R44" s="238"/>
      <c r="S44" s="244"/>
      <c r="T44" s="235" t="s">
        <v>832</v>
      </c>
      <c r="U44" s="236">
        <v>1</v>
      </c>
      <c r="V44" s="237" t="s">
        <v>408</v>
      </c>
      <c r="W44" s="238" t="s">
        <v>408</v>
      </c>
      <c r="X44" s="239" t="s">
        <v>408</v>
      </c>
      <c r="AA44" s="54" t="s">
        <v>633</v>
      </c>
      <c r="AB44" s="54" t="s">
        <v>630</v>
      </c>
      <c r="AC44" s="54">
        <v>12</v>
      </c>
    </row>
    <row r="45" spans="1:29" ht="20.100000000000001" customHeight="1" thickBot="1" x14ac:dyDescent="0.3">
      <c r="A45" s="439" t="s">
        <v>520</v>
      </c>
      <c r="B45" s="448"/>
      <c r="D45" s="438"/>
      <c r="F45" s="605"/>
      <c r="Q45" s="232" t="s">
        <v>408</v>
      </c>
      <c r="R45" s="238"/>
      <c r="S45" s="244"/>
      <c r="T45" s="235" t="s">
        <v>833</v>
      </c>
      <c r="U45" s="236" t="s">
        <v>408</v>
      </c>
      <c r="V45" s="237" t="s">
        <v>408</v>
      </c>
      <c r="W45" s="238" t="s">
        <v>408</v>
      </c>
      <c r="X45" s="239" t="s">
        <v>408</v>
      </c>
      <c r="AA45" s="54" t="s">
        <v>634</v>
      </c>
      <c r="AB45" s="54" t="s">
        <v>630</v>
      </c>
      <c r="AC45" s="54">
        <v>12</v>
      </c>
    </row>
    <row r="46" spans="1:29" ht="20.100000000000001" customHeight="1" thickBot="1" x14ac:dyDescent="0.3">
      <c r="A46" s="456" t="s">
        <v>482</v>
      </c>
      <c r="B46" s="457" t="s">
        <v>521</v>
      </c>
      <c r="D46" s="438"/>
      <c r="F46" s="437"/>
      <c r="Q46" s="232"/>
      <c r="R46" s="238"/>
      <c r="S46" s="244"/>
      <c r="T46" s="235"/>
      <c r="U46" s="236"/>
      <c r="V46" s="237"/>
      <c r="W46" s="238"/>
      <c r="X46" s="239"/>
      <c r="AA46" s="54" t="s">
        <v>635</v>
      </c>
      <c r="AB46" s="54" t="s">
        <v>630</v>
      </c>
      <c r="AC46" s="54">
        <v>12</v>
      </c>
    </row>
    <row r="47" spans="1:29" ht="20.100000000000001" customHeight="1" x14ac:dyDescent="0.25">
      <c r="A47" s="1092" t="s">
        <v>82</v>
      </c>
      <c r="B47" s="1096" t="s">
        <v>522</v>
      </c>
      <c r="D47" s="438"/>
      <c r="F47" s="437"/>
      <c r="Q47" s="232" t="s">
        <v>408</v>
      </c>
      <c r="R47" s="238" t="s">
        <v>408</v>
      </c>
      <c r="S47" s="244"/>
      <c r="T47" s="235" t="s">
        <v>834</v>
      </c>
      <c r="U47" s="236" t="s">
        <v>408</v>
      </c>
      <c r="V47" s="237" t="s">
        <v>408</v>
      </c>
      <c r="W47" s="238" t="s">
        <v>408</v>
      </c>
      <c r="X47" s="239" t="s">
        <v>408</v>
      </c>
      <c r="AA47" s="54" t="s">
        <v>636</v>
      </c>
      <c r="AB47" s="54" t="s">
        <v>630</v>
      </c>
      <c r="AC47" s="54">
        <v>12</v>
      </c>
    </row>
    <row r="48" spans="1:29" ht="20.100000000000001" customHeight="1" thickBot="1" x14ac:dyDescent="0.3">
      <c r="A48" s="1093"/>
      <c r="B48" s="1097"/>
      <c r="D48" s="438"/>
      <c r="F48" s="437"/>
      <c r="Q48" s="232" t="s">
        <v>408</v>
      </c>
      <c r="R48" s="238"/>
      <c r="S48" s="244"/>
      <c r="T48" s="235" t="s">
        <v>835</v>
      </c>
      <c r="U48" s="236">
        <v>1</v>
      </c>
      <c r="V48" s="237" t="s">
        <v>408</v>
      </c>
      <c r="W48" s="238" t="s">
        <v>408</v>
      </c>
      <c r="X48" s="239" t="s">
        <v>408</v>
      </c>
      <c r="AA48" s="54" t="s">
        <v>637</v>
      </c>
      <c r="AB48" s="54" t="s">
        <v>630</v>
      </c>
      <c r="AC48" s="54">
        <v>12</v>
      </c>
    </row>
    <row r="49" spans="1:29" ht="20.100000000000001" customHeight="1" thickBot="1" x14ac:dyDescent="0.3">
      <c r="A49" s="458" t="s">
        <v>507</v>
      </c>
      <c r="B49" s="459" t="s">
        <v>523</v>
      </c>
      <c r="D49" s="438"/>
      <c r="F49" s="437"/>
      <c r="Q49" s="232" t="s">
        <v>408</v>
      </c>
      <c r="R49" s="238"/>
      <c r="S49" s="244"/>
      <c r="T49" s="235" t="s">
        <v>836</v>
      </c>
      <c r="U49" s="236">
        <v>1</v>
      </c>
      <c r="V49" s="237" t="s">
        <v>408</v>
      </c>
      <c r="W49" s="238" t="s">
        <v>408</v>
      </c>
      <c r="X49" s="239" t="s">
        <v>408</v>
      </c>
      <c r="AA49" s="54" t="s">
        <v>638</v>
      </c>
      <c r="AB49" s="54" t="s">
        <v>630</v>
      </c>
      <c r="AC49" s="54">
        <v>12</v>
      </c>
    </row>
    <row r="50" spans="1:29" ht="20.100000000000001" customHeight="1" thickBot="1" x14ac:dyDescent="0.3">
      <c r="A50" s="458" t="s">
        <v>412</v>
      </c>
      <c r="B50" s="459" t="s">
        <v>509</v>
      </c>
      <c r="D50" s="438"/>
      <c r="F50" s="437"/>
      <c r="Q50" s="232" t="s">
        <v>408</v>
      </c>
      <c r="R50" s="238" t="s">
        <v>408</v>
      </c>
      <c r="S50" s="244" t="s">
        <v>408</v>
      </c>
      <c r="T50" s="235" t="s">
        <v>837</v>
      </c>
      <c r="U50" s="236">
        <v>1</v>
      </c>
      <c r="V50" s="237" t="s">
        <v>408</v>
      </c>
      <c r="W50" s="238" t="s">
        <v>408</v>
      </c>
      <c r="X50" s="239" t="s">
        <v>408</v>
      </c>
      <c r="AA50" s="54" t="s">
        <v>639</v>
      </c>
      <c r="AB50" s="54" t="s">
        <v>630</v>
      </c>
      <c r="AC50" s="54">
        <v>12</v>
      </c>
    </row>
    <row r="51" spans="1:29" ht="20.100000000000001" customHeight="1" x14ac:dyDescent="0.25">
      <c r="A51" s="447"/>
      <c r="B51" s="448"/>
      <c r="D51" s="438"/>
      <c r="F51" s="437"/>
      <c r="Q51" s="232" t="s">
        <v>408</v>
      </c>
      <c r="R51" s="238" t="s">
        <v>408</v>
      </c>
      <c r="S51" s="244" t="s">
        <v>408</v>
      </c>
      <c r="T51" s="235" t="s">
        <v>838</v>
      </c>
      <c r="U51" s="236" t="s">
        <v>408</v>
      </c>
      <c r="V51" s="237" t="s">
        <v>408</v>
      </c>
      <c r="W51" s="238" t="s">
        <v>408</v>
      </c>
      <c r="X51" s="239" t="s">
        <v>408</v>
      </c>
      <c r="AA51" s="54" t="s">
        <v>640</v>
      </c>
      <c r="AB51" s="54" t="s">
        <v>641</v>
      </c>
      <c r="AC51" s="54">
        <v>10</v>
      </c>
    </row>
    <row r="52" spans="1:29" ht="20.100000000000001" customHeight="1" thickBot="1" x14ac:dyDescent="0.3">
      <c r="A52" s="439" t="s">
        <v>524</v>
      </c>
      <c r="B52" s="448"/>
      <c r="D52" s="438"/>
      <c r="F52" s="437"/>
      <c r="Q52" s="232" t="s">
        <v>408</v>
      </c>
      <c r="R52" s="238" t="s">
        <v>408</v>
      </c>
      <c r="S52" s="244" t="s">
        <v>408</v>
      </c>
      <c r="T52" s="235" t="s">
        <v>839</v>
      </c>
      <c r="U52" s="236" t="s">
        <v>408</v>
      </c>
      <c r="V52" s="237" t="s">
        <v>408</v>
      </c>
      <c r="W52" s="238" t="s">
        <v>408</v>
      </c>
      <c r="X52" s="239" t="s">
        <v>408</v>
      </c>
      <c r="AA52" s="54" t="s">
        <v>642</v>
      </c>
      <c r="AB52" s="54" t="s">
        <v>641</v>
      </c>
      <c r="AC52" s="54">
        <v>10</v>
      </c>
    </row>
    <row r="53" spans="1:29" ht="20.100000000000001" customHeight="1" x14ac:dyDescent="0.25">
      <c r="A53" s="1088" t="s">
        <v>482</v>
      </c>
      <c r="B53" s="1090" t="s">
        <v>525</v>
      </c>
      <c r="D53" s="438"/>
      <c r="F53" s="437"/>
      <c r="Q53" s="232" t="s">
        <v>408</v>
      </c>
      <c r="R53" s="238" t="s">
        <v>408</v>
      </c>
      <c r="S53" s="244" t="s">
        <v>408</v>
      </c>
      <c r="T53" s="235" t="s">
        <v>408</v>
      </c>
      <c r="U53" s="236" t="s">
        <v>408</v>
      </c>
      <c r="V53" s="237" t="s">
        <v>408</v>
      </c>
      <c r="W53" s="238" t="s">
        <v>408</v>
      </c>
      <c r="X53" s="239" t="s">
        <v>408</v>
      </c>
      <c r="AA53" s="54" t="s">
        <v>643</v>
      </c>
      <c r="AB53" s="54" t="s">
        <v>641</v>
      </c>
      <c r="AC53" s="54">
        <v>10</v>
      </c>
    </row>
    <row r="54" spans="1:29" ht="20.100000000000001" customHeight="1" thickBot="1" x14ac:dyDescent="0.3">
      <c r="A54" s="1089"/>
      <c r="B54" s="1091"/>
      <c r="D54" s="438"/>
      <c r="F54" s="437"/>
      <c r="Q54" s="232" t="s">
        <v>408</v>
      </c>
      <c r="R54" s="238" t="s">
        <v>408</v>
      </c>
      <c r="S54" s="244" t="s">
        <v>408</v>
      </c>
      <c r="T54" s="235" t="s">
        <v>840</v>
      </c>
      <c r="U54" s="236" t="s">
        <v>408</v>
      </c>
      <c r="V54" s="237" t="s">
        <v>408</v>
      </c>
      <c r="W54" s="238" t="s">
        <v>408</v>
      </c>
      <c r="X54" s="239" t="s">
        <v>408</v>
      </c>
      <c r="AA54" s="54" t="s">
        <v>644</v>
      </c>
      <c r="AB54" s="54" t="s">
        <v>641</v>
      </c>
      <c r="AC54" s="54">
        <v>10</v>
      </c>
    </row>
    <row r="55" spans="1:29" ht="20.100000000000001" customHeight="1" thickBot="1" x14ac:dyDescent="0.3">
      <c r="A55" s="453" t="s">
        <v>82</v>
      </c>
      <c r="B55" s="454" t="s">
        <v>526</v>
      </c>
      <c r="D55" s="438"/>
      <c r="F55" s="437"/>
      <c r="Q55" s="232" t="s">
        <v>408</v>
      </c>
      <c r="R55" s="238" t="s">
        <v>408</v>
      </c>
      <c r="S55" s="244" t="s">
        <v>408</v>
      </c>
      <c r="T55" s="235" t="s">
        <v>841</v>
      </c>
      <c r="U55" s="236" t="s">
        <v>408</v>
      </c>
      <c r="V55" s="237" t="s">
        <v>408</v>
      </c>
      <c r="W55" s="238" t="s">
        <v>408</v>
      </c>
      <c r="X55" s="239" t="s">
        <v>408</v>
      </c>
      <c r="AA55" s="54" t="s">
        <v>645</v>
      </c>
      <c r="AB55" s="54" t="s">
        <v>641</v>
      </c>
      <c r="AC55" s="54">
        <v>10</v>
      </c>
    </row>
    <row r="56" spans="1:29" ht="20.100000000000001" customHeight="1" thickBot="1" x14ac:dyDescent="0.3">
      <c r="A56" s="453" t="s">
        <v>485</v>
      </c>
      <c r="B56" s="454" t="s">
        <v>527</v>
      </c>
      <c r="D56" s="438"/>
      <c r="F56" s="437"/>
      <c r="Q56" s="232" t="s">
        <v>408</v>
      </c>
      <c r="R56" s="238" t="s">
        <v>408</v>
      </c>
      <c r="S56" s="244" t="s">
        <v>408</v>
      </c>
      <c r="T56" s="235" t="s">
        <v>794</v>
      </c>
      <c r="U56" s="236" t="s">
        <v>408</v>
      </c>
      <c r="V56" s="237" t="s">
        <v>408</v>
      </c>
      <c r="W56" s="238" t="s">
        <v>408</v>
      </c>
      <c r="X56" s="239" t="s">
        <v>408</v>
      </c>
      <c r="AA56" s="54" t="s">
        <v>646</v>
      </c>
      <c r="AB56" s="54" t="s">
        <v>641</v>
      </c>
      <c r="AC56" s="54">
        <v>10</v>
      </c>
    </row>
    <row r="57" spans="1:29" ht="20.100000000000001" customHeight="1" thickBot="1" x14ac:dyDescent="0.3">
      <c r="A57" s="453" t="s">
        <v>486</v>
      </c>
      <c r="B57" s="454" t="s">
        <v>528</v>
      </c>
      <c r="D57" s="438"/>
      <c r="F57" s="437"/>
      <c r="Q57" s="232" t="s">
        <v>408</v>
      </c>
      <c r="R57" s="238" t="s">
        <v>408</v>
      </c>
      <c r="S57" s="244" t="s">
        <v>408</v>
      </c>
      <c r="T57" s="235" t="s">
        <v>842</v>
      </c>
      <c r="U57" s="236">
        <v>1</v>
      </c>
      <c r="V57" s="237" t="s">
        <v>408</v>
      </c>
      <c r="W57" s="238" t="s">
        <v>408</v>
      </c>
      <c r="X57" s="239" t="s">
        <v>408</v>
      </c>
      <c r="AA57" s="54" t="s">
        <v>647</v>
      </c>
      <c r="AB57" s="54" t="s">
        <v>641</v>
      </c>
      <c r="AC57" s="54">
        <v>10</v>
      </c>
    </row>
    <row r="58" spans="1:29" ht="20.100000000000001" customHeight="1" x14ac:dyDescent="0.25">
      <c r="A58" s="447"/>
      <c r="B58" s="448"/>
      <c r="D58" s="438"/>
      <c r="F58" s="437"/>
      <c r="Q58" s="232" t="s">
        <v>408</v>
      </c>
      <c r="R58" s="238" t="s">
        <v>408</v>
      </c>
      <c r="S58" s="244" t="s">
        <v>408</v>
      </c>
      <c r="T58" s="235" t="s">
        <v>843</v>
      </c>
      <c r="U58" s="236">
        <v>1</v>
      </c>
      <c r="V58" s="237" t="s">
        <v>408</v>
      </c>
      <c r="W58" s="238" t="s">
        <v>408</v>
      </c>
      <c r="X58" s="239" t="s">
        <v>408</v>
      </c>
      <c r="AA58" s="54" t="s">
        <v>648</v>
      </c>
      <c r="AB58" s="54" t="s">
        <v>641</v>
      </c>
      <c r="AC58" s="54">
        <v>10</v>
      </c>
    </row>
    <row r="59" spans="1:29" ht="20.100000000000001" customHeight="1" thickBot="1" x14ac:dyDescent="0.3">
      <c r="A59" s="439" t="s">
        <v>529</v>
      </c>
      <c r="B59" s="448"/>
      <c r="D59" s="438"/>
      <c r="F59" s="437"/>
      <c r="Q59" s="232" t="s">
        <v>408</v>
      </c>
      <c r="R59" s="238" t="s">
        <v>408</v>
      </c>
      <c r="S59" s="244" t="s">
        <v>408</v>
      </c>
      <c r="T59" s="235" t="s">
        <v>844</v>
      </c>
      <c r="U59" s="236">
        <v>1</v>
      </c>
      <c r="V59" s="237" t="s">
        <v>408</v>
      </c>
      <c r="W59" s="238" t="s">
        <v>408</v>
      </c>
      <c r="X59" s="239" t="s">
        <v>408</v>
      </c>
      <c r="AA59" s="54" t="s">
        <v>649</v>
      </c>
      <c r="AB59" s="54" t="s">
        <v>650</v>
      </c>
      <c r="AC59" s="54">
        <v>13</v>
      </c>
    </row>
    <row r="60" spans="1:29" ht="20.100000000000001" customHeight="1" thickBot="1" x14ac:dyDescent="0.3">
      <c r="A60" s="451" t="s">
        <v>482</v>
      </c>
      <c r="B60" s="452" t="s">
        <v>530</v>
      </c>
      <c r="D60" s="438"/>
      <c r="F60" s="437"/>
      <c r="Q60" s="232" t="s">
        <v>408</v>
      </c>
      <c r="R60" s="238" t="s">
        <v>408</v>
      </c>
      <c r="S60" s="244" t="s">
        <v>408</v>
      </c>
      <c r="T60" s="235" t="s">
        <v>845</v>
      </c>
      <c r="U60" s="236">
        <v>1</v>
      </c>
      <c r="V60" s="237" t="s">
        <v>408</v>
      </c>
      <c r="W60" s="238" t="s">
        <v>408</v>
      </c>
      <c r="X60" s="239" t="s">
        <v>408</v>
      </c>
      <c r="AA60" s="54" t="s">
        <v>651</v>
      </c>
      <c r="AB60" s="54" t="s">
        <v>650</v>
      </c>
      <c r="AC60" s="54">
        <v>13</v>
      </c>
    </row>
    <row r="61" spans="1:29" ht="20.100000000000001" customHeight="1" thickBot="1" x14ac:dyDescent="0.3">
      <c r="A61" s="453" t="s">
        <v>82</v>
      </c>
      <c r="B61" s="454" t="s">
        <v>531</v>
      </c>
      <c r="D61" s="438"/>
      <c r="F61" s="437"/>
      <c r="Q61" s="232"/>
      <c r="R61" s="238"/>
      <c r="S61" s="245"/>
      <c r="T61" s="235" t="s">
        <v>846</v>
      </c>
      <c r="U61" s="246"/>
      <c r="V61" s="237"/>
      <c r="W61" s="238"/>
      <c r="X61" s="239"/>
      <c r="AA61" s="54" t="s">
        <v>625</v>
      </c>
      <c r="AB61" s="54" t="s">
        <v>650</v>
      </c>
      <c r="AC61" s="54">
        <v>13</v>
      </c>
    </row>
    <row r="62" spans="1:29" ht="20.100000000000001" customHeight="1" x14ac:dyDescent="0.25">
      <c r="A62" s="460" t="s">
        <v>485</v>
      </c>
      <c r="B62" s="461" t="s">
        <v>532</v>
      </c>
      <c r="D62" s="438"/>
      <c r="F62" s="437"/>
      <c r="Q62" s="247" t="s">
        <v>408</v>
      </c>
      <c r="R62" s="248" t="s">
        <v>408</v>
      </c>
      <c r="S62" s="249" t="s">
        <v>408</v>
      </c>
      <c r="T62" s="250"/>
      <c r="U62" s="251" t="s">
        <v>408</v>
      </c>
      <c r="V62" s="252" t="s">
        <v>408</v>
      </c>
      <c r="W62" s="248" t="s">
        <v>408</v>
      </c>
      <c r="X62" s="253" t="s">
        <v>408</v>
      </c>
      <c r="AA62" s="54" t="s">
        <v>652</v>
      </c>
      <c r="AB62" s="54" t="s">
        <v>650</v>
      </c>
      <c r="AC62" s="54">
        <v>13</v>
      </c>
    </row>
    <row r="63" spans="1:29" ht="20.100000000000001" customHeight="1" thickBot="1" x14ac:dyDescent="0.3">
      <c r="A63" s="453" t="s">
        <v>486</v>
      </c>
      <c r="B63" s="454" t="s">
        <v>533</v>
      </c>
      <c r="D63" s="438"/>
      <c r="F63" s="437"/>
      <c r="Q63" s="224" t="s">
        <v>847</v>
      </c>
      <c r="R63" s="254"/>
      <c r="S63" s="226" t="s">
        <v>848</v>
      </c>
      <c r="T63" s="227" t="s">
        <v>746</v>
      </c>
      <c r="U63" s="228" t="s">
        <v>408</v>
      </c>
      <c r="V63" s="229" t="s">
        <v>747</v>
      </c>
      <c r="W63" s="230">
        <v>12</v>
      </c>
      <c r="X63" s="231" t="s">
        <v>760</v>
      </c>
      <c r="AA63" s="54" t="s">
        <v>653</v>
      </c>
      <c r="AB63" s="54" t="s">
        <v>650</v>
      </c>
      <c r="AC63" s="54">
        <v>13</v>
      </c>
    </row>
    <row r="64" spans="1:29" ht="20.100000000000001" customHeight="1" x14ac:dyDescent="0.25">
      <c r="A64" s="447"/>
      <c r="B64" s="448"/>
      <c r="D64" s="438"/>
      <c r="F64" s="437"/>
      <c r="Q64" s="232" t="s">
        <v>408</v>
      </c>
      <c r="R64" s="233" t="s">
        <v>604</v>
      </c>
      <c r="S64" s="255" t="s">
        <v>849</v>
      </c>
      <c r="T64" s="235" t="s">
        <v>750</v>
      </c>
      <c r="U64" s="236" t="s">
        <v>408</v>
      </c>
      <c r="V64" s="237" t="s">
        <v>751</v>
      </c>
      <c r="W64" s="238"/>
      <c r="X64" s="239" t="s">
        <v>764</v>
      </c>
      <c r="AA64" s="54" t="s">
        <v>653</v>
      </c>
      <c r="AB64" s="54" t="s">
        <v>650</v>
      </c>
      <c r="AC64" s="54">
        <v>13</v>
      </c>
    </row>
    <row r="65" spans="1:29" ht="20.100000000000001" customHeight="1" thickBot="1" x14ac:dyDescent="0.3">
      <c r="A65" s="439" t="s">
        <v>534</v>
      </c>
      <c r="B65" s="448"/>
      <c r="D65" s="438"/>
      <c r="F65" s="437"/>
      <c r="Q65" s="241" t="s">
        <v>408</v>
      </c>
      <c r="R65" s="238"/>
      <c r="S65" s="256"/>
      <c r="T65" s="243" t="s">
        <v>754</v>
      </c>
      <c r="U65" s="236" t="s">
        <v>408</v>
      </c>
      <c r="V65" s="237" t="s">
        <v>763</v>
      </c>
      <c r="W65" s="238"/>
      <c r="X65" s="239" t="s">
        <v>760</v>
      </c>
      <c r="AA65" s="54" t="s">
        <v>654</v>
      </c>
      <c r="AB65" s="54" t="s">
        <v>650</v>
      </c>
      <c r="AC65" s="54">
        <v>13</v>
      </c>
    </row>
    <row r="66" spans="1:29" ht="20.100000000000001" customHeight="1" thickBot="1" x14ac:dyDescent="0.3">
      <c r="A66" s="456" t="s">
        <v>535</v>
      </c>
      <c r="B66" s="457" t="s">
        <v>719</v>
      </c>
      <c r="D66" s="438"/>
      <c r="F66" s="437"/>
      <c r="Q66" s="232" t="s">
        <v>408</v>
      </c>
      <c r="R66" s="238"/>
      <c r="S66" s="244"/>
      <c r="T66" s="235" t="s">
        <v>758</v>
      </c>
      <c r="U66" s="236">
        <v>2</v>
      </c>
      <c r="V66" s="237" t="s">
        <v>767</v>
      </c>
      <c r="W66" s="238"/>
      <c r="X66" s="239" t="s">
        <v>850</v>
      </c>
      <c r="AA66" s="54" t="s">
        <v>655</v>
      </c>
      <c r="AB66" s="54" t="s">
        <v>650</v>
      </c>
      <c r="AC66" s="54">
        <v>13</v>
      </c>
    </row>
    <row r="67" spans="1:29" ht="20.100000000000001" customHeight="1" thickBot="1" x14ac:dyDescent="0.3">
      <c r="A67" s="458" t="s">
        <v>82</v>
      </c>
      <c r="B67" s="462" t="s">
        <v>536</v>
      </c>
      <c r="D67" s="438"/>
      <c r="F67" s="437"/>
      <c r="Q67" s="232" t="s">
        <v>408</v>
      </c>
      <c r="R67" s="238" t="s">
        <v>408</v>
      </c>
      <c r="S67" s="244"/>
      <c r="T67" s="235" t="s">
        <v>762</v>
      </c>
      <c r="U67" s="236">
        <v>1</v>
      </c>
      <c r="V67" s="237" t="s">
        <v>771</v>
      </c>
      <c r="W67" s="238"/>
      <c r="X67" s="239" t="s">
        <v>851</v>
      </c>
      <c r="AA67" s="54" t="s">
        <v>656</v>
      </c>
      <c r="AB67" s="54" t="s">
        <v>650</v>
      </c>
      <c r="AC67" s="54">
        <v>13</v>
      </c>
    </row>
    <row r="68" spans="1:29" ht="20.100000000000001" customHeight="1" thickBot="1" x14ac:dyDescent="0.3">
      <c r="A68" s="458" t="s">
        <v>537</v>
      </c>
      <c r="B68" s="462" t="s">
        <v>538</v>
      </c>
      <c r="D68" s="438"/>
      <c r="F68" s="437"/>
      <c r="Q68" s="232" t="s">
        <v>408</v>
      </c>
      <c r="R68" s="238" t="s">
        <v>408</v>
      </c>
      <c r="S68" s="244"/>
      <c r="T68" s="235" t="s">
        <v>766</v>
      </c>
      <c r="U68" s="236">
        <v>1</v>
      </c>
      <c r="V68" s="237"/>
      <c r="W68" s="238"/>
      <c r="X68" s="239" t="s">
        <v>408</v>
      </c>
      <c r="AA68" s="54" t="s">
        <v>657</v>
      </c>
      <c r="AB68" s="54" t="s">
        <v>650</v>
      </c>
      <c r="AC68" s="54">
        <v>13</v>
      </c>
    </row>
    <row r="69" spans="1:29" ht="20.100000000000001" customHeight="1" thickBot="1" x14ac:dyDescent="0.3">
      <c r="A69" s="458" t="s">
        <v>412</v>
      </c>
      <c r="B69" s="462" t="s">
        <v>539</v>
      </c>
      <c r="D69" s="438"/>
      <c r="F69" s="437"/>
      <c r="Q69" s="232" t="s">
        <v>408</v>
      </c>
      <c r="R69" s="238" t="s">
        <v>408</v>
      </c>
      <c r="S69" s="244" t="s">
        <v>408</v>
      </c>
      <c r="T69" s="235" t="s">
        <v>774</v>
      </c>
      <c r="U69" s="236">
        <v>1</v>
      </c>
      <c r="V69" s="237"/>
      <c r="W69" s="238"/>
      <c r="X69" s="239" t="s">
        <v>408</v>
      </c>
      <c r="AA69" s="54" t="s">
        <v>658</v>
      </c>
      <c r="AB69" s="54" t="s">
        <v>650</v>
      </c>
      <c r="AC69" s="54">
        <v>13</v>
      </c>
    </row>
    <row r="70" spans="1:29" ht="20.100000000000001" customHeight="1" x14ac:dyDescent="0.25">
      <c r="A70" s="447"/>
      <c r="B70" s="448"/>
      <c r="D70" s="438"/>
      <c r="F70" s="437"/>
      <c r="Q70" s="232" t="s">
        <v>408</v>
      </c>
      <c r="R70" s="238"/>
      <c r="S70" s="244"/>
      <c r="T70" s="235" t="s">
        <v>778</v>
      </c>
      <c r="U70" s="236">
        <v>1</v>
      </c>
      <c r="V70" s="237" t="s">
        <v>785</v>
      </c>
      <c r="W70" s="238"/>
      <c r="X70" s="239" t="s">
        <v>408</v>
      </c>
      <c r="AA70" s="54" t="s">
        <v>659</v>
      </c>
      <c r="AB70" s="54" t="s">
        <v>660</v>
      </c>
      <c r="AC70" s="54">
        <v>10</v>
      </c>
    </row>
    <row r="71" spans="1:29" ht="20.100000000000001" customHeight="1" thickBot="1" x14ac:dyDescent="0.3">
      <c r="A71" s="439" t="s">
        <v>540</v>
      </c>
      <c r="B71" s="448"/>
      <c r="D71" s="438"/>
      <c r="F71" s="437"/>
      <c r="Q71" s="232" t="s">
        <v>408</v>
      </c>
      <c r="R71" s="238"/>
      <c r="S71" s="244"/>
      <c r="T71" s="235" t="s">
        <v>781</v>
      </c>
      <c r="U71" s="236">
        <v>1</v>
      </c>
      <c r="V71" s="237" t="s">
        <v>788</v>
      </c>
      <c r="W71" s="238"/>
      <c r="X71" s="239" t="s">
        <v>408</v>
      </c>
      <c r="AA71" s="54" t="s">
        <v>661</v>
      </c>
      <c r="AB71" s="54" t="s">
        <v>660</v>
      </c>
      <c r="AC71" s="54">
        <v>10</v>
      </c>
    </row>
    <row r="72" spans="1:29" ht="20.100000000000001" customHeight="1" thickBot="1" x14ac:dyDescent="0.3">
      <c r="A72" s="456" t="s">
        <v>482</v>
      </c>
      <c r="B72" s="463" t="s">
        <v>541</v>
      </c>
      <c r="D72" s="438"/>
      <c r="F72" s="437"/>
      <c r="Q72" s="232" t="s">
        <v>408</v>
      </c>
      <c r="R72" s="238" t="s">
        <v>408</v>
      </c>
      <c r="S72" s="244"/>
      <c r="T72" s="235" t="s">
        <v>784</v>
      </c>
      <c r="U72" s="236">
        <v>1</v>
      </c>
      <c r="V72" s="237" t="s">
        <v>791</v>
      </c>
      <c r="W72" s="238"/>
      <c r="X72" s="239" t="s">
        <v>408</v>
      </c>
      <c r="AA72" s="54" t="s">
        <v>662</v>
      </c>
      <c r="AB72" s="54" t="s">
        <v>660</v>
      </c>
      <c r="AC72" s="54">
        <v>10</v>
      </c>
    </row>
    <row r="73" spans="1:29" ht="20.100000000000001" customHeight="1" thickBot="1" x14ac:dyDescent="0.3">
      <c r="A73" s="458" t="s">
        <v>82</v>
      </c>
      <c r="B73" s="462" t="s">
        <v>542</v>
      </c>
      <c r="D73" s="438"/>
      <c r="F73" s="437"/>
      <c r="Q73" s="232" t="s">
        <v>408</v>
      </c>
      <c r="R73" s="238" t="s">
        <v>408</v>
      </c>
      <c r="S73" s="244" t="s">
        <v>408</v>
      </c>
      <c r="T73" s="235" t="s">
        <v>787</v>
      </c>
      <c r="U73" s="236">
        <v>1</v>
      </c>
      <c r="V73" s="237" t="s">
        <v>794</v>
      </c>
      <c r="W73" s="238"/>
      <c r="X73" s="239" t="s">
        <v>408</v>
      </c>
      <c r="AA73" s="54" t="s">
        <v>663</v>
      </c>
      <c r="AB73" s="54" t="s">
        <v>660</v>
      </c>
      <c r="AC73" s="54">
        <v>10</v>
      </c>
    </row>
    <row r="74" spans="1:29" ht="20.100000000000001" customHeight="1" x14ac:dyDescent="0.25">
      <c r="A74" s="1092" t="s">
        <v>485</v>
      </c>
      <c r="B74" s="1094" t="s">
        <v>543</v>
      </c>
      <c r="D74" s="438"/>
      <c r="F74" s="437"/>
      <c r="Q74" s="232" t="s">
        <v>408</v>
      </c>
      <c r="R74" s="238" t="s">
        <v>408</v>
      </c>
      <c r="S74" s="244" t="s">
        <v>408</v>
      </c>
      <c r="T74" s="235" t="s">
        <v>852</v>
      </c>
      <c r="U74" s="236">
        <v>1</v>
      </c>
      <c r="V74" s="237" t="s">
        <v>853</v>
      </c>
      <c r="W74" s="238" t="s">
        <v>408</v>
      </c>
      <c r="X74" s="239" t="s">
        <v>408</v>
      </c>
      <c r="AA74" s="54" t="s">
        <v>664</v>
      </c>
      <c r="AB74" s="54" t="s">
        <v>660</v>
      </c>
      <c r="AC74" s="54">
        <v>10</v>
      </c>
    </row>
    <row r="75" spans="1:29" ht="20.100000000000001" customHeight="1" thickBot="1" x14ac:dyDescent="0.3">
      <c r="A75" s="1093"/>
      <c r="B75" s="1095"/>
      <c r="D75" s="438"/>
      <c r="F75" s="437"/>
      <c r="Q75" s="232" t="s">
        <v>408</v>
      </c>
      <c r="R75" s="238" t="s">
        <v>408</v>
      </c>
      <c r="S75" s="244" t="s">
        <v>408</v>
      </c>
      <c r="T75" s="235" t="s">
        <v>818</v>
      </c>
      <c r="U75" s="236">
        <v>1</v>
      </c>
      <c r="V75" s="237"/>
      <c r="W75" s="238" t="s">
        <v>408</v>
      </c>
      <c r="X75" s="239" t="s">
        <v>408</v>
      </c>
      <c r="AA75" s="54" t="s">
        <v>665</v>
      </c>
      <c r="AB75" s="54" t="s">
        <v>660</v>
      </c>
      <c r="AC75" s="54">
        <v>10</v>
      </c>
    </row>
    <row r="76" spans="1:29" ht="20.100000000000001" customHeight="1" thickBot="1" x14ac:dyDescent="0.3">
      <c r="A76" s="458" t="s">
        <v>486</v>
      </c>
      <c r="B76" s="462" t="s">
        <v>544</v>
      </c>
      <c r="D76" s="438"/>
      <c r="F76" s="437"/>
      <c r="Q76" s="232" t="s">
        <v>408</v>
      </c>
      <c r="R76" s="238" t="s">
        <v>408</v>
      </c>
      <c r="S76" s="244" t="s">
        <v>408</v>
      </c>
      <c r="T76" s="235" t="s">
        <v>816</v>
      </c>
      <c r="U76" s="236">
        <v>1</v>
      </c>
      <c r="V76" s="237" t="s">
        <v>813</v>
      </c>
      <c r="W76" s="238" t="s">
        <v>408</v>
      </c>
      <c r="X76" s="239" t="s">
        <v>408</v>
      </c>
      <c r="AA76" s="54" t="s">
        <v>666</v>
      </c>
      <c r="AB76" s="54" t="s">
        <v>660</v>
      </c>
      <c r="AC76" s="54">
        <v>10</v>
      </c>
    </row>
    <row r="77" spans="1:29" ht="20.100000000000001" customHeight="1" x14ac:dyDescent="0.25">
      <c r="A77" s="447"/>
      <c r="B77" s="448"/>
      <c r="D77" s="438"/>
      <c r="F77" s="437"/>
      <c r="Q77" s="232" t="s">
        <v>408</v>
      </c>
      <c r="R77" s="238" t="s">
        <v>408</v>
      </c>
      <c r="S77" s="244" t="s">
        <v>408</v>
      </c>
      <c r="T77" s="235" t="s">
        <v>790</v>
      </c>
      <c r="U77" s="236">
        <v>1</v>
      </c>
      <c r="V77" s="237" t="s">
        <v>815</v>
      </c>
      <c r="W77" s="238" t="s">
        <v>408</v>
      </c>
      <c r="X77" s="239" t="s">
        <v>408</v>
      </c>
      <c r="AA77" s="54" t="s">
        <v>667</v>
      </c>
      <c r="AB77" s="54" t="s">
        <v>660</v>
      </c>
      <c r="AC77" s="54">
        <v>10</v>
      </c>
    </row>
    <row r="78" spans="1:29" ht="20.100000000000001" customHeight="1" thickBot="1" x14ac:dyDescent="0.3">
      <c r="A78" s="439" t="s">
        <v>545</v>
      </c>
      <c r="B78" s="448"/>
      <c r="D78" s="438"/>
      <c r="F78" s="437"/>
      <c r="Q78" s="232" t="s">
        <v>408</v>
      </c>
      <c r="R78" s="238" t="s">
        <v>408</v>
      </c>
      <c r="S78" s="244" t="s">
        <v>408</v>
      </c>
      <c r="T78" s="235" t="s">
        <v>854</v>
      </c>
      <c r="U78" s="236">
        <v>1</v>
      </c>
      <c r="V78" s="237" t="s">
        <v>817</v>
      </c>
      <c r="W78" s="238" t="s">
        <v>408</v>
      </c>
      <c r="X78" s="239" t="s">
        <v>408</v>
      </c>
      <c r="AA78" s="54" t="s">
        <v>668</v>
      </c>
      <c r="AB78" s="54" t="s">
        <v>660</v>
      </c>
      <c r="AC78" s="54">
        <v>10</v>
      </c>
    </row>
    <row r="79" spans="1:29" ht="20.100000000000001" customHeight="1" thickBot="1" x14ac:dyDescent="0.3">
      <c r="A79" s="456" t="s">
        <v>482</v>
      </c>
      <c r="B79" s="463" t="s">
        <v>546</v>
      </c>
      <c r="D79" s="438"/>
      <c r="F79" s="437"/>
      <c r="Q79" s="232" t="s">
        <v>408</v>
      </c>
      <c r="R79" s="238" t="s">
        <v>408</v>
      </c>
      <c r="S79" s="244" t="s">
        <v>408</v>
      </c>
      <c r="T79" s="235" t="s">
        <v>855</v>
      </c>
      <c r="U79" s="236" t="s">
        <v>408</v>
      </c>
      <c r="V79" s="237" t="s">
        <v>819</v>
      </c>
      <c r="W79" s="238" t="s">
        <v>408</v>
      </c>
      <c r="X79" s="239" t="s">
        <v>408</v>
      </c>
      <c r="AA79" s="54" t="s">
        <v>669</v>
      </c>
      <c r="AB79" s="54" t="s">
        <v>660</v>
      </c>
      <c r="AC79" s="54">
        <v>10</v>
      </c>
    </row>
    <row r="80" spans="1:29" ht="20.100000000000001" customHeight="1" thickBot="1" x14ac:dyDescent="0.3">
      <c r="A80" s="458" t="s">
        <v>82</v>
      </c>
      <c r="B80" s="462" t="s">
        <v>547</v>
      </c>
      <c r="D80" s="438"/>
      <c r="F80" s="437"/>
      <c r="Q80" s="232" t="s">
        <v>408</v>
      </c>
      <c r="R80" s="238" t="s">
        <v>408</v>
      </c>
      <c r="S80" s="244" t="s">
        <v>408</v>
      </c>
      <c r="T80" s="235" t="s">
        <v>793</v>
      </c>
      <c r="U80" s="236">
        <v>2</v>
      </c>
      <c r="V80" s="237" t="s">
        <v>821</v>
      </c>
      <c r="W80" s="238" t="s">
        <v>408</v>
      </c>
      <c r="X80" s="239" t="s">
        <v>408</v>
      </c>
      <c r="AA80" s="54" t="s">
        <v>670</v>
      </c>
      <c r="AB80" s="54" t="s">
        <v>660</v>
      </c>
      <c r="AC80" s="54">
        <v>10</v>
      </c>
    </row>
    <row r="81" spans="1:29" ht="20.100000000000001" customHeight="1" thickBot="1" x14ac:dyDescent="0.3">
      <c r="A81" s="458" t="s">
        <v>485</v>
      </c>
      <c r="B81" s="462" t="s">
        <v>548</v>
      </c>
      <c r="D81" s="438"/>
      <c r="F81" s="437"/>
      <c r="Q81" s="232" t="s">
        <v>408</v>
      </c>
      <c r="R81" s="238" t="s">
        <v>408</v>
      </c>
      <c r="S81" s="244" t="s">
        <v>408</v>
      </c>
      <c r="T81" s="235" t="s">
        <v>854</v>
      </c>
      <c r="U81" s="236">
        <v>1</v>
      </c>
      <c r="V81" s="237" t="s">
        <v>408</v>
      </c>
      <c r="W81" s="238" t="s">
        <v>408</v>
      </c>
      <c r="X81" s="239" t="s">
        <v>408</v>
      </c>
      <c r="AA81" s="54" t="s">
        <v>671</v>
      </c>
      <c r="AB81" s="54" t="s">
        <v>660</v>
      </c>
      <c r="AC81" s="54">
        <v>10</v>
      </c>
    </row>
    <row r="82" spans="1:29" ht="20.100000000000001" customHeight="1" thickBot="1" x14ac:dyDescent="0.3">
      <c r="A82" s="458" t="s">
        <v>486</v>
      </c>
      <c r="B82" s="462" t="s">
        <v>549</v>
      </c>
      <c r="D82" s="438"/>
      <c r="F82" s="437"/>
      <c r="Q82" s="232" t="s">
        <v>408</v>
      </c>
      <c r="R82" s="238" t="s">
        <v>408</v>
      </c>
      <c r="S82" s="244" t="s">
        <v>408</v>
      </c>
      <c r="T82" s="235" t="s">
        <v>856</v>
      </c>
      <c r="U82" s="236" t="s">
        <v>408</v>
      </c>
      <c r="V82" s="237" t="s">
        <v>408</v>
      </c>
      <c r="W82" s="238" t="s">
        <v>408</v>
      </c>
      <c r="X82" s="239" t="s">
        <v>408</v>
      </c>
      <c r="AA82" s="54" t="s">
        <v>672</v>
      </c>
      <c r="AB82" s="54" t="s">
        <v>660</v>
      </c>
      <c r="AC82" s="54">
        <v>10</v>
      </c>
    </row>
    <row r="83" spans="1:29" ht="20.100000000000001" customHeight="1" x14ac:dyDescent="0.25">
      <c r="A83" s="447"/>
      <c r="B83" s="448"/>
      <c r="D83" s="438"/>
      <c r="F83" s="437"/>
      <c r="Q83" s="232" t="s">
        <v>408</v>
      </c>
      <c r="R83" s="238" t="s">
        <v>408</v>
      </c>
      <c r="S83" s="244" t="s">
        <v>408</v>
      </c>
      <c r="T83" s="235" t="s">
        <v>805</v>
      </c>
      <c r="U83" s="236">
        <v>2</v>
      </c>
      <c r="V83" s="237" t="s">
        <v>408</v>
      </c>
      <c r="W83" s="238" t="s">
        <v>408</v>
      </c>
      <c r="X83" s="239" t="s">
        <v>408</v>
      </c>
      <c r="AA83" s="54" t="s">
        <v>673</v>
      </c>
      <c r="AB83" s="54" t="s">
        <v>660</v>
      </c>
      <c r="AC83" s="54">
        <v>10</v>
      </c>
    </row>
    <row r="84" spans="1:29" ht="20.100000000000001" customHeight="1" thickBot="1" x14ac:dyDescent="0.3">
      <c r="A84" s="439" t="s">
        <v>550</v>
      </c>
      <c r="B84" s="448"/>
      <c r="D84" s="438"/>
      <c r="F84" s="437"/>
      <c r="Q84" s="232" t="s">
        <v>408</v>
      </c>
      <c r="R84" s="238" t="s">
        <v>408</v>
      </c>
      <c r="S84" s="244" t="s">
        <v>408</v>
      </c>
      <c r="T84" s="235" t="s">
        <v>807</v>
      </c>
      <c r="U84" s="236" t="s">
        <v>408</v>
      </c>
      <c r="V84" s="237" t="s">
        <v>408</v>
      </c>
      <c r="W84" s="238" t="s">
        <v>408</v>
      </c>
      <c r="X84" s="239" t="s">
        <v>408</v>
      </c>
      <c r="AA84" s="54" t="s">
        <v>674</v>
      </c>
      <c r="AB84" s="54" t="s">
        <v>660</v>
      </c>
      <c r="AC84" s="54">
        <v>10</v>
      </c>
    </row>
    <row r="85" spans="1:29" ht="20.100000000000001" customHeight="1" thickBot="1" x14ac:dyDescent="0.3">
      <c r="A85" s="451" t="s">
        <v>482</v>
      </c>
      <c r="B85" s="455" t="s">
        <v>551</v>
      </c>
      <c r="D85" s="438"/>
      <c r="F85" s="437"/>
      <c r="Q85" s="232" t="s">
        <v>408</v>
      </c>
      <c r="R85" s="238" t="s">
        <v>408</v>
      </c>
      <c r="S85" s="244" t="s">
        <v>408</v>
      </c>
      <c r="T85" s="235" t="s">
        <v>809</v>
      </c>
      <c r="U85" s="236" t="s">
        <v>408</v>
      </c>
      <c r="V85" s="237" t="s">
        <v>408</v>
      </c>
      <c r="W85" s="238" t="s">
        <v>408</v>
      </c>
      <c r="X85" s="239" t="s">
        <v>408</v>
      </c>
      <c r="AA85" s="54" t="s">
        <v>675</v>
      </c>
      <c r="AB85" s="54" t="s">
        <v>660</v>
      </c>
      <c r="AC85" s="54">
        <v>10</v>
      </c>
    </row>
    <row r="86" spans="1:29" ht="20.100000000000001" customHeight="1" thickBot="1" x14ac:dyDescent="0.3">
      <c r="A86" s="453" t="s">
        <v>82</v>
      </c>
      <c r="B86" s="464" t="s">
        <v>552</v>
      </c>
      <c r="D86" s="438"/>
      <c r="F86" s="437"/>
      <c r="Q86" s="232" t="s">
        <v>408</v>
      </c>
      <c r="R86" s="238" t="s">
        <v>408</v>
      </c>
      <c r="S86" s="244" t="s">
        <v>408</v>
      </c>
      <c r="T86" s="235" t="s">
        <v>811</v>
      </c>
      <c r="U86" s="236" t="s">
        <v>408</v>
      </c>
      <c r="V86" s="237" t="s">
        <v>408</v>
      </c>
      <c r="W86" s="238" t="s">
        <v>408</v>
      </c>
      <c r="X86" s="239" t="s">
        <v>408</v>
      </c>
      <c r="AA86" s="54" t="s">
        <v>676</v>
      </c>
      <c r="AB86" s="54" t="s">
        <v>660</v>
      </c>
      <c r="AC86" s="54">
        <v>10</v>
      </c>
    </row>
    <row r="87" spans="1:29" ht="20.100000000000001" customHeight="1" x14ac:dyDescent="0.25">
      <c r="A87" s="460" t="s">
        <v>485</v>
      </c>
      <c r="B87" s="465" t="s">
        <v>553</v>
      </c>
      <c r="D87" s="438"/>
      <c r="F87" s="437"/>
      <c r="Q87" s="232" t="s">
        <v>408</v>
      </c>
      <c r="R87" s="238" t="s">
        <v>408</v>
      </c>
      <c r="S87" s="244" t="s">
        <v>408</v>
      </c>
      <c r="T87" s="235" t="s">
        <v>812</v>
      </c>
      <c r="U87" s="236" t="s">
        <v>408</v>
      </c>
      <c r="V87" s="237" t="s">
        <v>408</v>
      </c>
      <c r="W87" s="238" t="s">
        <v>408</v>
      </c>
      <c r="X87" s="239" t="s">
        <v>408</v>
      </c>
      <c r="AA87" s="54" t="s">
        <v>677</v>
      </c>
      <c r="AB87" s="54" t="s">
        <v>660</v>
      </c>
      <c r="AC87" s="54">
        <v>10</v>
      </c>
    </row>
    <row r="88" spans="1:29" ht="20.100000000000001" customHeight="1" thickBot="1" x14ac:dyDescent="0.3">
      <c r="A88" s="453" t="s">
        <v>486</v>
      </c>
      <c r="B88" s="466" t="s">
        <v>554</v>
      </c>
      <c r="D88" s="438"/>
      <c r="F88" s="437"/>
      <c r="Q88" s="232" t="s">
        <v>408</v>
      </c>
      <c r="R88" s="238" t="s">
        <v>408</v>
      </c>
      <c r="S88" s="244" t="s">
        <v>408</v>
      </c>
      <c r="T88" s="235" t="s">
        <v>820</v>
      </c>
      <c r="U88" s="236">
        <v>1</v>
      </c>
      <c r="V88" s="237" t="s">
        <v>408</v>
      </c>
      <c r="W88" s="238" t="s">
        <v>408</v>
      </c>
      <c r="X88" s="239" t="s">
        <v>408</v>
      </c>
      <c r="AA88" s="54" t="s">
        <v>678</v>
      </c>
      <c r="AB88" s="54" t="s">
        <v>679</v>
      </c>
      <c r="AC88" s="54">
        <v>7</v>
      </c>
    </row>
    <row r="89" spans="1:29" ht="20.100000000000001" customHeight="1" x14ac:dyDescent="0.25">
      <c r="A89" s="447"/>
      <c r="B89" s="448"/>
      <c r="D89" s="438"/>
      <c r="F89" s="437"/>
      <c r="Q89" s="232" t="s">
        <v>408</v>
      </c>
      <c r="R89" s="238" t="s">
        <v>408</v>
      </c>
      <c r="S89" s="244" t="s">
        <v>408</v>
      </c>
      <c r="T89" s="235" t="s">
        <v>822</v>
      </c>
      <c r="U89" s="236" t="s">
        <v>408</v>
      </c>
      <c r="V89" s="237" t="s">
        <v>408</v>
      </c>
      <c r="W89" s="238" t="s">
        <v>408</v>
      </c>
      <c r="X89" s="239" t="s">
        <v>408</v>
      </c>
      <c r="AA89" s="54" t="s">
        <v>680</v>
      </c>
      <c r="AB89" s="54" t="s">
        <v>679</v>
      </c>
      <c r="AC89" s="54">
        <v>7</v>
      </c>
    </row>
    <row r="90" spans="1:29" ht="20.100000000000001" customHeight="1" thickBot="1" x14ac:dyDescent="0.3">
      <c r="A90" s="439" t="s">
        <v>555</v>
      </c>
      <c r="B90" s="448"/>
      <c r="D90" s="438"/>
      <c r="F90" s="437"/>
      <c r="Q90" s="232" t="s">
        <v>408</v>
      </c>
      <c r="R90" s="238" t="s">
        <v>408</v>
      </c>
      <c r="S90" s="244" t="s">
        <v>408</v>
      </c>
      <c r="T90" s="235" t="s">
        <v>823</v>
      </c>
      <c r="U90" s="236" t="s">
        <v>408</v>
      </c>
      <c r="V90" s="237" t="s">
        <v>408</v>
      </c>
      <c r="W90" s="238" t="s">
        <v>408</v>
      </c>
      <c r="X90" s="239" t="s">
        <v>408</v>
      </c>
      <c r="AA90" s="54" t="s">
        <v>681</v>
      </c>
      <c r="AB90" s="54" t="s">
        <v>679</v>
      </c>
      <c r="AC90" s="54">
        <v>7</v>
      </c>
    </row>
    <row r="91" spans="1:29" ht="20.100000000000001" customHeight="1" thickBot="1" x14ac:dyDescent="0.3">
      <c r="A91" s="456" t="s">
        <v>482</v>
      </c>
      <c r="B91" s="463" t="s">
        <v>556</v>
      </c>
      <c r="D91" s="438"/>
      <c r="F91" s="437"/>
      <c r="Q91" s="232" t="s">
        <v>408</v>
      </c>
      <c r="R91" s="238" t="s">
        <v>408</v>
      </c>
      <c r="S91" s="244" t="s">
        <v>408</v>
      </c>
      <c r="T91" s="235" t="s">
        <v>824</v>
      </c>
      <c r="U91" s="236" t="s">
        <v>408</v>
      </c>
      <c r="V91" s="237" t="s">
        <v>408</v>
      </c>
      <c r="W91" s="238" t="s">
        <v>408</v>
      </c>
      <c r="X91" s="239" t="s">
        <v>408</v>
      </c>
      <c r="AA91" s="54" t="s">
        <v>682</v>
      </c>
      <c r="AB91" s="54" t="s">
        <v>679</v>
      </c>
      <c r="AC91" s="54">
        <v>7</v>
      </c>
    </row>
    <row r="92" spans="1:29" ht="20.100000000000001" customHeight="1" thickBot="1" x14ac:dyDescent="0.3">
      <c r="A92" s="458" t="s">
        <v>82</v>
      </c>
      <c r="B92" s="462" t="s">
        <v>557</v>
      </c>
      <c r="D92" s="438"/>
      <c r="F92" s="437"/>
      <c r="Q92" s="232" t="s">
        <v>408</v>
      </c>
      <c r="R92" s="238" t="s">
        <v>408</v>
      </c>
      <c r="S92" s="244" t="s">
        <v>408</v>
      </c>
      <c r="T92" s="235" t="s">
        <v>857</v>
      </c>
      <c r="U92" s="236">
        <v>1</v>
      </c>
      <c r="V92" s="237" t="s">
        <v>408</v>
      </c>
      <c r="W92" s="238" t="s">
        <v>408</v>
      </c>
      <c r="X92" s="239" t="s">
        <v>408</v>
      </c>
      <c r="AA92" s="54" t="s">
        <v>683</v>
      </c>
      <c r="AB92" s="54" t="s">
        <v>679</v>
      </c>
      <c r="AC92" s="54">
        <v>7</v>
      </c>
    </row>
    <row r="93" spans="1:29" ht="20.100000000000001" customHeight="1" thickBot="1" x14ac:dyDescent="0.3">
      <c r="A93" s="458" t="s">
        <v>485</v>
      </c>
      <c r="B93" s="462" t="s">
        <v>558</v>
      </c>
      <c r="D93" s="438"/>
      <c r="F93" s="437"/>
      <c r="Q93" s="232" t="s">
        <v>408</v>
      </c>
      <c r="R93" s="238" t="s">
        <v>408</v>
      </c>
      <c r="S93" s="244" t="s">
        <v>408</v>
      </c>
      <c r="T93" s="235" t="s">
        <v>408</v>
      </c>
      <c r="U93" s="236" t="s">
        <v>408</v>
      </c>
      <c r="V93" s="237" t="s">
        <v>408</v>
      </c>
      <c r="W93" s="238" t="s">
        <v>408</v>
      </c>
      <c r="X93" s="239" t="s">
        <v>408</v>
      </c>
      <c r="AA93" s="54" t="s">
        <v>631</v>
      </c>
      <c r="AB93" s="54" t="s">
        <v>679</v>
      </c>
      <c r="AC93" s="54">
        <v>7</v>
      </c>
    </row>
    <row r="94" spans="1:29" ht="20.100000000000001" customHeight="1" thickBot="1" x14ac:dyDescent="0.3">
      <c r="A94" s="458" t="s">
        <v>486</v>
      </c>
      <c r="B94" s="462" t="s">
        <v>559</v>
      </c>
      <c r="D94" s="438"/>
      <c r="F94" s="437"/>
      <c r="Q94" s="232" t="s">
        <v>408</v>
      </c>
      <c r="R94" s="238" t="s">
        <v>408</v>
      </c>
      <c r="S94" s="244" t="s">
        <v>408</v>
      </c>
      <c r="T94" s="235" t="s">
        <v>825</v>
      </c>
      <c r="U94" s="236" t="s">
        <v>408</v>
      </c>
      <c r="V94" s="237" t="s">
        <v>408</v>
      </c>
      <c r="W94" s="238" t="s">
        <v>408</v>
      </c>
      <c r="X94" s="239" t="s">
        <v>408</v>
      </c>
      <c r="AA94" s="54" t="s">
        <v>684</v>
      </c>
      <c r="AB94" s="54" t="s">
        <v>679</v>
      </c>
      <c r="AC94" s="54">
        <v>7</v>
      </c>
    </row>
    <row r="95" spans="1:29" ht="20.100000000000001" customHeight="1" x14ac:dyDescent="0.25">
      <c r="A95" s="447"/>
      <c r="B95" s="448"/>
      <c r="D95" s="438"/>
      <c r="F95" s="437"/>
      <c r="Q95" s="232" t="s">
        <v>408</v>
      </c>
      <c r="R95" s="238" t="s">
        <v>408</v>
      </c>
      <c r="S95" s="244" t="s">
        <v>408</v>
      </c>
      <c r="T95" s="235" t="s">
        <v>750</v>
      </c>
      <c r="U95" s="236" t="s">
        <v>408</v>
      </c>
      <c r="V95" s="237" t="s">
        <v>408</v>
      </c>
      <c r="W95" s="238" t="s">
        <v>408</v>
      </c>
      <c r="X95" s="239" t="s">
        <v>408</v>
      </c>
      <c r="AA95" s="54" t="s">
        <v>685</v>
      </c>
      <c r="AB95" s="54" t="s">
        <v>686</v>
      </c>
      <c r="AC95" s="54">
        <v>16</v>
      </c>
    </row>
    <row r="96" spans="1:29" ht="20.100000000000001" customHeight="1" thickBot="1" x14ac:dyDescent="0.3">
      <c r="A96" s="439" t="s">
        <v>560</v>
      </c>
      <c r="B96" s="448"/>
      <c r="D96" s="438"/>
      <c r="F96" s="437"/>
      <c r="Q96" s="232" t="s">
        <v>408</v>
      </c>
      <c r="R96" s="238" t="s">
        <v>408</v>
      </c>
      <c r="S96" s="244" t="s">
        <v>408</v>
      </c>
      <c r="T96" s="235" t="s">
        <v>754</v>
      </c>
      <c r="U96" s="236" t="s">
        <v>408</v>
      </c>
      <c r="V96" s="237" t="s">
        <v>408</v>
      </c>
      <c r="W96" s="238" t="s">
        <v>408</v>
      </c>
      <c r="X96" s="239" t="s">
        <v>408</v>
      </c>
      <c r="AA96" s="54" t="s">
        <v>1446</v>
      </c>
      <c r="AB96" s="54" t="s">
        <v>686</v>
      </c>
      <c r="AC96" s="54">
        <v>16</v>
      </c>
    </row>
    <row r="97" spans="1:29" ht="20.100000000000001" customHeight="1" thickBot="1" x14ac:dyDescent="0.3">
      <c r="A97" s="451" t="s">
        <v>482</v>
      </c>
      <c r="B97" s="452" t="s">
        <v>561</v>
      </c>
      <c r="D97" s="438"/>
      <c r="F97" s="437"/>
      <c r="Q97" s="232" t="s">
        <v>408</v>
      </c>
      <c r="R97" s="238" t="s">
        <v>408</v>
      </c>
      <c r="S97" s="244" t="s">
        <v>408</v>
      </c>
      <c r="T97" s="235" t="s">
        <v>826</v>
      </c>
      <c r="U97" s="236">
        <v>1</v>
      </c>
      <c r="V97" s="237" t="s">
        <v>408</v>
      </c>
      <c r="W97" s="238" t="s">
        <v>408</v>
      </c>
      <c r="X97" s="239" t="s">
        <v>408</v>
      </c>
      <c r="AA97" s="54" t="s">
        <v>687</v>
      </c>
      <c r="AB97" s="54" t="s">
        <v>686</v>
      </c>
      <c r="AC97" s="54">
        <v>16</v>
      </c>
    </row>
    <row r="98" spans="1:29" ht="20.100000000000001" customHeight="1" thickBot="1" x14ac:dyDescent="0.3">
      <c r="A98" s="453" t="s">
        <v>82</v>
      </c>
      <c r="B98" s="454" t="s">
        <v>562</v>
      </c>
      <c r="D98" s="438"/>
      <c r="F98" s="437"/>
      <c r="Q98" s="232" t="s">
        <v>408</v>
      </c>
      <c r="R98" s="238" t="s">
        <v>408</v>
      </c>
      <c r="S98" s="244" t="s">
        <v>408</v>
      </c>
      <c r="T98" s="235" t="s">
        <v>858</v>
      </c>
      <c r="U98" s="236">
        <v>1</v>
      </c>
      <c r="V98" s="237" t="s">
        <v>408</v>
      </c>
      <c r="W98" s="238" t="s">
        <v>408</v>
      </c>
      <c r="X98" s="239" t="s">
        <v>408</v>
      </c>
      <c r="AA98" s="54" t="s">
        <v>1447</v>
      </c>
      <c r="AB98" s="54" t="s">
        <v>686</v>
      </c>
      <c r="AC98" s="54">
        <v>16</v>
      </c>
    </row>
    <row r="99" spans="1:29" ht="20.100000000000001" customHeight="1" thickBot="1" x14ac:dyDescent="0.3">
      <c r="A99" s="453" t="s">
        <v>485</v>
      </c>
      <c r="B99" s="454" t="s">
        <v>563</v>
      </c>
      <c r="D99" s="438"/>
      <c r="F99" s="437"/>
      <c r="Q99" s="232" t="s">
        <v>408</v>
      </c>
      <c r="R99" s="238" t="s">
        <v>408</v>
      </c>
      <c r="S99" s="244" t="s">
        <v>408</v>
      </c>
      <c r="T99" s="235" t="s">
        <v>859</v>
      </c>
      <c r="U99" s="236">
        <v>1</v>
      </c>
      <c r="V99" s="237" t="s">
        <v>408</v>
      </c>
      <c r="W99" s="238" t="s">
        <v>408</v>
      </c>
      <c r="X99" s="239" t="s">
        <v>408</v>
      </c>
      <c r="AA99" s="54" t="s">
        <v>688</v>
      </c>
      <c r="AB99" s="54" t="s">
        <v>686</v>
      </c>
      <c r="AC99" s="54">
        <v>16</v>
      </c>
    </row>
    <row r="100" spans="1:29" ht="20.100000000000001" customHeight="1" thickBot="1" x14ac:dyDescent="0.3">
      <c r="A100" s="453" t="s">
        <v>486</v>
      </c>
      <c r="B100" s="454" t="s">
        <v>564</v>
      </c>
      <c r="D100" s="438"/>
      <c r="F100" s="437"/>
      <c r="Q100" s="232" t="s">
        <v>408</v>
      </c>
      <c r="R100" s="238" t="s">
        <v>408</v>
      </c>
      <c r="S100" s="244" t="s">
        <v>408</v>
      </c>
      <c r="T100" s="235" t="s">
        <v>860</v>
      </c>
      <c r="U100" s="236" t="s">
        <v>408</v>
      </c>
      <c r="V100" s="237" t="s">
        <v>408</v>
      </c>
      <c r="W100" s="238" t="s">
        <v>408</v>
      </c>
      <c r="X100" s="239" t="s">
        <v>408</v>
      </c>
      <c r="AA100" s="54" t="s">
        <v>1448</v>
      </c>
      <c r="AB100" s="54" t="s">
        <v>686</v>
      </c>
      <c r="AC100" s="54">
        <v>16</v>
      </c>
    </row>
    <row r="101" spans="1:29" ht="20.100000000000001" customHeight="1" x14ac:dyDescent="0.25">
      <c r="A101" s="447"/>
      <c r="B101" s="448"/>
      <c r="D101" s="438"/>
      <c r="F101" s="437"/>
      <c r="Q101" s="232" t="s">
        <v>408</v>
      </c>
      <c r="R101" s="238" t="s">
        <v>408</v>
      </c>
      <c r="S101" s="244" t="s">
        <v>408</v>
      </c>
      <c r="T101" s="235" t="s">
        <v>861</v>
      </c>
      <c r="U101" s="236">
        <v>1</v>
      </c>
      <c r="V101" s="237" t="s">
        <v>408</v>
      </c>
      <c r="W101" s="238" t="s">
        <v>408</v>
      </c>
      <c r="X101" s="239" t="s">
        <v>408</v>
      </c>
      <c r="AA101" s="54" t="s">
        <v>689</v>
      </c>
      <c r="AB101" s="54" t="s">
        <v>686</v>
      </c>
      <c r="AC101" s="54">
        <v>16</v>
      </c>
    </row>
    <row r="102" spans="1:29" ht="20.100000000000001" customHeight="1" thickBot="1" x14ac:dyDescent="0.3">
      <c r="A102" s="439" t="s">
        <v>565</v>
      </c>
      <c r="B102" s="448"/>
      <c r="D102" s="438"/>
      <c r="F102" s="437"/>
      <c r="Q102" s="232" t="s">
        <v>408</v>
      </c>
      <c r="R102" s="238" t="s">
        <v>408</v>
      </c>
      <c r="S102" s="244" t="s">
        <v>408</v>
      </c>
      <c r="T102" s="235" t="s">
        <v>828</v>
      </c>
      <c r="U102" s="236" t="s">
        <v>408</v>
      </c>
      <c r="V102" s="237" t="s">
        <v>408</v>
      </c>
      <c r="W102" s="238" t="s">
        <v>408</v>
      </c>
      <c r="X102" s="239" t="s">
        <v>408</v>
      </c>
      <c r="AA102" s="54" t="s">
        <v>1449</v>
      </c>
      <c r="AB102" s="54" t="s">
        <v>686</v>
      </c>
      <c r="AC102" s="54">
        <v>16</v>
      </c>
    </row>
    <row r="103" spans="1:29" ht="20.100000000000001" customHeight="1" thickBot="1" x14ac:dyDescent="0.3">
      <c r="A103" s="451" t="s">
        <v>566</v>
      </c>
      <c r="B103" s="452" t="s">
        <v>567</v>
      </c>
      <c r="D103" s="438"/>
      <c r="F103" s="437"/>
      <c r="Q103" s="232" t="s">
        <v>408</v>
      </c>
      <c r="R103" s="238" t="s">
        <v>408</v>
      </c>
      <c r="S103" s="244" t="s">
        <v>408</v>
      </c>
      <c r="T103" s="235" t="s">
        <v>862</v>
      </c>
      <c r="U103" s="236">
        <v>1</v>
      </c>
      <c r="V103" s="237" t="s">
        <v>408</v>
      </c>
      <c r="W103" s="238" t="s">
        <v>408</v>
      </c>
      <c r="X103" s="239" t="s">
        <v>408</v>
      </c>
      <c r="AA103" s="54" t="s">
        <v>690</v>
      </c>
      <c r="AB103" s="54" t="s">
        <v>691</v>
      </c>
      <c r="AC103" s="54">
        <v>18</v>
      </c>
    </row>
    <row r="104" spans="1:29" ht="20.100000000000001" customHeight="1" thickBot="1" x14ac:dyDescent="0.3">
      <c r="A104" s="453" t="s">
        <v>82</v>
      </c>
      <c r="B104" s="454" t="s">
        <v>568</v>
      </c>
      <c r="D104" s="438"/>
      <c r="F104" s="437"/>
      <c r="Q104" s="232" t="s">
        <v>408</v>
      </c>
      <c r="R104" s="238" t="s">
        <v>408</v>
      </c>
      <c r="S104" s="244" t="s">
        <v>408</v>
      </c>
      <c r="T104" s="235" t="s">
        <v>831</v>
      </c>
      <c r="U104" s="236" t="s">
        <v>408</v>
      </c>
      <c r="V104" s="237" t="s">
        <v>408</v>
      </c>
      <c r="W104" s="238" t="s">
        <v>408</v>
      </c>
      <c r="X104" s="239" t="s">
        <v>408</v>
      </c>
      <c r="AA104" s="54" t="s">
        <v>1450</v>
      </c>
      <c r="AB104" s="54" t="s">
        <v>691</v>
      </c>
      <c r="AC104" s="54">
        <v>18</v>
      </c>
    </row>
    <row r="105" spans="1:29" ht="20.100000000000001" customHeight="1" thickBot="1" x14ac:dyDescent="0.3">
      <c r="A105" s="453" t="s">
        <v>485</v>
      </c>
      <c r="B105" s="454" t="s">
        <v>569</v>
      </c>
      <c r="D105" s="438"/>
      <c r="F105" s="437"/>
      <c r="Q105" s="232" t="s">
        <v>408</v>
      </c>
      <c r="R105" s="238" t="s">
        <v>408</v>
      </c>
      <c r="S105" s="244" t="s">
        <v>408</v>
      </c>
      <c r="T105" s="235" t="s">
        <v>863</v>
      </c>
      <c r="U105" s="236">
        <v>1</v>
      </c>
      <c r="V105" s="237" t="s">
        <v>408</v>
      </c>
      <c r="W105" s="238" t="s">
        <v>408</v>
      </c>
      <c r="X105" s="239" t="s">
        <v>408</v>
      </c>
      <c r="AA105" s="54" t="s">
        <v>692</v>
      </c>
      <c r="AB105" s="54" t="s">
        <v>691</v>
      </c>
      <c r="AC105" s="54">
        <v>18</v>
      </c>
    </row>
    <row r="106" spans="1:29" ht="20.100000000000001" customHeight="1" thickBot="1" x14ac:dyDescent="0.3">
      <c r="A106" s="453" t="s">
        <v>486</v>
      </c>
      <c r="B106" s="454" t="s">
        <v>724</v>
      </c>
      <c r="D106" s="438"/>
      <c r="F106" s="437"/>
      <c r="Q106" s="232"/>
      <c r="R106" s="238"/>
      <c r="S106" s="244"/>
      <c r="T106" s="235"/>
      <c r="U106" s="236"/>
      <c r="V106" s="237"/>
      <c r="W106" s="238"/>
      <c r="X106" s="239"/>
      <c r="AA106" s="54" t="s">
        <v>1451</v>
      </c>
      <c r="AB106" s="54" t="s">
        <v>691</v>
      </c>
      <c r="AC106" s="54">
        <v>18</v>
      </c>
    </row>
    <row r="107" spans="1:29" ht="20.100000000000001" customHeight="1" x14ac:dyDescent="0.25">
      <c r="A107" s="447"/>
      <c r="B107" s="448"/>
      <c r="D107" s="438"/>
      <c r="F107" s="437"/>
      <c r="Q107" s="232" t="s">
        <v>408</v>
      </c>
      <c r="R107" s="238" t="s">
        <v>408</v>
      </c>
      <c r="S107" s="244" t="s">
        <v>408</v>
      </c>
      <c r="T107" s="235" t="s">
        <v>834</v>
      </c>
      <c r="U107" s="236" t="s">
        <v>408</v>
      </c>
      <c r="V107" s="237" t="s">
        <v>408</v>
      </c>
      <c r="W107" s="238" t="s">
        <v>408</v>
      </c>
      <c r="X107" s="239" t="s">
        <v>408</v>
      </c>
      <c r="AA107" s="54" t="s">
        <v>693</v>
      </c>
      <c r="AB107" s="54" t="s">
        <v>691</v>
      </c>
      <c r="AC107" s="54">
        <v>18</v>
      </c>
    </row>
    <row r="108" spans="1:29" ht="20.100000000000001" customHeight="1" thickBot="1" x14ac:dyDescent="0.3">
      <c r="A108" s="439" t="s">
        <v>570</v>
      </c>
      <c r="B108" s="448"/>
      <c r="D108" s="438"/>
      <c r="F108" s="437"/>
      <c r="Q108" s="232" t="s">
        <v>408</v>
      </c>
      <c r="R108" s="238" t="s">
        <v>408</v>
      </c>
      <c r="S108" s="244" t="s">
        <v>408</v>
      </c>
      <c r="T108" s="235" t="s">
        <v>864</v>
      </c>
      <c r="U108" s="236">
        <v>1</v>
      </c>
      <c r="V108" s="237" t="s">
        <v>408</v>
      </c>
      <c r="W108" s="238" t="s">
        <v>408</v>
      </c>
      <c r="X108" s="239" t="s">
        <v>408</v>
      </c>
      <c r="AA108" s="54" t="s">
        <v>1452</v>
      </c>
      <c r="AB108" s="54" t="s">
        <v>691</v>
      </c>
      <c r="AC108" s="54">
        <v>18</v>
      </c>
    </row>
    <row r="109" spans="1:29" ht="20.100000000000001" customHeight="1" thickBot="1" x14ac:dyDescent="0.3">
      <c r="A109" s="451" t="s">
        <v>482</v>
      </c>
      <c r="B109" s="452" t="s">
        <v>571</v>
      </c>
      <c r="D109" s="438"/>
      <c r="F109" s="437"/>
      <c r="Q109" s="232" t="s">
        <v>408</v>
      </c>
      <c r="R109" s="238" t="s">
        <v>408</v>
      </c>
      <c r="S109" s="244" t="s">
        <v>408</v>
      </c>
      <c r="T109" s="235" t="s">
        <v>865</v>
      </c>
      <c r="U109" s="236">
        <v>1</v>
      </c>
      <c r="V109" s="237" t="s">
        <v>408</v>
      </c>
      <c r="W109" s="238" t="s">
        <v>408</v>
      </c>
      <c r="X109" s="239" t="s">
        <v>408</v>
      </c>
      <c r="AA109" s="54" t="s">
        <v>694</v>
      </c>
      <c r="AB109" s="54" t="s">
        <v>691</v>
      </c>
      <c r="AC109" s="54">
        <v>18</v>
      </c>
    </row>
    <row r="110" spans="1:29" ht="20.100000000000001" customHeight="1" thickBot="1" x14ac:dyDescent="0.3">
      <c r="A110" s="453" t="s">
        <v>82</v>
      </c>
      <c r="B110" s="454" t="s">
        <v>572</v>
      </c>
      <c r="D110" s="438"/>
      <c r="F110" s="437"/>
      <c r="Q110" s="232" t="s">
        <v>408</v>
      </c>
      <c r="R110" s="238" t="s">
        <v>408</v>
      </c>
      <c r="S110" s="244" t="s">
        <v>408</v>
      </c>
      <c r="T110" s="235" t="s">
        <v>408</v>
      </c>
      <c r="U110" s="236" t="s">
        <v>408</v>
      </c>
      <c r="V110" s="237" t="s">
        <v>408</v>
      </c>
      <c r="W110" s="238" t="s">
        <v>408</v>
      </c>
      <c r="X110" s="239" t="s">
        <v>408</v>
      </c>
      <c r="AA110" s="54" t="s">
        <v>1453</v>
      </c>
      <c r="AB110" s="54" t="s">
        <v>691</v>
      </c>
      <c r="AC110" s="54">
        <v>18</v>
      </c>
    </row>
    <row r="111" spans="1:29" ht="20.100000000000001" customHeight="1" thickBot="1" x14ac:dyDescent="0.3">
      <c r="A111" s="453" t="s">
        <v>485</v>
      </c>
      <c r="B111" s="454" t="s">
        <v>573</v>
      </c>
      <c r="D111" s="438"/>
      <c r="F111" s="437"/>
      <c r="Q111" s="232" t="s">
        <v>408</v>
      </c>
      <c r="R111" s="238" t="s">
        <v>408</v>
      </c>
      <c r="S111" s="244" t="s">
        <v>408</v>
      </c>
      <c r="T111" s="235" t="s">
        <v>840</v>
      </c>
      <c r="U111" s="236" t="s">
        <v>408</v>
      </c>
      <c r="V111" s="237" t="s">
        <v>408</v>
      </c>
      <c r="W111" s="238" t="s">
        <v>408</v>
      </c>
      <c r="X111" s="239" t="s">
        <v>408</v>
      </c>
      <c r="AA111" s="54" t="s">
        <v>695</v>
      </c>
      <c r="AB111" s="54" t="s">
        <v>691</v>
      </c>
      <c r="AC111" s="54">
        <v>18</v>
      </c>
    </row>
    <row r="112" spans="1:29" ht="20.100000000000001" customHeight="1" thickBot="1" x14ac:dyDescent="0.3">
      <c r="A112" s="453" t="s">
        <v>486</v>
      </c>
      <c r="B112" s="454" t="s">
        <v>725</v>
      </c>
      <c r="D112" s="438"/>
      <c r="F112" s="437"/>
      <c r="Q112" s="232" t="s">
        <v>408</v>
      </c>
      <c r="R112" s="238" t="s">
        <v>408</v>
      </c>
      <c r="S112" s="244" t="s">
        <v>408</v>
      </c>
      <c r="T112" s="235" t="s">
        <v>841</v>
      </c>
      <c r="U112" s="236" t="s">
        <v>408</v>
      </c>
      <c r="V112" s="237" t="s">
        <v>408</v>
      </c>
      <c r="W112" s="238" t="s">
        <v>408</v>
      </c>
      <c r="X112" s="239" t="s">
        <v>408</v>
      </c>
      <c r="AA112" s="54" t="s">
        <v>1454</v>
      </c>
      <c r="AB112" s="54" t="s">
        <v>691</v>
      </c>
      <c r="AC112" s="54">
        <v>18</v>
      </c>
    </row>
    <row r="113" spans="1:29" ht="20.100000000000001" customHeight="1" x14ac:dyDescent="0.25">
      <c r="A113" s="447"/>
      <c r="B113" s="448"/>
      <c r="D113" s="438"/>
      <c r="F113" s="437"/>
      <c r="Q113" s="232" t="s">
        <v>408</v>
      </c>
      <c r="R113" s="238" t="s">
        <v>408</v>
      </c>
      <c r="S113" s="244" t="s">
        <v>408</v>
      </c>
      <c r="T113" s="235" t="s">
        <v>794</v>
      </c>
      <c r="U113" s="236" t="s">
        <v>408</v>
      </c>
      <c r="V113" s="237" t="s">
        <v>408</v>
      </c>
      <c r="W113" s="238" t="s">
        <v>408</v>
      </c>
      <c r="X113" s="239" t="s">
        <v>408</v>
      </c>
      <c r="AA113" s="54" t="s">
        <v>696</v>
      </c>
      <c r="AB113" s="54" t="s">
        <v>691</v>
      </c>
      <c r="AC113" s="54">
        <v>18</v>
      </c>
    </row>
    <row r="114" spans="1:29" ht="20.100000000000001" customHeight="1" thickBot="1" x14ac:dyDescent="0.3">
      <c r="A114" s="439" t="s">
        <v>574</v>
      </c>
      <c r="B114" s="448"/>
      <c r="D114" s="438"/>
      <c r="F114" s="437"/>
      <c r="Q114" s="232" t="s">
        <v>408</v>
      </c>
      <c r="R114" s="238" t="s">
        <v>408</v>
      </c>
      <c r="S114" s="244" t="s">
        <v>408</v>
      </c>
      <c r="T114" s="235" t="s">
        <v>843</v>
      </c>
      <c r="U114" s="236">
        <v>1</v>
      </c>
      <c r="V114" s="237" t="s">
        <v>408</v>
      </c>
      <c r="W114" s="238" t="s">
        <v>408</v>
      </c>
      <c r="X114" s="239" t="s">
        <v>408</v>
      </c>
      <c r="AA114" s="54" t="s">
        <v>1455</v>
      </c>
      <c r="AB114" s="54" t="s">
        <v>691</v>
      </c>
      <c r="AC114" s="54">
        <v>18</v>
      </c>
    </row>
    <row r="115" spans="1:29" ht="20.100000000000001" customHeight="1" thickBot="1" x14ac:dyDescent="0.3">
      <c r="A115" s="456" t="s">
        <v>482</v>
      </c>
      <c r="B115" s="457" t="s">
        <v>575</v>
      </c>
      <c r="D115" s="438"/>
      <c r="F115" s="437"/>
      <c r="Q115" s="232" t="s">
        <v>408</v>
      </c>
      <c r="R115" s="238" t="s">
        <v>408</v>
      </c>
      <c r="S115" s="244" t="s">
        <v>408</v>
      </c>
      <c r="T115" s="235" t="s">
        <v>844</v>
      </c>
      <c r="U115" s="236">
        <v>1</v>
      </c>
      <c r="V115" s="237" t="s">
        <v>408</v>
      </c>
      <c r="W115" s="238" t="s">
        <v>408</v>
      </c>
      <c r="X115" s="239" t="s">
        <v>408</v>
      </c>
      <c r="AA115" s="54" t="s">
        <v>697</v>
      </c>
      <c r="AB115" s="54" t="s">
        <v>691</v>
      </c>
      <c r="AC115" s="54">
        <v>18</v>
      </c>
    </row>
    <row r="116" spans="1:29" ht="20.100000000000001" customHeight="1" thickBot="1" x14ac:dyDescent="0.3">
      <c r="A116" s="458" t="s">
        <v>82</v>
      </c>
      <c r="B116" s="459" t="s">
        <v>576</v>
      </c>
      <c r="D116" s="438"/>
      <c r="F116" s="437"/>
      <c r="Q116" s="232" t="s">
        <v>408</v>
      </c>
      <c r="R116" s="238" t="s">
        <v>408</v>
      </c>
      <c r="S116" s="244" t="s">
        <v>408</v>
      </c>
      <c r="T116" s="235" t="s">
        <v>845</v>
      </c>
      <c r="U116" s="236">
        <v>1</v>
      </c>
      <c r="V116" s="237" t="s">
        <v>408</v>
      </c>
      <c r="W116" s="238" t="s">
        <v>408</v>
      </c>
      <c r="X116" s="239" t="s">
        <v>408</v>
      </c>
      <c r="AA116" s="54" t="s">
        <v>1456</v>
      </c>
      <c r="AB116" s="54" t="s">
        <v>691</v>
      </c>
      <c r="AC116" s="54">
        <v>18</v>
      </c>
    </row>
    <row r="117" spans="1:29" ht="20.100000000000001" customHeight="1" x14ac:dyDescent="0.25">
      <c r="A117" s="467" t="s">
        <v>485</v>
      </c>
      <c r="B117" s="468" t="s">
        <v>577</v>
      </c>
      <c r="D117" s="438"/>
      <c r="F117" s="437"/>
      <c r="Q117" s="232"/>
      <c r="R117" s="238"/>
      <c r="S117" s="245"/>
      <c r="T117" s="235" t="s">
        <v>846</v>
      </c>
      <c r="U117" s="246"/>
      <c r="V117" s="237"/>
      <c r="W117" s="238"/>
      <c r="X117" s="239"/>
      <c r="AA117" s="54" t="s">
        <v>698</v>
      </c>
      <c r="AB117" s="54" t="s">
        <v>691</v>
      </c>
      <c r="AC117" s="54">
        <v>18</v>
      </c>
    </row>
    <row r="118" spans="1:29" ht="20.100000000000001" customHeight="1" thickBot="1" x14ac:dyDescent="0.3">
      <c r="A118" s="458" t="s">
        <v>486</v>
      </c>
      <c r="B118" s="459" t="s">
        <v>578</v>
      </c>
      <c r="D118" s="438"/>
      <c r="F118" s="437"/>
      <c r="Q118" s="247" t="s">
        <v>408</v>
      </c>
      <c r="R118" s="248" t="s">
        <v>408</v>
      </c>
      <c r="S118" s="249" t="s">
        <v>408</v>
      </c>
      <c r="T118" s="250"/>
      <c r="U118" s="251" t="s">
        <v>408</v>
      </c>
      <c r="V118" s="252" t="s">
        <v>408</v>
      </c>
      <c r="W118" s="248" t="s">
        <v>408</v>
      </c>
      <c r="X118" s="253" t="s">
        <v>408</v>
      </c>
      <c r="AA118" s="54" t="s">
        <v>1457</v>
      </c>
      <c r="AB118" s="54" t="s">
        <v>691</v>
      </c>
      <c r="AC118" s="54">
        <v>18</v>
      </c>
    </row>
    <row r="119" spans="1:29" ht="20.100000000000001" customHeight="1" x14ac:dyDescent="0.25">
      <c r="A119" s="447"/>
      <c r="B119" s="448"/>
      <c r="D119" s="438"/>
      <c r="F119" s="437"/>
      <c r="Q119" s="224" t="s">
        <v>866</v>
      </c>
      <c r="R119" s="225"/>
      <c r="S119" s="257" t="s">
        <v>867</v>
      </c>
      <c r="T119" s="227" t="s">
        <v>746</v>
      </c>
      <c r="U119" s="228" t="s">
        <v>408</v>
      </c>
      <c r="V119" s="229" t="s">
        <v>868</v>
      </c>
      <c r="W119" s="230">
        <v>12</v>
      </c>
      <c r="X119" s="231" t="s">
        <v>869</v>
      </c>
      <c r="AA119" s="54" t="s">
        <v>699</v>
      </c>
      <c r="AB119" s="54" t="s">
        <v>691</v>
      </c>
      <c r="AC119" s="54">
        <v>18</v>
      </c>
    </row>
    <row r="120" spans="1:29" ht="20.100000000000001" customHeight="1" thickBot="1" x14ac:dyDescent="0.3">
      <c r="A120" s="439" t="s">
        <v>579</v>
      </c>
      <c r="B120" s="448"/>
      <c r="D120" s="438"/>
      <c r="F120" s="437"/>
      <c r="Q120" s="232" t="s">
        <v>408</v>
      </c>
      <c r="R120" s="233" t="s">
        <v>611</v>
      </c>
      <c r="S120" s="258" t="s">
        <v>870</v>
      </c>
      <c r="T120" s="235" t="s">
        <v>750</v>
      </c>
      <c r="U120" s="236" t="s">
        <v>408</v>
      </c>
      <c r="V120" s="237" t="s">
        <v>408</v>
      </c>
      <c r="W120" s="238"/>
      <c r="X120" s="239" t="s">
        <v>871</v>
      </c>
      <c r="AA120" s="54" t="s">
        <v>1458</v>
      </c>
      <c r="AB120" s="54" t="s">
        <v>691</v>
      </c>
      <c r="AC120" s="54">
        <v>18</v>
      </c>
    </row>
    <row r="121" spans="1:29" ht="20.100000000000001" customHeight="1" thickBot="1" x14ac:dyDescent="0.3">
      <c r="A121" s="451" t="s">
        <v>482</v>
      </c>
      <c r="B121" s="455" t="s">
        <v>500</v>
      </c>
      <c r="D121" s="438"/>
      <c r="F121" s="437"/>
      <c r="Q121" s="232" t="s">
        <v>408</v>
      </c>
      <c r="R121" s="240" t="s">
        <v>608</v>
      </c>
      <c r="S121" s="234" t="s">
        <v>872</v>
      </c>
      <c r="T121" s="235" t="s">
        <v>754</v>
      </c>
      <c r="U121" s="236" t="s">
        <v>408</v>
      </c>
      <c r="V121" s="237" t="s">
        <v>873</v>
      </c>
      <c r="W121" s="238"/>
      <c r="X121" s="239" t="s">
        <v>874</v>
      </c>
      <c r="AA121" s="54" t="s">
        <v>700</v>
      </c>
      <c r="AB121" s="54" t="s">
        <v>691</v>
      </c>
      <c r="AC121" s="54">
        <v>18</v>
      </c>
    </row>
    <row r="122" spans="1:29" ht="20.100000000000001" customHeight="1" thickBot="1" x14ac:dyDescent="0.3">
      <c r="A122" s="453" t="s">
        <v>82</v>
      </c>
      <c r="B122" s="454" t="s">
        <v>580</v>
      </c>
      <c r="D122" s="438"/>
      <c r="F122" s="437"/>
      <c r="Q122" s="232" t="s">
        <v>408</v>
      </c>
      <c r="R122" s="240" t="s">
        <v>606</v>
      </c>
      <c r="S122" s="234" t="s">
        <v>875</v>
      </c>
      <c r="T122" s="235" t="s">
        <v>758</v>
      </c>
      <c r="U122" s="236">
        <v>3</v>
      </c>
      <c r="V122" s="237" t="s">
        <v>817</v>
      </c>
      <c r="W122" s="238"/>
      <c r="X122" s="239" t="s">
        <v>876</v>
      </c>
      <c r="AA122" s="54" t="s">
        <v>1459</v>
      </c>
      <c r="AB122" s="54" t="s">
        <v>691</v>
      </c>
      <c r="AC122" s="54">
        <v>18</v>
      </c>
    </row>
    <row r="123" spans="1:29" ht="20.100000000000001" customHeight="1" thickBot="1" x14ac:dyDescent="0.3">
      <c r="A123" s="453" t="s">
        <v>485</v>
      </c>
      <c r="B123" s="454" t="s">
        <v>581</v>
      </c>
      <c r="D123" s="438"/>
      <c r="F123" s="437"/>
      <c r="Q123" s="232" t="s">
        <v>408</v>
      </c>
      <c r="R123" s="240" t="s">
        <v>609</v>
      </c>
      <c r="S123" s="234" t="s">
        <v>877</v>
      </c>
      <c r="T123" s="235" t="s">
        <v>762</v>
      </c>
      <c r="U123" s="236">
        <v>3</v>
      </c>
      <c r="V123" s="237" t="s">
        <v>408</v>
      </c>
      <c r="W123" s="238"/>
      <c r="X123" s="239" t="s">
        <v>776</v>
      </c>
      <c r="AA123" s="54" t="s">
        <v>701</v>
      </c>
      <c r="AB123" s="54" t="s">
        <v>702</v>
      </c>
      <c r="AC123" s="54">
        <v>18</v>
      </c>
    </row>
    <row r="124" spans="1:29" ht="20.100000000000001" customHeight="1" thickBot="1" x14ac:dyDescent="0.3">
      <c r="A124" s="453" t="s">
        <v>486</v>
      </c>
      <c r="B124" s="454" t="s">
        <v>582</v>
      </c>
      <c r="D124" s="438"/>
      <c r="F124" s="437"/>
      <c r="Q124" s="232" t="s">
        <v>408</v>
      </c>
      <c r="R124" s="240" t="s">
        <v>610</v>
      </c>
      <c r="S124" s="234" t="s">
        <v>878</v>
      </c>
      <c r="T124" s="235" t="s">
        <v>766</v>
      </c>
      <c r="U124" s="236">
        <v>3</v>
      </c>
      <c r="V124" s="237" t="s">
        <v>879</v>
      </c>
      <c r="W124" s="238"/>
      <c r="X124" s="239" t="s">
        <v>779</v>
      </c>
      <c r="AA124" s="54" t="s">
        <v>1460</v>
      </c>
      <c r="AB124" s="54" t="s">
        <v>702</v>
      </c>
      <c r="AC124" s="54">
        <v>18</v>
      </c>
    </row>
    <row r="125" spans="1:29" ht="20.100000000000001" customHeight="1" x14ac:dyDescent="0.25">
      <c r="A125" s="447"/>
      <c r="B125" s="448"/>
      <c r="D125" s="438"/>
      <c r="F125" s="437"/>
      <c r="Q125" s="241" t="s">
        <v>408</v>
      </c>
      <c r="R125" s="259" t="s">
        <v>612</v>
      </c>
      <c r="S125" s="260" t="s">
        <v>880</v>
      </c>
      <c r="T125" s="243" t="s">
        <v>770</v>
      </c>
      <c r="U125" s="236">
        <v>1</v>
      </c>
      <c r="V125" s="237" t="s">
        <v>881</v>
      </c>
      <c r="W125" s="238"/>
      <c r="X125" s="239" t="s">
        <v>760</v>
      </c>
      <c r="AA125" s="54" t="s">
        <v>703</v>
      </c>
      <c r="AB125" s="54" t="s">
        <v>702</v>
      </c>
      <c r="AC125" s="54">
        <v>18</v>
      </c>
    </row>
    <row r="126" spans="1:29" ht="20.100000000000001" customHeight="1" thickBot="1" x14ac:dyDescent="0.3">
      <c r="A126" s="439" t="s">
        <v>583</v>
      </c>
      <c r="B126" s="448"/>
      <c r="D126" s="438"/>
      <c r="F126" s="437"/>
      <c r="Q126" s="232" t="s">
        <v>408</v>
      </c>
      <c r="R126" s="238"/>
      <c r="S126" s="244"/>
      <c r="T126" s="235" t="s">
        <v>784</v>
      </c>
      <c r="U126" s="236">
        <v>1</v>
      </c>
      <c r="V126" s="237" t="s">
        <v>882</v>
      </c>
      <c r="W126" s="238"/>
      <c r="X126" s="239" t="s">
        <v>764</v>
      </c>
      <c r="AA126" s="54" t="s">
        <v>1461</v>
      </c>
      <c r="AB126" s="54" t="s">
        <v>702</v>
      </c>
      <c r="AC126" s="54">
        <v>18</v>
      </c>
    </row>
    <row r="127" spans="1:29" ht="20.100000000000001" customHeight="1" thickBot="1" x14ac:dyDescent="0.3">
      <c r="A127" s="456" t="s">
        <v>535</v>
      </c>
      <c r="B127" s="457" t="s">
        <v>584</v>
      </c>
      <c r="D127" s="438"/>
      <c r="F127" s="437"/>
      <c r="Q127" s="232" t="s">
        <v>408</v>
      </c>
      <c r="R127" s="238"/>
      <c r="S127" s="244"/>
      <c r="T127" s="235" t="s">
        <v>787</v>
      </c>
      <c r="U127" s="236">
        <v>1</v>
      </c>
      <c r="V127" s="237" t="s">
        <v>408</v>
      </c>
      <c r="W127" s="238"/>
      <c r="X127" s="239" t="s">
        <v>883</v>
      </c>
      <c r="AA127" s="54" t="s">
        <v>704</v>
      </c>
      <c r="AB127" s="54" t="s">
        <v>702</v>
      </c>
      <c r="AC127" s="54">
        <v>18</v>
      </c>
    </row>
    <row r="128" spans="1:29" ht="20.100000000000001" customHeight="1" thickBot="1" x14ac:dyDescent="0.3">
      <c r="A128" s="458" t="s">
        <v>82</v>
      </c>
      <c r="B128" s="462" t="s">
        <v>585</v>
      </c>
      <c r="D128" s="438"/>
      <c r="F128" s="437"/>
      <c r="Q128" s="232" t="s">
        <v>408</v>
      </c>
      <c r="R128" s="238"/>
      <c r="S128" s="244"/>
      <c r="T128" s="235" t="s">
        <v>793</v>
      </c>
      <c r="U128" s="236">
        <v>3</v>
      </c>
      <c r="V128" s="237" t="s">
        <v>884</v>
      </c>
      <c r="W128" s="238"/>
      <c r="X128" s="239" t="s">
        <v>885</v>
      </c>
      <c r="AA128" s="54" t="s">
        <v>1462</v>
      </c>
      <c r="AB128" s="54" t="s">
        <v>702</v>
      </c>
      <c r="AC128" s="54">
        <v>18</v>
      </c>
    </row>
    <row r="129" spans="1:29" ht="20.100000000000001" customHeight="1" thickBot="1" x14ac:dyDescent="0.3">
      <c r="A129" s="458" t="s">
        <v>537</v>
      </c>
      <c r="B129" s="462" t="s">
        <v>583</v>
      </c>
      <c r="D129" s="438"/>
      <c r="F129" s="437"/>
      <c r="Q129" s="232" t="s">
        <v>408</v>
      </c>
      <c r="R129" s="238"/>
      <c r="S129" s="244"/>
      <c r="T129" s="235" t="s">
        <v>854</v>
      </c>
      <c r="U129" s="236">
        <v>1</v>
      </c>
      <c r="V129" s="237" t="s">
        <v>886</v>
      </c>
      <c r="W129" s="238"/>
      <c r="X129" s="239" t="s">
        <v>887</v>
      </c>
      <c r="AA129" s="54" t="s">
        <v>705</v>
      </c>
      <c r="AB129" s="54" t="s">
        <v>702</v>
      </c>
      <c r="AC129" s="54">
        <v>18</v>
      </c>
    </row>
    <row r="130" spans="1:29" ht="20.100000000000001" customHeight="1" thickBot="1" x14ac:dyDescent="0.3">
      <c r="A130" s="458" t="s">
        <v>412</v>
      </c>
      <c r="B130" s="462" t="s">
        <v>539</v>
      </c>
      <c r="D130" s="438"/>
      <c r="F130" s="437"/>
      <c r="Q130" s="232" t="s">
        <v>408</v>
      </c>
      <c r="R130" s="238" t="s">
        <v>408</v>
      </c>
      <c r="S130" s="244" t="s">
        <v>408</v>
      </c>
      <c r="T130" s="235" t="s">
        <v>856</v>
      </c>
      <c r="U130" s="236" t="s">
        <v>408</v>
      </c>
      <c r="V130" s="237" t="s">
        <v>888</v>
      </c>
      <c r="W130" s="238" t="s">
        <v>408</v>
      </c>
      <c r="X130" s="239" t="s">
        <v>889</v>
      </c>
      <c r="AA130" s="54" t="s">
        <v>1463</v>
      </c>
      <c r="AB130" s="54" t="s">
        <v>702</v>
      </c>
      <c r="AC130" s="54">
        <v>18</v>
      </c>
    </row>
    <row r="131" spans="1:29" ht="20.100000000000001" customHeight="1" x14ac:dyDescent="0.25">
      <c r="A131" s="436"/>
      <c r="B131" s="437"/>
      <c r="D131" s="437"/>
      <c r="F131" s="437"/>
      <c r="Q131" s="232" t="s">
        <v>408</v>
      </c>
      <c r="R131" s="238" t="s">
        <v>408</v>
      </c>
      <c r="S131" s="244"/>
      <c r="T131" s="235" t="s">
        <v>805</v>
      </c>
      <c r="U131" s="236">
        <v>2</v>
      </c>
      <c r="V131" s="237" t="s">
        <v>890</v>
      </c>
      <c r="W131" s="238" t="s">
        <v>408</v>
      </c>
      <c r="X131" s="239" t="s">
        <v>891</v>
      </c>
      <c r="AA131" s="54" t="s">
        <v>706</v>
      </c>
      <c r="AB131" s="54" t="s">
        <v>702</v>
      </c>
      <c r="AC131" s="54">
        <v>18</v>
      </c>
    </row>
    <row r="132" spans="1:29" ht="20.100000000000001" customHeight="1" x14ac:dyDescent="0.25">
      <c r="A132" s="436"/>
      <c r="B132" s="437"/>
      <c r="D132" s="437"/>
      <c r="F132" s="437"/>
      <c r="Q132" s="232" t="s">
        <v>408</v>
      </c>
      <c r="R132" s="238" t="s">
        <v>408</v>
      </c>
      <c r="S132" s="244" t="s">
        <v>408</v>
      </c>
      <c r="T132" s="235" t="s">
        <v>807</v>
      </c>
      <c r="U132" s="236" t="s">
        <v>408</v>
      </c>
      <c r="V132" s="237"/>
      <c r="W132" s="238" t="s">
        <v>408</v>
      </c>
      <c r="X132" s="239" t="s">
        <v>408</v>
      </c>
      <c r="AA132" s="54" t="s">
        <v>1464</v>
      </c>
      <c r="AB132" s="54" t="s">
        <v>702</v>
      </c>
      <c r="AC132" s="54">
        <v>18</v>
      </c>
    </row>
    <row r="133" spans="1:29" ht="20.100000000000001" customHeight="1" x14ac:dyDescent="0.25">
      <c r="A133" s="436"/>
      <c r="B133" s="437"/>
      <c r="D133" s="437"/>
      <c r="F133" s="437"/>
      <c r="Q133" s="232" t="s">
        <v>408</v>
      </c>
      <c r="R133" s="238" t="s">
        <v>408</v>
      </c>
      <c r="S133" s="244" t="s">
        <v>408</v>
      </c>
      <c r="T133" s="235" t="s">
        <v>809</v>
      </c>
      <c r="U133" s="236" t="s">
        <v>408</v>
      </c>
      <c r="V133" s="237"/>
      <c r="W133" s="238" t="s">
        <v>408</v>
      </c>
      <c r="X133" s="239" t="s">
        <v>408</v>
      </c>
      <c r="AA133" s="54" t="s">
        <v>707</v>
      </c>
      <c r="AB133" s="54" t="s">
        <v>702</v>
      </c>
      <c r="AC133" s="54">
        <v>18</v>
      </c>
    </row>
    <row r="134" spans="1:29" ht="20.100000000000001" customHeight="1" x14ac:dyDescent="0.25">
      <c r="A134" s="436"/>
      <c r="B134" s="437"/>
      <c r="D134" s="437"/>
      <c r="F134" s="437"/>
      <c r="Q134" s="232" t="s">
        <v>408</v>
      </c>
      <c r="R134" s="238" t="s">
        <v>408</v>
      </c>
      <c r="S134" s="244" t="s">
        <v>408</v>
      </c>
      <c r="T134" s="235" t="s">
        <v>811</v>
      </c>
      <c r="U134" s="236" t="s">
        <v>408</v>
      </c>
      <c r="V134" s="237" t="s">
        <v>785</v>
      </c>
      <c r="W134" s="238" t="s">
        <v>408</v>
      </c>
      <c r="X134" s="239" t="s">
        <v>408</v>
      </c>
      <c r="AA134" s="54" t="s">
        <v>708</v>
      </c>
      <c r="AB134" s="54" t="s">
        <v>702</v>
      </c>
      <c r="AC134" s="54">
        <v>18</v>
      </c>
    </row>
    <row r="135" spans="1:29" ht="20.100000000000001" customHeight="1" x14ac:dyDescent="0.25">
      <c r="A135" s="436"/>
      <c r="B135" s="437"/>
      <c r="D135" s="437"/>
      <c r="F135" s="437"/>
      <c r="Q135" s="232" t="s">
        <v>408</v>
      </c>
      <c r="R135" s="238" t="s">
        <v>408</v>
      </c>
      <c r="S135" s="244" t="s">
        <v>408</v>
      </c>
      <c r="T135" s="235" t="s">
        <v>812</v>
      </c>
      <c r="U135" s="236" t="s">
        <v>408</v>
      </c>
      <c r="V135" s="237" t="s">
        <v>788</v>
      </c>
      <c r="W135" s="238" t="s">
        <v>408</v>
      </c>
      <c r="X135" s="239" t="s">
        <v>408</v>
      </c>
      <c r="AA135" s="54" t="s">
        <v>709</v>
      </c>
      <c r="AB135" s="54" t="s">
        <v>702</v>
      </c>
      <c r="AC135" s="54">
        <v>18</v>
      </c>
    </row>
    <row r="136" spans="1:29" ht="20.100000000000001" customHeight="1" x14ac:dyDescent="0.25">
      <c r="A136" s="436"/>
      <c r="B136" s="437"/>
      <c r="D136" s="437"/>
      <c r="F136" s="437"/>
      <c r="Q136" s="232" t="s">
        <v>408</v>
      </c>
      <c r="R136" s="238" t="s">
        <v>408</v>
      </c>
      <c r="S136" s="244" t="s">
        <v>408</v>
      </c>
      <c r="T136" s="235" t="s">
        <v>892</v>
      </c>
      <c r="U136" s="236">
        <v>1</v>
      </c>
      <c r="V136" s="237" t="s">
        <v>791</v>
      </c>
      <c r="W136" s="238" t="s">
        <v>408</v>
      </c>
      <c r="X136" s="239" t="s">
        <v>408</v>
      </c>
      <c r="AA136" s="54" t="s">
        <v>710</v>
      </c>
      <c r="AB136" s="54" t="s">
        <v>702</v>
      </c>
      <c r="AC136" s="54">
        <v>18</v>
      </c>
    </row>
    <row r="137" spans="1:29" ht="20.100000000000001" customHeight="1" x14ac:dyDescent="0.25">
      <c r="A137" s="436"/>
      <c r="B137" s="437"/>
      <c r="D137" s="437"/>
      <c r="F137" s="437"/>
      <c r="Q137" s="232" t="s">
        <v>408</v>
      </c>
      <c r="R137" s="238"/>
      <c r="S137" s="244"/>
      <c r="T137" s="235" t="s">
        <v>893</v>
      </c>
      <c r="U137" s="236" t="s">
        <v>408</v>
      </c>
      <c r="V137" s="237" t="s">
        <v>794</v>
      </c>
      <c r="W137" s="238" t="s">
        <v>408</v>
      </c>
      <c r="X137" s="239" t="s">
        <v>408</v>
      </c>
      <c r="AA137" s="54" t="s">
        <v>1465</v>
      </c>
      <c r="AB137" s="54" t="s">
        <v>702</v>
      </c>
      <c r="AC137" s="54">
        <v>18</v>
      </c>
    </row>
    <row r="138" spans="1:29" ht="20.100000000000001" customHeight="1" x14ac:dyDescent="0.25">
      <c r="A138" s="436"/>
      <c r="B138" s="437"/>
      <c r="D138" s="437"/>
      <c r="F138" s="437"/>
      <c r="Q138" s="232" t="s">
        <v>408</v>
      </c>
      <c r="R138" s="238"/>
      <c r="S138" s="244"/>
      <c r="T138" s="235" t="s">
        <v>778</v>
      </c>
      <c r="U138" s="236">
        <v>1</v>
      </c>
      <c r="V138" s="237" t="s">
        <v>853</v>
      </c>
      <c r="W138" s="238" t="s">
        <v>408</v>
      </c>
      <c r="X138" s="239" t="s">
        <v>408</v>
      </c>
      <c r="AA138" s="54" t="s">
        <v>711</v>
      </c>
      <c r="AB138" s="54" t="s">
        <v>712</v>
      </c>
      <c r="AC138" s="54">
        <v>7</v>
      </c>
    </row>
    <row r="139" spans="1:29" ht="20.100000000000001" customHeight="1" x14ac:dyDescent="0.25">
      <c r="A139" s="436"/>
      <c r="B139" s="437"/>
      <c r="D139" s="437"/>
      <c r="F139" s="437"/>
      <c r="Q139" s="232" t="s">
        <v>408</v>
      </c>
      <c r="R139" s="238"/>
      <c r="S139" s="244"/>
      <c r="T139" s="235" t="s">
        <v>774</v>
      </c>
      <c r="U139" s="236">
        <v>1</v>
      </c>
      <c r="V139" s="237" t="s">
        <v>408</v>
      </c>
      <c r="W139" s="238" t="s">
        <v>408</v>
      </c>
      <c r="X139" s="239" t="s">
        <v>408</v>
      </c>
      <c r="AA139" s="54" t="s">
        <v>713</v>
      </c>
      <c r="AB139" s="54" t="s">
        <v>712</v>
      </c>
      <c r="AC139" s="54">
        <v>7</v>
      </c>
    </row>
    <row r="140" spans="1:29" ht="20.100000000000001" customHeight="1" x14ac:dyDescent="0.25">
      <c r="A140" s="436"/>
      <c r="B140" s="437"/>
      <c r="D140" s="437"/>
      <c r="F140" s="437"/>
      <c r="Q140" s="232" t="s">
        <v>408</v>
      </c>
      <c r="R140" s="238"/>
      <c r="S140" s="244"/>
      <c r="T140" s="235" t="s">
        <v>894</v>
      </c>
      <c r="U140" s="236">
        <v>1</v>
      </c>
      <c r="V140" s="237" t="s">
        <v>747</v>
      </c>
      <c r="W140" s="238" t="s">
        <v>408</v>
      </c>
      <c r="X140" s="239" t="s">
        <v>408</v>
      </c>
      <c r="AA140" s="54" t="s">
        <v>714</v>
      </c>
      <c r="AB140" s="54" t="s">
        <v>712</v>
      </c>
      <c r="AC140" s="54">
        <v>7</v>
      </c>
    </row>
    <row r="141" spans="1:29" ht="20.100000000000001" customHeight="1" x14ac:dyDescent="0.25">
      <c r="A141" s="436"/>
      <c r="B141" s="437"/>
      <c r="D141" s="437"/>
      <c r="F141" s="437"/>
      <c r="Q141" s="232" t="s">
        <v>408</v>
      </c>
      <c r="R141" s="238" t="s">
        <v>408</v>
      </c>
      <c r="S141" s="244"/>
      <c r="T141" s="235" t="s">
        <v>895</v>
      </c>
      <c r="U141" s="236">
        <v>2</v>
      </c>
      <c r="V141" s="237" t="s">
        <v>751</v>
      </c>
      <c r="W141" s="238" t="s">
        <v>408</v>
      </c>
      <c r="X141" s="239" t="s">
        <v>408</v>
      </c>
      <c r="AA141" s="54" t="s">
        <v>715</v>
      </c>
      <c r="AB141" s="54" t="s">
        <v>716</v>
      </c>
      <c r="AC141" s="54">
        <v>5</v>
      </c>
    </row>
    <row r="142" spans="1:29" ht="20.100000000000001" customHeight="1" x14ac:dyDescent="0.25">
      <c r="A142" s="436"/>
      <c r="B142" s="437"/>
      <c r="D142" s="437"/>
      <c r="F142" s="437"/>
      <c r="Q142" s="232" t="s">
        <v>408</v>
      </c>
      <c r="R142" s="238" t="s">
        <v>408</v>
      </c>
      <c r="S142" s="244"/>
      <c r="T142" s="235" t="s">
        <v>781</v>
      </c>
      <c r="U142" s="236">
        <v>2</v>
      </c>
      <c r="V142" s="237" t="s">
        <v>896</v>
      </c>
      <c r="W142" s="238" t="s">
        <v>408</v>
      </c>
      <c r="X142" s="239" t="s">
        <v>408</v>
      </c>
      <c r="AA142" s="54" t="s">
        <v>717</v>
      </c>
      <c r="AB142" s="54" t="s">
        <v>716</v>
      </c>
      <c r="AC142" s="54">
        <v>5</v>
      </c>
    </row>
    <row r="143" spans="1:29" ht="20.100000000000001" customHeight="1" x14ac:dyDescent="0.25">
      <c r="A143" s="436"/>
      <c r="B143" s="437"/>
      <c r="D143" s="437"/>
      <c r="F143" s="437"/>
      <c r="Q143" s="232" t="s">
        <v>408</v>
      </c>
      <c r="R143" s="238"/>
      <c r="S143" s="244"/>
      <c r="T143" s="235" t="s">
        <v>818</v>
      </c>
      <c r="U143" s="236">
        <v>1</v>
      </c>
      <c r="V143" s="237" t="s">
        <v>771</v>
      </c>
      <c r="W143" s="238" t="s">
        <v>408</v>
      </c>
      <c r="X143" s="239" t="s">
        <v>408</v>
      </c>
      <c r="AA143" s="54" t="s">
        <v>621</v>
      </c>
      <c r="AB143" s="54" t="s">
        <v>716</v>
      </c>
      <c r="AC143" s="54">
        <v>5</v>
      </c>
    </row>
    <row r="144" spans="1:29" ht="20.100000000000001" customHeight="1" x14ac:dyDescent="0.25">
      <c r="A144" s="436"/>
      <c r="B144" s="437"/>
      <c r="D144" s="437"/>
      <c r="F144" s="437"/>
      <c r="Q144" s="232" t="s">
        <v>408</v>
      </c>
      <c r="R144" s="238" t="s">
        <v>408</v>
      </c>
      <c r="S144" s="244"/>
      <c r="T144" s="235" t="s">
        <v>897</v>
      </c>
      <c r="U144" s="236" t="s">
        <v>408</v>
      </c>
      <c r="V144" s="237" t="s">
        <v>767</v>
      </c>
      <c r="W144" s="238" t="s">
        <v>408</v>
      </c>
      <c r="X144" s="239" t="s">
        <v>408</v>
      </c>
      <c r="AA144" s="54" t="s">
        <v>718</v>
      </c>
      <c r="AB144" s="54" t="s">
        <v>716</v>
      </c>
      <c r="AC144" s="54">
        <v>5</v>
      </c>
    </row>
    <row r="145" spans="1:29" ht="20.100000000000001" customHeight="1" x14ac:dyDescent="0.25">
      <c r="A145" s="436"/>
      <c r="B145" s="437"/>
      <c r="D145" s="437"/>
      <c r="F145" s="437"/>
      <c r="Q145" s="232" t="s">
        <v>408</v>
      </c>
      <c r="R145" s="238" t="s">
        <v>408</v>
      </c>
      <c r="S145" s="244"/>
      <c r="T145" s="235" t="s">
        <v>796</v>
      </c>
      <c r="U145" s="236">
        <v>1</v>
      </c>
      <c r="V145" s="237" t="s">
        <v>763</v>
      </c>
      <c r="W145" s="238" t="s">
        <v>408</v>
      </c>
      <c r="X145" s="239" t="s">
        <v>408</v>
      </c>
      <c r="AA145" s="54" t="s">
        <v>1735</v>
      </c>
      <c r="AB145" s="54" t="s">
        <v>103</v>
      </c>
      <c r="AC145" s="54">
        <v>15</v>
      </c>
    </row>
    <row r="146" spans="1:29" ht="20.100000000000001" customHeight="1" x14ac:dyDescent="0.25">
      <c r="A146" s="436"/>
      <c r="B146" s="437"/>
      <c r="D146" s="437"/>
      <c r="F146" s="437"/>
      <c r="Q146" s="232" t="s">
        <v>408</v>
      </c>
      <c r="R146" s="238"/>
      <c r="S146" s="244"/>
      <c r="T146" s="235" t="s">
        <v>816</v>
      </c>
      <c r="U146" s="236">
        <v>1</v>
      </c>
      <c r="V146" s="237" t="s">
        <v>898</v>
      </c>
      <c r="W146" s="238" t="s">
        <v>408</v>
      </c>
      <c r="X146" s="239" t="s">
        <v>408</v>
      </c>
      <c r="AA146" s="54" t="s">
        <v>1736</v>
      </c>
      <c r="AB146" s="54" t="s">
        <v>103</v>
      </c>
      <c r="AC146" s="54">
        <v>15</v>
      </c>
    </row>
    <row r="147" spans="1:29" ht="20.100000000000001" customHeight="1" x14ac:dyDescent="0.25">
      <c r="A147" s="436"/>
      <c r="B147" s="437"/>
      <c r="D147" s="437"/>
      <c r="F147" s="437"/>
      <c r="Q147" s="232"/>
      <c r="R147" s="238"/>
      <c r="S147" s="244"/>
      <c r="T147" s="235"/>
      <c r="U147" s="236"/>
      <c r="V147" s="237"/>
      <c r="W147" s="238"/>
      <c r="X147" s="239"/>
      <c r="AA147" s="54" t="s">
        <v>1737</v>
      </c>
      <c r="AB147" s="54" t="s">
        <v>103</v>
      </c>
      <c r="AC147" s="54">
        <v>15</v>
      </c>
    </row>
    <row r="148" spans="1:29" ht="20.100000000000001" customHeight="1" x14ac:dyDescent="0.25">
      <c r="A148" s="436"/>
      <c r="B148" s="437"/>
      <c r="D148" s="437"/>
      <c r="F148" s="437"/>
      <c r="Q148" s="232" t="s">
        <v>408</v>
      </c>
      <c r="R148" s="238" t="s">
        <v>408</v>
      </c>
      <c r="S148" s="244" t="s">
        <v>408</v>
      </c>
      <c r="T148" s="235" t="s">
        <v>834</v>
      </c>
      <c r="U148" s="236" t="s">
        <v>408</v>
      </c>
      <c r="V148" s="237" t="s">
        <v>408</v>
      </c>
      <c r="W148" s="238" t="s">
        <v>408</v>
      </c>
      <c r="X148" s="239" t="s">
        <v>408</v>
      </c>
      <c r="AA148" s="54" t="s">
        <v>1738</v>
      </c>
      <c r="AB148" s="54" t="s">
        <v>103</v>
      </c>
      <c r="AC148" s="54">
        <v>15</v>
      </c>
    </row>
    <row r="149" spans="1:29" ht="20.100000000000001" customHeight="1" x14ac:dyDescent="0.25">
      <c r="A149" s="436"/>
      <c r="B149" s="437"/>
      <c r="D149" s="437"/>
      <c r="F149" s="437"/>
      <c r="Q149" s="232" t="s">
        <v>408</v>
      </c>
      <c r="R149" s="238" t="s">
        <v>408</v>
      </c>
      <c r="S149" s="244" t="s">
        <v>408</v>
      </c>
      <c r="T149" s="235" t="s">
        <v>790</v>
      </c>
      <c r="U149" s="236">
        <v>1</v>
      </c>
      <c r="V149" s="237" t="s">
        <v>408</v>
      </c>
      <c r="W149" s="238" t="s">
        <v>408</v>
      </c>
      <c r="X149" s="239" t="s">
        <v>408</v>
      </c>
      <c r="AA149" s="54" t="s">
        <v>1739</v>
      </c>
      <c r="AB149" s="54" t="s">
        <v>103</v>
      </c>
      <c r="AC149" s="54">
        <v>15</v>
      </c>
    </row>
    <row r="150" spans="1:29" ht="20.100000000000001" customHeight="1" x14ac:dyDescent="0.25">
      <c r="A150" s="436"/>
      <c r="B150" s="437"/>
      <c r="D150" s="437"/>
      <c r="F150" s="437"/>
      <c r="Q150" s="232" t="s">
        <v>408</v>
      </c>
      <c r="R150" s="238" t="s">
        <v>408</v>
      </c>
      <c r="S150" s="244" t="s">
        <v>408</v>
      </c>
      <c r="T150" s="235" t="s">
        <v>899</v>
      </c>
      <c r="U150" s="236">
        <v>1</v>
      </c>
      <c r="V150" s="237" t="s">
        <v>408</v>
      </c>
      <c r="W150" s="238" t="s">
        <v>408</v>
      </c>
      <c r="X150" s="239" t="s">
        <v>408</v>
      </c>
      <c r="AA150" s="54" t="s">
        <v>1740</v>
      </c>
      <c r="AB150" s="54" t="s">
        <v>103</v>
      </c>
      <c r="AC150" s="54">
        <v>15</v>
      </c>
    </row>
    <row r="151" spans="1:29" ht="20.100000000000001" customHeight="1" x14ac:dyDescent="0.25">
      <c r="A151" s="436"/>
      <c r="B151" s="437"/>
      <c r="D151" s="437"/>
      <c r="F151" s="437"/>
      <c r="Q151" s="232" t="s">
        <v>408</v>
      </c>
      <c r="R151" s="238" t="s">
        <v>408</v>
      </c>
      <c r="S151" s="244" t="s">
        <v>408</v>
      </c>
      <c r="T151" s="235" t="s">
        <v>900</v>
      </c>
      <c r="U151" s="236">
        <v>1</v>
      </c>
      <c r="V151" s="237" t="s">
        <v>408</v>
      </c>
      <c r="W151" s="238" t="s">
        <v>408</v>
      </c>
      <c r="X151" s="239" t="s">
        <v>408</v>
      </c>
      <c r="AA151" s="54" t="s">
        <v>1741</v>
      </c>
      <c r="AB151" s="54" t="s">
        <v>103</v>
      </c>
      <c r="AC151" s="54">
        <v>15</v>
      </c>
    </row>
    <row r="152" spans="1:29" ht="20.100000000000001" customHeight="1" x14ac:dyDescent="0.25">
      <c r="A152" s="436"/>
      <c r="B152" s="437"/>
      <c r="D152" s="437"/>
      <c r="F152" s="437"/>
      <c r="Q152" s="232" t="s">
        <v>408</v>
      </c>
      <c r="R152" s="238" t="s">
        <v>408</v>
      </c>
      <c r="S152" s="244" t="s">
        <v>408</v>
      </c>
      <c r="T152" s="235" t="s">
        <v>901</v>
      </c>
      <c r="U152" s="236">
        <v>1</v>
      </c>
      <c r="V152" s="237" t="s">
        <v>408</v>
      </c>
      <c r="W152" s="238" t="s">
        <v>408</v>
      </c>
      <c r="X152" s="239" t="s">
        <v>408</v>
      </c>
      <c r="AA152" s="54" t="s">
        <v>1742</v>
      </c>
      <c r="AB152" s="54" t="s">
        <v>103</v>
      </c>
      <c r="AC152" s="54">
        <v>15</v>
      </c>
    </row>
    <row r="153" spans="1:29" ht="20.100000000000001" customHeight="1" x14ac:dyDescent="0.25">
      <c r="A153" s="436"/>
      <c r="B153" s="437"/>
      <c r="D153" s="437"/>
      <c r="F153" s="437"/>
      <c r="Q153" s="232" t="s">
        <v>408</v>
      </c>
      <c r="R153" s="238" t="s">
        <v>408</v>
      </c>
      <c r="S153" s="244" t="s">
        <v>408</v>
      </c>
      <c r="T153" s="235" t="s">
        <v>902</v>
      </c>
      <c r="U153" s="236" t="s">
        <v>408</v>
      </c>
      <c r="V153" s="237" t="s">
        <v>408</v>
      </c>
      <c r="W153" s="238" t="s">
        <v>408</v>
      </c>
      <c r="X153" s="239" t="s">
        <v>408</v>
      </c>
      <c r="AA153" s="54" t="s">
        <v>1743</v>
      </c>
      <c r="AB153" s="54" t="s">
        <v>103</v>
      </c>
      <c r="AC153" s="54">
        <v>15</v>
      </c>
    </row>
    <row r="154" spans="1:29" ht="20.100000000000001" customHeight="1" x14ac:dyDescent="0.25">
      <c r="A154" s="436"/>
      <c r="B154" s="437"/>
      <c r="D154" s="437"/>
      <c r="F154" s="437"/>
      <c r="Q154" s="232" t="s">
        <v>408</v>
      </c>
      <c r="R154" s="238" t="s">
        <v>408</v>
      </c>
      <c r="S154" s="244" t="s">
        <v>408</v>
      </c>
      <c r="T154" s="235" t="s">
        <v>408</v>
      </c>
      <c r="U154" s="236" t="s">
        <v>408</v>
      </c>
      <c r="V154" s="237" t="s">
        <v>408</v>
      </c>
      <c r="W154" s="238" t="s">
        <v>408</v>
      </c>
      <c r="X154" s="239" t="s">
        <v>408</v>
      </c>
      <c r="AA154" s="54" t="s">
        <v>1744</v>
      </c>
      <c r="AB154" s="54" t="s">
        <v>103</v>
      </c>
      <c r="AC154" s="54">
        <v>15</v>
      </c>
    </row>
    <row r="155" spans="1:29" ht="20.100000000000001" customHeight="1" x14ac:dyDescent="0.25">
      <c r="A155" s="436"/>
      <c r="B155" s="437"/>
      <c r="D155" s="437"/>
      <c r="F155" s="437"/>
      <c r="Q155" s="232" t="s">
        <v>408</v>
      </c>
      <c r="R155" s="238" t="s">
        <v>408</v>
      </c>
      <c r="S155" s="244" t="s">
        <v>408</v>
      </c>
      <c r="T155" s="235" t="s">
        <v>825</v>
      </c>
      <c r="U155" s="236" t="s">
        <v>408</v>
      </c>
      <c r="V155" s="237" t="s">
        <v>408</v>
      </c>
      <c r="W155" s="238" t="s">
        <v>408</v>
      </c>
      <c r="X155" s="239" t="s">
        <v>408</v>
      </c>
      <c r="AA155" s="54" t="s">
        <v>1745</v>
      </c>
      <c r="AB155" s="54" t="s">
        <v>103</v>
      </c>
      <c r="AC155" s="54">
        <v>15</v>
      </c>
    </row>
    <row r="156" spans="1:29" ht="20.100000000000001" customHeight="1" x14ac:dyDescent="0.25">
      <c r="A156" s="436"/>
      <c r="B156" s="437"/>
      <c r="D156" s="437"/>
      <c r="F156" s="437"/>
      <c r="Q156" s="232" t="s">
        <v>408</v>
      </c>
      <c r="R156" s="238" t="s">
        <v>408</v>
      </c>
      <c r="S156" s="244" t="s">
        <v>408</v>
      </c>
      <c r="T156" s="235" t="s">
        <v>750</v>
      </c>
      <c r="U156" s="236" t="s">
        <v>408</v>
      </c>
      <c r="V156" s="237" t="s">
        <v>408</v>
      </c>
      <c r="W156" s="238" t="s">
        <v>408</v>
      </c>
      <c r="X156" s="239" t="s">
        <v>408</v>
      </c>
      <c r="AA156" s="54" t="s">
        <v>1746</v>
      </c>
      <c r="AB156" s="54" t="s">
        <v>103</v>
      </c>
      <c r="AC156" s="54">
        <v>15</v>
      </c>
    </row>
    <row r="157" spans="1:29" ht="20.100000000000001" customHeight="1" x14ac:dyDescent="0.25">
      <c r="A157" s="436"/>
      <c r="B157" s="437"/>
      <c r="D157" s="437"/>
      <c r="F157" s="437"/>
      <c r="Q157" s="232" t="s">
        <v>408</v>
      </c>
      <c r="R157" s="238" t="s">
        <v>408</v>
      </c>
      <c r="S157" s="244" t="s">
        <v>408</v>
      </c>
      <c r="T157" s="235" t="s">
        <v>754</v>
      </c>
      <c r="U157" s="236" t="s">
        <v>408</v>
      </c>
      <c r="V157" s="237" t="s">
        <v>408</v>
      </c>
      <c r="W157" s="238" t="s">
        <v>408</v>
      </c>
      <c r="X157" s="239" t="s">
        <v>408</v>
      </c>
      <c r="AA157" s="54" t="s">
        <v>1747</v>
      </c>
      <c r="AB157" s="54" t="s">
        <v>103</v>
      </c>
      <c r="AC157" s="54">
        <v>15</v>
      </c>
    </row>
    <row r="158" spans="1:29" ht="20.100000000000001" customHeight="1" x14ac:dyDescent="0.25">
      <c r="A158" s="436"/>
      <c r="B158" s="437"/>
      <c r="D158" s="437"/>
      <c r="F158" s="437"/>
      <c r="Q158" s="232" t="s">
        <v>408</v>
      </c>
      <c r="R158" s="238" t="s">
        <v>408</v>
      </c>
      <c r="S158" s="244" t="s">
        <v>408</v>
      </c>
      <c r="T158" s="235" t="s">
        <v>826</v>
      </c>
      <c r="U158" s="236">
        <v>1</v>
      </c>
      <c r="V158" s="237" t="s">
        <v>408</v>
      </c>
      <c r="W158" s="238" t="s">
        <v>408</v>
      </c>
      <c r="X158" s="239" t="s">
        <v>408</v>
      </c>
      <c r="AA158" s="54" t="s">
        <v>1748</v>
      </c>
      <c r="AB158" s="54" t="s">
        <v>103</v>
      </c>
      <c r="AC158" s="54">
        <v>15</v>
      </c>
    </row>
    <row r="159" spans="1:29" ht="20.100000000000001" customHeight="1" x14ac:dyDescent="0.25">
      <c r="A159" s="436"/>
      <c r="B159" s="437"/>
      <c r="D159" s="437"/>
      <c r="F159" s="437"/>
      <c r="Q159" s="232" t="s">
        <v>408</v>
      </c>
      <c r="R159" s="238" t="s">
        <v>408</v>
      </c>
      <c r="S159" s="244" t="s">
        <v>408</v>
      </c>
      <c r="T159" s="235" t="s">
        <v>903</v>
      </c>
      <c r="U159" s="236">
        <v>1</v>
      </c>
      <c r="V159" s="237" t="s">
        <v>408</v>
      </c>
      <c r="W159" s="238" t="s">
        <v>408</v>
      </c>
      <c r="X159" s="239" t="s">
        <v>408</v>
      </c>
      <c r="AA159" s="54" t="s">
        <v>1749</v>
      </c>
      <c r="AB159" s="54" t="s">
        <v>103</v>
      </c>
      <c r="AC159" s="54">
        <v>15</v>
      </c>
    </row>
    <row r="160" spans="1:29" ht="20.100000000000001" customHeight="1" x14ac:dyDescent="0.25">
      <c r="A160" s="436"/>
      <c r="B160" s="437"/>
      <c r="D160" s="437"/>
      <c r="F160" s="437"/>
      <c r="Q160" s="232" t="s">
        <v>408</v>
      </c>
      <c r="R160" s="238" t="s">
        <v>408</v>
      </c>
      <c r="S160" s="244" t="s">
        <v>408</v>
      </c>
      <c r="T160" s="235" t="s">
        <v>833</v>
      </c>
      <c r="U160" s="236" t="s">
        <v>408</v>
      </c>
      <c r="V160" s="237" t="s">
        <v>408</v>
      </c>
      <c r="W160" s="238" t="s">
        <v>408</v>
      </c>
      <c r="X160" s="239" t="s">
        <v>408</v>
      </c>
      <c r="AA160" s="54" t="s">
        <v>1750</v>
      </c>
      <c r="AB160" s="54" t="s">
        <v>103</v>
      </c>
      <c r="AC160" s="54">
        <v>15</v>
      </c>
    </row>
    <row r="161" spans="1:29" ht="20.100000000000001" customHeight="1" x14ac:dyDescent="0.25">
      <c r="A161" s="436"/>
      <c r="B161" s="437"/>
      <c r="D161" s="437"/>
      <c r="F161" s="437"/>
      <c r="Q161" s="232" t="s">
        <v>408</v>
      </c>
      <c r="R161" s="238" t="s">
        <v>408</v>
      </c>
      <c r="S161" s="244" t="s">
        <v>408</v>
      </c>
      <c r="T161" s="235" t="s">
        <v>904</v>
      </c>
      <c r="U161" s="236">
        <v>1</v>
      </c>
      <c r="V161" s="237" t="s">
        <v>408</v>
      </c>
      <c r="W161" s="238" t="s">
        <v>408</v>
      </c>
      <c r="X161" s="239" t="s">
        <v>408</v>
      </c>
      <c r="AA161" s="54" t="s">
        <v>1751</v>
      </c>
      <c r="AB161" s="54" t="s">
        <v>103</v>
      </c>
      <c r="AC161" s="54">
        <v>15</v>
      </c>
    </row>
    <row r="162" spans="1:29" ht="20.100000000000001" customHeight="1" x14ac:dyDescent="0.25">
      <c r="A162" s="436"/>
      <c r="B162" s="437"/>
      <c r="D162" s="437"/>
      <c r="F162" s="437"/>
      <c r="Q162" s="232" t="s">
        <v>408</v>
      </c>
      <c r="R162" s="238" t="s">
        <v>408</v>
      </c>
      <c r="S162" s="244" t="s">
        <v>408</v>
      </c>
      <c r="T162" s="235" t="s">
        <v>905</v>
      </c>
      <c r="U162" s="236">
        <v>1</v>
      </c>
      <c r="V162" s="237" t="s">
        <v>408</v>
      </c>
      <c r="W162" s="238" t="s">
        <v>408</v>
      </c>
      <c r="X162" s="239" t="s">
        <v>408</v>
      </c>
      <c r="AA162" s="54" t="s">
        <v>1752</v>
      </c>
      <c r="AB162" s="54" t="s">
        <v>605</v>
      </c>
      <c r="AC162" s="54">
        <v>12</v>
      </c>
    </row>
    <row r="163" spans="1:29" ht="20.100000000000001" customHeight="1" x14ac:dyDescent="0.25">
      <c r="A163" s="436"/>
      <c r="B163" s="437"/>
      <c r="D163" s="437"/>
      <c r="F163" s="437"/>
      <c r="Q163" s="232" t="s">
        <v>408</v>
      </c>
      <c r="R163" s="238" t="s">
        <v>408</v>
      </c>
      <c r="S163" s="244" t="s">
        <v>408</v>
      </c>
      <c r="T163" s="235" t="s">
        <v>862</v>
      </c>
      <c r="U163" s="236">
        <v>1</v>
      </c>
      <c r="V163" s="237" t="s">
        <v>408</v>
      </c>
      <c r="W163" s="238" t="s">
        <v>408</v>
      </c>
      <c r="X163" s="239" t="s">
        <v>408</v>
      </c>
      <c r="AA163" s="54" t="s">
        <v>1753</v>
      </c>
      <c r="AB163" s="54" t="s">
        <v>607</v>
      </c>
      <c r="AC163" s="54">
        <v>12</v>
      </c>
    </row>
    <row r="164" spans="1:29" ht="20.100000000000001" customHeight="1" x14ac:dyDescent="0.25">
      <c r="A164" s="436"/>
      <c r="B164" s="437"/>
      <c r="D164" s="437"/>
      <c r="F164" s="437"/>
      <c r="Q164" s="232" t="s">
        <v>408</v>
      </c>
      <c r="R164" s="238" t="s">
        <v>408</v>
      </c>
      <c r="S164" s="244" t="s">
        <v>408</v>
      </c>
      <c r="T164" s="235" t="s">
        <v>831</v>
      </c>
      <c r="U164" s="236" t="s">
        <v>408</v>
      </c>
      <c r="V164" s="237" t="s">
        <v>408</v>
      </c>
      <c r="W164" s="238" t="s">
        <v>408</v>
      </c>
      <c r="X164" s="239" t="s">
        <v>408</v>
      </c>
      <c r="AA164" s="54" t="s">
        <v>1754</v>
      </c>
      <c r="AB164" s="54" t="s">
        <v>607</v>
      </c>
      <c r="AC164" s="54">
        <v>12</v>
      </c>
    </row>
    <row r="165" spans="1:29" ht="20.100000000000001" customHeight="1" x14ac:dyDescent="0.25">
      <c r="A165" s="436"/>
      <c r="B165" s="437"/>
      <c r="D165" s="437"/>
      <c r="F165" s="437"/>
      <c r="Q165" s="232" t="s">
        <v>408</v>
      </c>
      <c r="R165" s="238" t="s">
        <v>408</v>
      </c>
      <c r="S165" s="244" t="s">
        <v>408</v>
      </c>
      <c r="T165" s="235" t="s">
        <v>861</v>
      </c>
      <c r="U165" s="236">
        <v>1</v>
      </c>
      <c r="V165" s="237" t="s">
        <v>408</v>
      </c>
      <c r="W165" s="238" t="s">
        <v>408</v>
      </c>
      <c r="X165" s="239" t="s">
        <v>408</v>
      </c>
      <c r="AA165" s="54" t="s">
        <v>1755</v>
      </c>
      <c r="AB165" s="54" t="s">
        <v>607</v>
      </c>
      <c r="AC165" s="54">
        <v>12</v>
      </c>
    </row>
    <row r="166" spans="1:29" ht="20.100000000000001" customHeight="1" x14ac:dyDescent="0.25">
      <c r="A166" s="436"/>
      <c r="B166" s="437"/>
      <c r="D166" s="437"/>
      <c r="F166" s="437"/>
      <c r="Q166" s="232" t="s">
        <v>408</v>
      </c>
      <c r="R166" s="238" t="s">
        <v>408</v>
      </c>
      <c r="S166" s="244" t="s">
        <v>408</v>
      </c>
      <c r="T166" s="235" t="s">
        <v>828</v>
      </c>
      <c r="U166" s="236" t="s">
        <v>408</v>
      </c>
      <c r="V166" s="237" t="s">
        <v>408</v>
      </c>
      <c r="W166" s="238" t="s">
        <v>408</v>
      </c>
      <c r="X166" s="239" t="s">
        <v>408</v>
      </c>
      <c r="AA166" s="54" t="s">
        <v>1756</v>
      </c>
      <c r="AB166" s="54" t="s">
        <v>607</v>
      </c>
      <c r="AC166" s="54">
        <v>12</v>
      </c>
    </row>
    <row r="167" spans="1:29" ht="20.100000000000001" customHeight="1" x14ac:dyDescent="0.25">
      <c r="A167" s="436"/>
      <c r="B167" s="437"/>
      <c r="D167" s="437"/>
      <c r="F167" s="437"/>
      <c r="Q167" s="232"/>
      <c r="R167" s="238"/>
      <c r="S167" s="244"/>
      <c r="T167" s="235"/>
      <c r="U167" s="236"/>
      <c r="V167" s="237"/>
      <c r="W167" s="238"/>
      <c r="X167" s="239"/>
      <c r="AA167" s="54" t="s">
        <v>1757</v>
      </c>
      <c r="AB167" s="54" t="s">
        <v>607</v>
      </c>
      <c r="AC167" s="54">
        <v>12</v>
      </c>
    </row>
    <row r="168" spans="1:29" ht="20.100000000000001" customHeight="1" x14ac:dyDescent="0.25">
      <c r="A168" s="436"/>
      <c r="B168" s="437"/>
      <c r="D168" s="437"/>
      <c r="F168" s="437"/>
      <c r="Q168" s="232" t="s">
        <v>408</v>
      </c>
      <c r="R168" s="238" t="s">
        <v>408</v>
      </c>
      <c r="S168" s="244" t="s">
        <v>408</v>
      </c>
      <c r="T168" s="235" t="s">
        <v>834</v>
      </c>
      <c r="U168" s="236" t="s">
        <v>408</v>
      </c>
      <c r="V168" s="237" t="s">
        <v>408</v>
      </c>
      <c r="W168" s="238" t="s">
        <v>408</v>
      </c>
      <c r="X168" s="239" t="s">
        <v>408</v>
      </c>
      <c r="AA168" s="54" t="s">
        <v>1758</v>
      </c>
      <c r="AB168" s="54" t="s">
        <v>607</v>
      </c>
      <c r="AC168" s="54">
        <v>12</v>
      </c>
    </row>
    <row r="169" spans="1:29" ht="20.100000000000001" customHeight="1" x14ac:dyDescent="0.25">
      <c r="A169" s="436"/>
      <c r="B169" s="437"/>
      <c r="D169" s="437"/>
      <c r="F169" s="437"/>
      <c r="Q169" s="232" t="s">
        <v>408</v>
      </c>
      <c r="R169" s="238" t="s">
        <v>408</v>
      </c>
      <c r="S169" s="244" t="s">
        <v>408</v>
      </c>
      <c r="T169" s="235" t="s">
        <v>906</v>
      </c>
      <c r="U169" s="236">
        <v>1</v>
      </c>
      <c r="V169" s="237" t="s">
        <v>408</v>
      </c>
      <c r="W169" s="238" t="s">
        <v>408</v>
      </c>
      <c r="X169" s="239" t="s">
        <v>408</v>
      </c>
      <c r="AA169" s="54" t="s">
        <v>1759</v>
      </c>
      <c r="AB169" s="54" t="s">
        <v>614</v>
      </c>
      <c r="AC169" s="54">
        <v>11</v>
      </c>
    </row>
    <row r="170" spans="1:29" ht="20.100000000000001" customHeight="1" x14ac:dyDescent="0.25">
      <c r="A170" s="436"/>
      <c r="B170" s="437"/>
      <c r="D170" s="437"/>
      <c r="F170" s="437"/>
      <c r="Q170" s="232" t="s">
        <v>408</v>
      </c>
      <c r="R170" s="238" t="s">
        <v>408</v>
      </c>
      <c r="S170" s="244" t="s">
        <v>408</v>
      </c>
      <c r="T170" s="235" t="s">
        <v>907</v>
      </c>
      <c r="U170" s="236" t="s">
        <v>408</v>
      </c>
      <c r="V170" s="237" t="s">
        <v>408</v>
      </c>
      <c r="W170" s="238" t="s">
        <v>408</v>
      </c>
      <c r="X170" s="239" t="s">
        <v>408</v>
      </c>
      <c r="AA170" s="54" t="s">
        <v>1751</v>
      </c>
      <c r="AB170" s="54" t="s">
        <v>614</v>
      </c>
      <c r="AC170" s="54">
        <v>11</v>
      </c>
    </row>
    <row r="171" spans="1:29" ht="20.100000000000001" customHeight="1" x14ac:dyDescent="0.25">
      <c r="A171" s="436"/>
      <c r="B171" s="437"/>
      <c r="D171" s="437"/>
      <c r="F171" s="437"/>
      <c r="Q171" s="232" t="s">
        <v>408</v>
      </c>
      <c r="R171" s="238" t="s">
        <v>408</v>
      </c>
      <c r="S171" s="244" t="s">
        <v>408</v>
      </c>
      <c r="T171" s="235" t="s">
        <v>908</v>
      </c>
      <c r="U171" s="236">
        <v>1</v>
      </c>
      <c r="V171" s="237" t="s">
        <v>408</v>
      </c>
      <c r="W171" s="238" t="s">
        <v>408</v>
      </c>
      <c r="X171" s="239" t="s">
        <v>408</v>
      </c>
      <c r="AA171" s="54" t="s">
        <v>1760</v>
      </c>
      <c r="AB171" s="54" t="s">
        <v>614</v>
      </c>
      <c r="AC171" s="54">
        <v>11</v>
      </c>
    </row>
    <row r="172" spans="1:29" ht="20.100000000000001" customHeight="1" x14ac:dyDescent="0.25">
      <c r="A172" s="436"/>
      <c r="B172" s="437"/>
      <c r="D172" s="437"/>
      <c r="F172" s="437"/>
      <c r="Q172" s="232" t="s">
        <v>408</v>
      </c>
      <c r="R172" s="238" t="s">
        <v>408</v>
      </c>
      <c r="S172" s="244" t="s">
        <v>408</v>
      </c>
      <c r="T172" s="235" t="s">
        <v>909</v>
      </c>
      <c r="U172" s="236" t="s">
        <v>408</v>
      </c>
      <c r="V172" s="237" t="s">
        <v>408</v>
      </c>
      <c r="W172" s="238" t="s">
        <v>408</v>
      </c>
      <c r="X172" s="239" t="s">
        <v>408</v>
      </c>
      <c r="AA172" s="54" t="s">
        <v>1761</v>
      </c>
      <c r="AB172" s="54" t="s">
        <v>614</v>
      </c>
      <c r="AC172" s="54">
        <v>11</v>
      </c>
    </row>
    <row r="173" spans="1:29" ht="20.100000000000001" customHeight="1" x14ac:dyDescent="0.25">
      <c r="A173" s="436"/>
      <c r="B173" s="437"/>
      <c r="D173" s="437"/>
      <c r="F173" s="437"/>
      <c r="Q173" s="232" t="s">
        <v>408</v>
      </c>
      <c r="R173" s="238" t="s">
        <v>408</v>
      </c>
      <c r="S173" s="244" t="s">
        <v>408</v>
      </c>
      <c r="T173" s="235" t="s">
        <v>910</v>
      </c>
      <c r="U173" s="236">
        <v>1</v>
      </c>
      <c r="V173" s="237" t="s">
        <v>408</v>
      </c>
      <c r="W173" s="238" t="s">
        <v>408</v>
      </c>
      <c r="X173" s="239" t="s">
        <v>408</v>
      </c>
      <c r="AA173" s="54" t="s">
        <v>1762</v>
      </c>
      <c r="AB173" s="54" t="s">
        <v>618</v>
      </c>
      <c r="AC173" s="54">
        <v>15</v>
      </c>
    </row>
    <row r="174" spans="1:29" ht="20.100000000000001" customHeight="1" x14ac:dyDescent="0.25">
      <c r="A174" s="436"/>
      <c r="B174" s="437"/>
      <c r="D174" s="437"/>
      <c r="F174" s="437"/>
      <c r="Q174" s="232" t="s">
        <v>408</v>
      </c>
      <c r="R174" s="238" t="s">
        <v>408</v>
      </c>
      <c r="S174" s="244" t="s">
        <v>408</v>
      </c>
      <c r="T174" s="235" t="s">
        <v>911</v>
      </c>
      <c r="U174" s="236" t="s">
        <v>408</v>
      </c>
      <c r="V174" s="237" t="s">
        <v>408</v>
      </c>
      <c r="W174" s="238" t="s">
        <v>408</v>
      </c>
      <c r="X174" s="239" t="s">
        <v>408</v>
      </c>
      <c r="AA174" s="54" t="s">
        <v>1763</v>
      </c>
      <c r="AB174" s="54" t="s">
        <v>618</v>
      </c>
      <c r="AC174" s="54">
        <v>15</v>
      </c>
    </row>
    <row r="175" spans="1:29" ht="20.100000000000001" customHeight="1" x14ac:dyDescent="0.25">
      <c r="A175" s="436"/>
      <c r="B175" s="437"/>
      <c r="D175" s="437"/>
      <c r="F175" s="437"/>
      <c r="Q175" s="232" t="s">
        <v>408</v>
      </c>
      <c r="R175" s="238" t="s">
        <v>408</v>
      </c>
      <c r="S175" s="244" t="s">
        <v>408</v>
      </c>
      <c r="T175" s="235" t="s">
        <v>865</v>
      </c>
      <c r="U175" s="236">
        <v>1</v>
      </c>
      <c r="V175" s="237" t="s">
        <v>408</v>
      </c>
      <c r="W175" s="238" t="s">
        <v>408</v>
      </c>
      <c r="X175" s="239" t="s">
        <v>408</v>
      </c>
      <c r="AA175" s="54" t="s">
        <v>1764</v>
      </c>
      <c r="AB175" s="54" t="s">
        <v>618</v>
      </c>
      <c r="AC175" s="54">
        <v>15</v>
      </c>
    </row>
    <row r="176" spans="1:29" ht="20.100000000000001" customHeight="1" x14ac:dyDescent="0.25">
      <c r="A176" s="436"/>
      <c r="B176" s="437"/>
      <c r="D176" s="437"/>
      <c r="F176" s="437"/>
      <c r="Q176" s="232" t="s">
        <v>408</v>
      </c>
      <c r="R176" s="238" t="s">
        <v>408</v>
      </c>
      <c r="S176" s="244" t="s">
        <v>408</v>
      </c>
      <c r="T176" s="235" t="s">
        <v>912</v>
      </c>
      <c r="U176" s="236">
        <v>1</v>
      </c>
      <c r="V176" s="237" t="s">
        <v>408</v>
      </c>
      <c r="W176" s="238" t="s">
        <v>408</v>
      </c>
      <c r="X176" s="239" t="s">
        <v>408</v>
      </c>
      <c r="AA176" s="54" t="s">
        <v>1765</v>
      </c>
      <c r="AB176" s="54" t="s">
        <v>618</v>
      </c>
      <c r="AC176" s="54">
        <v>15</v>
      </c>
    </row>
    <row r="177" spans="1:29" ht="20.100000000000001" customHeight="1" x14ac:dyDescent="0.25">
      <c r="A177" s="436"/>
      <c r="B177" s="437"/>
      <c r="D177" s="437"/>
      <c r="F177" s="437"/>
      <c r="Q177" s="232" t="s">
        <v>408</v>
      </c>
      <c r="R177" s="238" t="s">
        <v>408</v>
      </c>
      <c r="S177" s="244" t="s">
        <v>408</v>
      </c>
      <c r="T177" s="235" t="s">
        <v>839</v>
      </c>
      <c r="U177" s="236" t="s">
        <v>408</v>
      </c>
      <c r="V177" s="237" t="s">
        <v>408</v>
      </c>
      <c r="W177" s="238" t="s">
        <v>408</v>
      </c>
      <c r="X177" s="239" t="s">
        <v>408</v>
      </c>
      <c r="AA177" s="54" t="s">
        <v>1766</v>
      </c>
      <c r="AB177" s="54" t="s">
        <v>618</v>
      </c>
      <c r="AC177" s="54">
        <v>15</v>
      </c>
    </row>
    <row r="178" spans="1:29" ht="20.100000000000001" customHeight="1" x14ac:dyDescent="0.25">
      <c r="A178" s="436"/>
      <c r="B178" s="437"/>
      <c r="D178" s="437"/>
      <c r="F178" s="437"/>
      <c r="Q178" s="232"/>
      <c r="R178" s="238"/>
      <c r="S178" s="244"/>
      <c r="T178" s="235"/>
      <c r="U178" s="236"/>
      <c r="V178" s="237"/>
      <c r="W178" s="238"/>
      <c r="X178" s="239"/>
      <c r="AA178" s="54" t="s">
        <v>1767</v>
      </c>
      <c r="AB178" s="54" t="s">
        <v>618</v>
      </c>
      <c r="AC178" s="54">
        <v>15</v>
      </c>
    </row>
    <row r="179" spans="1:29" ht="20.100000000000001" customHeight="1" x14ac:dyDescent="0.25">
      <c r="A179" s="436"/>
      <c r="B179" s="437"/>
      <c r="D179" s="437"/>
      <c r="F179" s="437"/>
      <c r="Q179" s="232" t="s">
        <v>408</v>
      </c>
      <c r="R179" s="238" t="s">
        <v>408</v>
      </c>
      <c r="S179" s="244" t="s">
        <v>408</v>
      </c>
      <c r="T179" s="235" t="s">
        <v>408</v>
      </c>
      <c r="U179" s="236" t="s">
        <v>408</v>
      </c>
      <c r="V179" s="237" t="s">
        <v>408</v>
      </c>
      <c r="W179" s="238" t="s">
        <v>408</v>
      </c>
      <c r="X179" s="239" t="s">
        <v>408</v>
      </c>
      <c r="AA179" s="54" t="s">
        <v>1768</v>
      </c>
      <c r="AB179" s="54" t="s">
        <v>618</v>
      </c>
      <c r="AC179" s="54">
        <v>15</v>
      </c>
    </row>
    <row r="180" spans="1:29" ht="20.100000000000001" customHeight="1" x14ac:dyDescent="0.25">
      <c r="A180" s="436"/>
      <c r="B180" s="437"/>
      <c r="D180" s="437"/>
      <c r="F180" s="437"/>
      <c r="Q180" s="232" t="s">
        <v>408</v>
      </c>
      <c r="R180" s="238" t="s">
        <v>408</v>
      </c>
      <c r="S180" s="244" t="s">
        <v>408</v>
      </c>
      <c r="T180" s="235" t="s">
        <v>840</v>
      </c>
      <c r="U180" s="236" t="s">
        <v>408</v>
      </c>
      <c r="V180" s="237" t="s">
        <v>408</v>
      </c>
      <c r="W180" s="238" t="s">
        <v>408</v>
      </c>
      <c r="X180" s="239" t="s">
        <v>408</v>
      </c>
      <c r="AA180" s="54" t="s">
        <v>1769</v>
      </c>
      <c r="AB180" s="54" t="s">
        <v>618</v>
      </c>
      <c r="AC180" s="54">
        <v>15</v>
      </c>
    </row>
    <row r="181" spans="1:29" ht="20.100000000000001" customHeight="1" x14ac:dyDescent="0.25">
      <c r="A181" s="436"/>
      <c r="B181" s="437"/>
      <c r="D181" s="437"/>
      <c r="F181" s="437"/>
      <c r="Q181" s="232" t="s">
        <v>408</v>
      </c>
      <c r="R181" s="238" t="s">
        <v>408</v>
      </c>
      <c r="S181" s="244" t="s">
        <v>408</v>
      </c>
      <c r="T181" s="235" t="s">
        <v>841</v>
      </c>
      <c r="U181" s="236" t="s">
        <v>408</v>
      </c>
      <c r="V181" s="237" t="s">
        <v>408</v>
      </c>
      <c r="W181" s="238" t="s">
        <v>408</v>
      </c>
      <c r="X181" s="239" t="s">
        <v>408</v>
      </c>
      <c r="AA181" s="54" t="s">
        <v>1770</v>
      </c>
      <c r="AB181" s="54" t="s">
        <v>618</v>
      </c>
      <c r="AC181" s="54">
        <v>15</v>
      </c>
    </row>
    <row r="182" spans="1:29" ht="20.100000000000001" customHeight="1" x14ac:dyDescent="0.25">
      <c r="A182" s="436"/>
      <c r="B182" s="437"/>
      <c r="D182" s="437"/>
      <c r="F182" s="437"/>
      <c r="Q182" s="232" t="s">
        <v>408</v>
      </c>
      <c r="R182" s="238" t="s">
        <v>408</v>
      </c>
      <c r="S182" s="244" t="s">
        <v>408</v>
      </c>
      <c r="T182" s="235" t="s">
        <v>794</v>
      </c>
      <c r="U182" s="236" t="s">
        <v>408</v>
      </c>
      <c r="V182" s="237" t="s">
        <v>408</v>
      </c>
      <c r="W182" s="238" t="s">
        <v>408</v>
      </c>
      <c r="X182" s="239" t="s">
        <v>408</v>
      </c>
      <c r="AA182" s="54" t="s">
        <v>1771</v>
      </c>
      <c r="AB182" s="54" t="s">
        <v>618</v>
      </c>
      <c r="AC182" s="54">
        <v>15</v>
      </c>
    </row>
    <row r="183" spans="1:29" ht="20.100000000000001" customHeight="1" x14ac:dyDescent="0.25">
      <c r="A183" s="436"/>
      <c r="B183" s="437"/>
      <c r="D183" s="437"/>
      <c r="F183" s="437"/>
      <c r="Q183" s="232" t="s">
        <v>408</v>
      </c>
      <c r="R183" s="238" t="s">
        <v>408</v>
      </c>
      <c r="S183" s="244" t="s">
        <v>408</v>
      </c>
      <c r="T183" s="235" t="s">
        <v>843</v>
      </c>
      <c r="U183" s="236">
        <v>1</v>
      </c>
      <c r="V183" s="237" t="s">
        <v>408</v>
      </c>
      <c r="W183" s="238" t="s">
        <v>408</v>
      </c>
      <c r="X183" s="239" t="s">
        <v>408</v>
      </c>
      <c r="AA183" s="54" t="s">
        <v>1772</v>
      </c>
      <c r="AB183" s="54" t="s">
        <v>618</v>
      </c>
      <c r="AC183" s="54">
        <v>15</v>
      </c>
    </row>
    <row r="184" spans="1:29" ht="20.100000000000001" customHeight="1" x14ac:dyDescent="0.25">
      <c r="A184" s="436"/>
      <c r="B184" s="437"/>
      <c r="D184" s="437"/>
      <c r="F184" s="437"/>
      <c r="Q184" s="232" t="s">
        <v>408</v>
      </c>
      <c r="R184" s="238" t="s">
        <v>408</v>
      </c>
      <c r="S184" s="244" t="s">
        <v>408</v>
      </c>
      <c r="T184" s="235" t="s">
        <v>913</v>
      </c>
      <c r="U184" s="236">
        <v>1</v>
      </c>
      <c r="V184" s="237" t="s">
        <v>408</v>
      </c>
      <c r="W184" s="238" t="s">
        <v>408</v>
      </c>
      <c r="X184" s="239" t="s">
        <v>408</v>
      </c>
      <c r="AA184" s="54" t="s">
        <v>1773</v>
      </c>
      <c r="AB184" s="54" t="s">
        <v>630</v>
      </c>
      <c r="AC184" s="54">
        <v>12</v>
      </c>
    </row>
    <row r="185" spans="1:29" ht="20.100000000000001" customHeight="1" x14ac:dyDescent="0.25">
      <c r="A185" s="436"/>
      <c r="B185" s="437"/>
      <c r="D185" s="437"/>
      <c r="F185" s="437"/>
      <c r="Q185" s="232" t="s">
        <v>408</v>
      </c>
      <c r="R185" s="238" t="s">
        <v>408</v>
      </c>
      <c r="S185" s="244" t="s">
        <v>408</v>
      </c>
      <c r="T185" s="235" t="s">
        <v>844</v>
      </c>
      <c r="U185" s="236">
        <v>1</v>
      </c>
      <c r="V185" s="237" t="s">
        <v>408</v>
      </c>
      <c r="W185" s="238" t="s">
        <v>408</v>
      </c>
      <c r="X185" s="239" t="s">
        <v>408</v>
      </c>
      <c r="AA185" s="54" t="s">
        <v>1774</v>
      </c>
      <c r="AB185" s="54" t="s">
        <v>630</v>
      </c>
      <c r="AC185" s="54">
        <v>12</v>
      </c>
    </row>
    <row r="186" spans="1:29" ht="20.100000000000001" customHeight="1" x14ac:dyDescent="0.25">
      <c r="A186" s="436"/>
      <c r="B186" s="437"/>
      <c r="D186" s="437"/>
      <c r="F186" s="437"/>
      <c r="Q186" s="232" t="s">
        <v>408</v>
      </c>
      <c r="R186" s="238" t="s">
        <v>408</v>
      </c>
      <c r="S186" s="244" t="s">
        <v>408</v>
      </c>
      <c r="T186" s="235" t="s">
        <v>845</v>
      </c>
      <c r="U186" s="236">
        <v>1</v>
      </c>
      <c r="V186" s="237" t="s">
        <v>408</v>
      </c>
      <c r="W186" s="238" t="s">
        <v>408</v>
      </c>
      <c r="X186" s="239" t="s">
        <v>408</v>
      </c>
      <c r="AA186" s="54" t="s">
        <v>1775</v>
      </c>
      <c r="AB186" s="54" t="s">
        <v>630</v>
      </c>
      <c r="AC186" s="54">
        <v>12</v>
      </c>
    </row>
    <row r="187" spans="1:29" ht="20.100000000000001" customHeight="1" x14ac:dyDescent="0.25">
      <c r="A187" s="436"/>
      <c r="B187" s="437"/>
      <c r="D187" s="437"/>
      <c r="F187" s="437"/>
      <c r="Q187" s="232"/>
      <c r="R187" s="238"/>
      <c r="S187" s="245"/>
      <c r="T187" s="235" t="s">
        <v>846</v>
      </c>
      <c r="U187" s="246"/>
      <c r="V187" s="237"/>
      <c r="W187" s="238"/>
      <c r="X187" s="239"/>
      <c r="AA187" s="54" t="s">
        <v>1776</v>
      </c>
      <c r="AB187" s="54" t="s">
        <v>630</v>
      </c>
      <c r="AC187" s="54">
        <v>12</v>
      </c>
    </row>
    <row r="188" spans="1:29" ht="20.100000000000001" customHeight="1" x14ac:dyDescent="0.25">
      <c r="A188" s="436"/>
      <c r="B188" s="437"/>
      <c r="D188" s="437"/>
      <c r="F188" s="437"/>
      <c r="Q188" s="247" t="s">
        <v>408</v>
      </c>
      <c r="R188" s="248" t="s">
        <v>408</v>
      </c>
      <c r="S188" s="249" t="s">
        <v>408</v>
      </c>
      <c r="T188" s="250"/>
      <c r="U188" s="251" t="s">
        <v>408</v>
      </c>
      <c r="V188" s="252" t="s">
        <v>408</v>
      </c>
      <c r="W188" s="248" t="s">
        <v>408</v>
      </c>
      <c r="X188" s="253" t="s">
        <v>408</v>
      </c>
      <c r="AA188" s="54" t="s">
        <v>1777</v>
      </c>
      <c r="AB188" s="54" t="s">
        <v>630</v>
      </c>
      <c r="AC188" s="54">
        <v>12</v>
      </c>
    </row>
    <row r="189" spans="1:29" ht="20.100000000000001" customHeight="1" x14ac:dyDescent="0.25">
      <c r="A189" s="436"/>
      <c r="B189" s="437"/>
      <c r="D189" s="437"/>
      <c r="F189" s="437"/>
      <c r="Q189" s="224" t="s">
        <v>914</v>
      </c>
      <c r="R189" s="225"/>
      <c r="S189" s="261" t="s">
        <v>915</v>
      </c>
      <c r="T189" s="227" t="s">
        <v>746</v>
      </c>
      <c r="U189" s="228" t="s">
        <v>408</v>
      </c>
      <c r="V189" s="229" t="s">
        <v>747</v>
      </c>
      <c r="W189" s="230">
        <v>11</v>
      </c>
      <c r="X189" s="231" t="s">
        <v>916</v>
      </c>
      <c r="AA189" s="54" t="s">
        <v>1778</v>
      </c>
      <c r="AB189" s="54" t="s">
        <v>630</v>
      </c>
      <c r="AC189" s="54">
        <v>12</v>
      </c>
    </row>
    <row r="190" spans="1:29" ht="20.100000000000001" customHeight="1" x14ac:dyDescent="0.25">
      <c r="A190" s="436"/>
      <c r="B190" s="437"/>
      <c r="D190" s="437"/>
      <c r="F190" s="437"/>
      <c r="Q190" s="232" t="s">
        <v>408</v>
      </c>
      <c r="R190" s="225"/>
      <c r="S190" s="262" t="s">
        <v>917</v>
      </c>
      <c r="T190" s="235" t="s">
        <v>750</v>
      </c>
      <c r="U190" s="236" t="s">
        <v>408</v>
      </c>
      <c r="V190" s="237" t="s">
        <v>751</v>
      </c>
      <c r="W190" s="238"/>
      <c r="X190" s="239" t="s">
        <v>918</v>
      </c>
      <c r="AA190" s="54" t="s">
        <v>1779</v>
      </c>
      <c r="AB190" s="54" t="s">
        <v>630</v>
      </c>
      <c r="AC190" s="54">
        <v>12</v>
      </c>
    </row>
    <row r="191" spans="1:29" ht="20.100000000000001" customHeight="1" x14ac:dyDescent="0.25">
      <c r="A191" s="436"/>
      <c r="B191" s="437"/>
      <c r="D191" s="437"/>
      <c r="F191" s="437"/>
      <c r="Q191" s="232" t="s">
        <v>408</v>
      </c>
      <c r="R191" s="225"/>
      <c r="S191" s="262" t="s">
        <v>919</v>
      </c>
      <c r="T191" s="235" t="s">
        <v>754</v>
      </c>
      <c r="U191" s="236" t="s">
        <v>408</v>
      </c>
      <c r="V191" s="237" t="s">
        <v>896</v>
      </c>
      <c r="W191" s="238"/>
      <c r="X191" s="239" t="s">
        <v>876</v>
      </c>
      <c r="AA191" s="54" t="s">
        <v>1780</v>
      </c>
      <c r="AB191" s="54" t="s">
        <v>630</v>
      </c>
      <c r="AC191" s="54">
        <v>12</v>
      </c>
    </row>
    <row r="192" spans="1:29" ht="20.100000000000001" customHeight="1" x14ac:dyDescent="0.25">
      <c r="A192" s="436"/>
      <c r="B192" s="437"/>
      <c r="D192" s="437"/>
      <c r="F192" s="437"/>
      <c r="Q192" s="232" t="s">
        <v>408</v>
      </c>
      <c r="R192" s="230" t="s">
        <v>920</v>
      </c>
      <c r="S192" s="263" t="s">
        <v>921</v>
      </c>
      <c r="T192" s="235" t="s">
        <v>758</v>
      </c>
      <c r="U192" s="236">
        <v>2</v>
      </c>
      <c r="V192" s="237" t="s">
        <v>771</v>
      </c>
      <c r="W192" s="238"/>
      <c r="X192" s="239" t="s">
        <v>776</v>
      </c>
      <c r="AA192" s="54" t="s">
        <v>1781</v>
      </c>
      <c r="AB192" s="54" t="s">
        <v>630</v>
      </c>
      <c r="AC192" s="54">
        <v>12</v>
      </c>
    </row>
    <row r="193" spans="1:29" ht="20.100000000000001" customHeight="1" x14ac:dyDescent="0.25">
      <c r="A193" s="436"/>
      <c r="B193" s="437"/>
      <c r="D193" s="437"/>
      <c r="F193" s="437"/>
      <c r="Q193" s="232" t="s">
        <v>408</v>
      </c>
      <c r="R193" s="238"/>
      <c r="S193" s="244" t="s">
        <v>922</v>
      </c>
      <c r="T193" s="235" t="s">
        <v>762</v>
      </c>
      <c r="U193" s="236">
        <v>2</v>
      </c>
      <c r="V193" s="237" t="s">
        <v>923</v>
      </c>
      <c r="W193" s="238"/>
      <c r="X193" s="239" t="s">
        <v>779</v>
      </c>
      <c r="AA193" s="54" t="s">
        <v>1782</v>
      </c>
      <c r="AB193" s="54" t="s">
        <v>630</v>
      </c>
      <c r="AC193" s="54">
        <v>12</v>
      </c>
    </row>
    <row r="194" spans="1:29" ht="20.100000000000001" customHeight="1" x14ac:dyDescent="0.25">
      <c r="A194" s="436"/>
      <c r="B194" s="437"/>
      <c r="D194" s="437"/>
      <c r="F194" s="437"/>
      <c r="Q194" s="241" t="s">
        <v>408</v>
      </c>
      <c r="R194" s="264" t="s">
        <v>924</v>
      </c>
      <c r="S194" s="244" t="s">
        <v>925</v>
      </c>
      <c r="T194" s="243" t="s">
        <v>766</v>
      </c>
      <c r="U194" s="236">
        <v>2</v>
      </c>
      <c r="V194" s="237" t="s">
        <v>886</v>
      </c>
      <c r="W194" s="238"/>
      <c r="X194" s="239" t="s">
        <v>876</v>
      </c>
      <c r="AA194" s="54" t="s">
        <v>1783</v>
      </c>
      <c r="AB194" s="54" t="s">
        <v>641</v>
      </c>
      <c r="AC194" s="54">
        <v>10</v>
      </c>
    </row>
    <row r="195" spans="1:29" ht="20.100000000000001" customHeight="1" x14ac:dyDescent="0.25">
      <c r="A195" s="436"/>
      <c r="B195" s="437"/>
      <c r="D195" s="437"/>
      <c r="F195" s="437"/>
      <c r="Q195" s="241" t="s">
        <v>408</v>
      </c>
      <c r="R195" s="238"/>
      <c r="S195" s="256" t="s">
        <v>926</v>
      </c>
      <c r="T195" s="235" t="s">
        <v>927</v>
      </c>
      <c r="U195" s="236">
        <v>1</v>
      </c>
      <c r="V195" s="237" t="s">
        <v>767</v>
      </c>
      <c r="W195" s="238"/>
      <c r="X195" s="239" t="s">
        <v>764</v>
      </c>
      <c r="AA195" s="54" t="s">
        <v>1784</v>
      </c>
      <c r="AB195" s="54" t="s">
        <v>641</v>
      </c>
      <c r="AC195" s="54">
        <v>10</v>
      </c>
    </row>
    <row r="196" spans="1:29" ht="20.100000000000001" customHeight="1" x14ac:dyDescent="0.25">
      <c r="A196" s="436"/>
      <c r="B196" s="437"/>
      <c r="D196" s="437"/>
      <c r="F196" s="437"/>
      <c r="Q196" s="241" t="s">
        <v>408</v>
      </c>
      <c r="R196" s="238" t="s">
        <v>408</v>
      </c>
      <c r="S196" s="256" t="s">
        <v>928</v>
      </c>
      <c r="T196" s="235" t="s">
        <v>790</v>
      </c>
      <c r="U196" s="236">
        <v>1</v>
      </c>
      <c r="V196" s="237"/>
      <c r="W196" s="238"/>
      <c r="X196" s="239" t="s">
        <v>408</v>
      </c>
      <c r="AA196" s="54" t="s">
        <v>1785</v>
      </c>
      <c r="AB196" s="54" t="s">
        <v>641</v>
      </c>
      <c r="AC196" s="54">
        <v>10</v>
      </c>
    </row>
    <row r="197" spans="1:29" ht="20.100000000000001" customHeight="1" x14ac:dyDescent="0.25">
      <c r="A197" s="436"/>
      <c r="B197" s="437"/>
      <c r="D197" s="437"/>
      <c r="F197" s="437"/>
      <c r="Q197" s="241" t="s">
        <v>408</v>
      </c>
      <c r="R197" s="238" t="s">
        <v>929</v>
      </c>
      <c r="S197" s="256" t="s">
        <v>773</v>
      </c>
      <c r="T197" s="235" t="s">
        <v>781</v>
      </c>
      <c r="U197" s="236">
        <v>1</v>
      </c>
      <c r="V197" s="237" t="s">
        <v>785</v>
      </c>
      <c r="W197" s="238"/>
      <c r="X197" s="239" t="s">
        <v>408</v>
      </c>
      <c r="AA197" s="54" t="s">
        <v>1786</v>
      </c>
      <c r="AB197" s="54" t="s">
        <v>641</v>
      </c>
      <c r="AC197" s="54">
        <v>10</v>
      </c>
    </row>
    <row r="198" spans="1:29" ht="20.100000000000001" customHeight="1" x14ac:dyDescent="0.25">
      <c r="A198" s="436"/>
      <c r="B198" s="437"/>
      <c r="D198" s="437"/>
      <c r="F198" s="437"/>
      <c r="Q198" s="241" t="s">
        <v>408</v>
      </c>
      <c r="R198" s="238" t="s">
        <v>930</v>
      </c>
      <c r="S198" s="256" t="s">
        <v>931</v>
      </c>
      <c r="T198" s="235" t="s">
        <v>932</v>
      </c>
      <c r="U198" s="236">
        <v>1</v>
      </c>
      <c r="V198" s="237" t="s">
        <v>788</v>
      </c>
      <c r="W198" s="238"/>
      <c r="X198" s="239" t="s">
        <v>408</v>
      </c>
      <c r="AA198" s="54" t="s">
        <v>1787</v>
      </c>
      <c r="AB198" s="54" t="s">
        <v>641</v>
      </c>
      <c r="AC198" s="54">
        <v>10</v>
      </c>
    </row>
    <row r="199" spans="1:29" ht="20.100000000000001" customHeight="1" x14ac:dyDescent="0.25">
      <c r="A199" s="436"/>
      <c r="B199" s="437"/>
      <c r="D199" s="437"/>
      <c r="F199" s="437"/>
      <c r="Q199" s="232" t="s">
        <v>408</v>
      </c>
      <c r="R199" s="238" t="s">
        <v>408</v>
      </c>
      <c r="S199" s="244" t="s">
        <v>933</v>
      </c>
      <c r="T199" s="235" t="s">
        <v>934</v>
      </c>
      <c r="U199" s="236" t="s">
        <v>408</v>
      </c>
      <c r="V199" s="237" t="s">
        <v>791</v>
      </c>
      <c r="W199" s="238" t="s">
        <v>408</v>
      </c>
      <c r="X199" s="239" t="s">
        <v>408</v>
      </c>
      <c r="AA199" s="54" t="s">
        <v>1788</v>
      </c>
      <c r="AB199" s="54" t="s">
        <v>641</v>
      </c>
      <c r="AC199" s="54">
        <v>10</v>
      </c>
    </row>
    <row r="200" spans="1:29" ht="20.100000000000001" customHeight="1" x14ac:dyDescent="0.25">
      <c r="A200" s="436"/>
      <c r="B200" s="437"/>
      <c r="D200" s="437"/>
      <c r="F200" s="437"/>
      <c r="Q200" s="232" t="s">
        <v>408</v>
      </c>
      <c r="R200" s="238"/>
      <c r="S200" s="244"/>
      <c r="T200" s="235" t="s">
        <v>935</v>
      </c>
      <c r="U200" s="236">
        <v>1</v>
      </c>
      <c r="V200" s="237" t="s">
        <v>794</v>
      </c>
      <c r="W200" s="238" t="s">
        <v>408</v>
      </c>
      <c r="X200" s="239" t="s">
        <v>408</v>
      </c>
      <c r="AA200" s="54" t="s">
        <v>1789</v>
      </c>
      <c r="AB200" s="54" t="s">
        <v>641</v>
      </c>
      <c r="AC200" s="54">
        <v>10</v>
      </c>
    </row>
    <row r="201" spans="1:29" ht="20.100000000000001" customHeight="1" x14ac:dyDescent="0.25">
      <c r="A201" s="436"/>
      <c r="B201" s="437"/>
      <c r="D201" s="437"/>
      <c r="F201" s="437"/>
      <c r="Q201" s="232" t="s">
        <v>408</v>
      </c>
      <c r="R201" s="238"/>
      <c r="S201" s="244"/>
      <c r="T201" s="235" t="s">
        <v>784</v>
      </c>
      <c r="U201" s="236">
        <v>1</v>
      </c>
      <c r="V201" s="237" t="s">
        <v>853</v>
      </c>
      <c r="W201" s="238" t="s">
        <v>408</v>
      </c>
      <c r="X201" s="239" t="s">
        <v>408</v>
      </c>
      <c r="AA201" s="54" t="s">
        <v>1790</v>
      </c>
      <c r="AB201" s="54" t="s">
        <v>641</v>
      </c>
      <c r="AC201" s="54">
        <v>10</v>
      </c>
    </row>
    <row r="202" spans="1:29" ht="20.100000000000001" customHeight="1" x14ac:dyDescent="0.25">
      <c r="A202" s="436"/>
      <c r="B202" s="437"/>
      <c r="D202" s="437"/>
      <c r="F202" s="437"/>
      <c r="Q202" s="232" t="s">
        <v>408</v>
      </c>
      <c r="R202" s="238"/>
      <c r="S202" s="244"/>
      <c r="T202" s="235" t="s">
        <v>787</v>
      </c>
      <c r="U202" s="236">
        <v>1</v>
      </c>
      <c r="V202" s="237"/>
      <c r="W202" s="238" t="s">
        <v>408</v>
      </c>
      <c r="X202" s="239" t="s">
        <v>408</v>
      </c>
      <c r="AA202" s="54" t="s">
        <v>1791</v>
      </c>
      <c r="AB202" s="54" t="s">
        <v>650</v>
      </c>
      <c r="AC202" s="54">
        <v>13</v>
      </c>
    </row>
    <row r="203" spans="1:29" ht="20.100000000000001" customHeight="1" x14ac:dyDescent="0.25">
      <c r="A203" s="436"/>
      <c r="B203" s="437"/>
      <c r="D203" s="437"/>
      <c r="F203" s="437"/>
      <c r="Q203" s="232" t="s">
        <v>408</v>
      </c>
      <c r="R203" s="238"/>
      <c r="S203" s="244"/>
      <c r="T203" s="235" t="s">
        <v>774</v>
      </c>
      <c r="U203" s="236">
        <v>1</v>
      </c>
      <c r="V203" s="237" t="s">
        <v>813</v>
      </c>
      <c r="W203" s="238" t="s">
        <v>408</v>
      </c>
      <c r="X203" s="239" t="s">
        <v>408</v>
      </c>
      <c r="AA203" s="54" t="s">
        <v>1792</v>
      </c>
      <c r="AB203" s="54" t="s">
        <v>650</v>
      </c>
      <c r="AC203" s="54">
        <v>13</v>
      </c>
    </row>
    <row r="204" spans="1:29" ht="20.100000000000001" customHeight="1" x14ac:dyDescent="0.25">
      <c r="A204" s="436"/>
      <c r="B204" s="437"/>
      <c r="D204" s="437"/>
      <c r="F204" s="437"/>
      <c r="Q204" s="232" t="s">
        <v>408</v>
      </c>
      <c r="R204" s="238"/>
      <c r="S204" s="244"/>
      <c r="T204" s="235" t="s">
        <v>778</v>
      </c>
      <c r="U204" s="236">
        <v>1</v>
      </c>
      <c r="V204" s="237" t="s">
        <v>815</v>
      </c>
      <c r="W204" s="238" t="s">
        <v>408</v>
      </c>
      <c r="X204" s="239" t="s">
        <v>408</v>
      </c>
      <c r="AA204" s="54" t="s">
        <v>1769</v>
      </c>
      <c r="AB204" s="54" t="s">
        <v>650</v>
      </c>
      <c r="AC204" s="54">
        <v>13</v>
      </c>
    </row>
    <row r="205" spans="1:29" ht="20.100000000000001" customHeight="1" x14ac:dyDescent="0.25">
      <c r="A205" s="436"/>
      <c r="B205" s="437"/>
      <c r="D205" s="437"/>
      <c r="F205" s="437"/>
      <c r="Q205" s="232" t="s">
        <v>408</v>
      </c>
      <c r="R205" s="238"/>
      <c r="S205" s="244"/>
      <c r="T205" s="235" t="s">
        <v>796</v>
      </c>
      <c r="U205" s="236">
        <v>1</v>
      </c>
      <c r="V205" s="237" t="s">
        <v>817</v>
      </c>
      <c r="W205" s="238" t="s">
        <v>408</v>
      </c>
      <c r="X205" s="239" t="s">
        <v>408</v>
      </c>
      <c r="AA205" s="54" t="s">
        <v>1793</v>
      </c>
      <c r="AB205" s="54" t="s">
        <v>650</v>
      </c>
      <c r="AC205" s="54">
        <v>13</v>
      </c>
    </row>
    <row r="206" spans="1:29" ht="20.100000000000001" customHeight="1" x14ac:dyDescent="0.25">
      <c r="A206" s="436"/>
      <c r="B206" s="437"/>
      <c r="D206" s="437"/>
      <c r="F206" s="437"/>
      <c r="Q206" s="232" t="s">
        <v>408</v>
      </c>
      <c r="R206" s="238" t="s">
        <v>408</v>
      </c>
      <c r="S206" s="244" t="s">
        <v>408</v>
      </c>
      <c r="T206" s="235" t="s">
        <v>793</v>
      </c>
      <c r="U206" s="236">
        <v>2</v>
      </c>
      <c r="V206" s="237" t="s">
        <v>408</v>
      </c>
      <c r="W206" s="238" t="s">
        <v>408</v>
      </c>
      <c r="X206" s="239" t="s">
        <v>408</v>
      </c>
      <c r="AA206" s="54" t="s">
        <v>1794</v>
      </c>
      <c r="AB206" s="54" t="s">
        <v>650</v>
      </c>
      <c r="AC206" s="54">
        <v>13</v>
      </c>
    </row>
    <row r="207" spans="1:29" ht="20.100000000000001" customHeight="1" x14ac:dyDescent="0.25">
      <c r="A207" s="436"/>
      <c r="B207" s="437"/>
      <c r="D207" s="437"/>
      <c r="F207" s="437"/>
      <c r="Q207" s="232" t="s">
        <v>408</v>
      </c>
      <c r="R207" s="238" t="s">
        <v>408</v>
      </c>
      <c r="S207" s="244" t="s">
        <v>408</v>
      </c>
      <c r="T207" s="235" t="s">
        <v>854</v>
      </c>
      <c r="U207" s="236">
        <v>1</v>
      </c>
      <c r="V207" s="237" t="s">
        <v>408</v>
      </c>
      <c r="W207" s="238" t="s">
        <v>408</v>
      </c>
      <c r="X207" s="239" t="s">
        <v>408</v>
      </c>
      <c r="AA207" s="54" t="s">
        <v>1794</v>
      </c>
      <c r="AB207" s="54" t="s">
        <v>650</v>
      </c>
      <c r="AC207" s="54">
        <v>13</v>
      </c>
    </row>
    <row r="208" spans="1:29" ht="20.100000000000001" customHeight="1" x14ac:dyDescent="0.25">
      <c r="A208" s="436"/>
      <c r="B208" s="437"/>
      <c r="D208" s="437"/>
      <c r="F208" s="437"/>
      <c r="Q208" s="232" t="s">
        <v>408</v>
      </c>
      <c r="R208" s="238" t="s">
        <v>408</v>
      </c>
      <c r="S208" s="244" t="s">
        <v>408</v>
      </c>
      <c r="T208" s="235" t="s">
        <v>856</v>
      </c>
      <c r="U208" s="236" t="s">
        <v>408</v>
      </c>
      <c r="V208" s="237" t="s">
        <v>408</v>
      </c>
      <c r="W208" s="238" t="s">
        <v>408</v>
      </c>
      <c r="X208" s="239" t="s">
        <v>408</v>
      </c>
      <c r="AA208" s="54" t="s">
        <v>1795</v>
      </c>
      <c r="AB208" s="54" t="s">
        <v>650</v>
      </c>
      <c r="AC208" s="54">
        <v>13</v>
      </c>
    </row>
    <row r="209" spans="1:29" ht="20.100000000000001" customHeight="1" x14ac:dyDescent="0.25">
      <c r="A209" s="436"/>
      <c r="B209" s="437"/>
      <c r="D209" s="437"/>
      <c r="F209" s="437"/>
      <c r="Q209" s="232" t="s">
        <v>408</v>
      </c>
      <c r="R209" s="238" t="s">
        <v>408</v>
      </c>
      <c r="S209" s="244" t="s">
        <v>408</v>
      </c>
      <c r="T209" s="235" t="s">
        <v>805</v>
      </c>
      <c r="U209" s="236">
        <v>3</v>
      </c>
      <c r="V209" s="237" t="s">
        <v>408</v>
      </c>
      <c r="W209" s="238" t="s">
        <v>408</v>
      </c>
      <c r="X209" s="239" t="s">
        <v>408</v>
      </c>
      <c r="AA209" s="54" t="s">
        <v>1796</v>
      </c>
      <c r="AB209" s="54" t="s">
        <v>650</v>
      </c>
      <c r="AC209" s="54">
        <v>13</v>
      </c>
    </row>
    <row r="210" spans="1:29" ht="20.100000000000001" customHeight="1" x14ac:dyDescent="0.25">
      <c r="A210" s="436"/>
      <c r="B210" s="437"/>
      <c r="D210" s="437"/>
      <c r="F210" s="437"/>
      <c r="Q210" s="232" t="s">
        <v>408</v>
      </c>
      <c r="R210" s="238" t="s">
        <v>408</v>
      </c>
      <c r="S210" s="244" t="s">
        <v>408</v>
      </c>
      <c r="T210" s="235" t="s">
        <v>936</v>
      </c>
      <c r="U210" s="236" t="s">
        <v>408</v>
      </c>
      <c r="V210" s="237" t="s">
        <v>408</v>
      </c>
      <c r="W210" s="238" t="s">
        <v>408</v>
      </c>
      <c r="X210" s="239" t="s">
        <v>408</v>
      </c>
      <c r="AA210" s="54" t="s">
        <v>1797</v>
      </c>
      <c r="AB210" s="54" t="s">
        <v>650</v>
      </c>
      <c r="AC210" s="54">
        <v>13</v>
      </c>
    </row>
    <row r="211" spans="1:29" ht="20.100000000000001" customHeight="1" x14ac:dyDescent="0.25">
      <c r="A211" s="436"/>
      <c r="B211" s="437"/>
      <c r="D211" s="437"/>
      <c r="F211" s="437"/>
      <c r="Q211" s="232" t="s">
        <v>408</v>
      </c>
      <c r="R211" s="238" t="s">
        <v>408</v>
      </c>
      <c r="S211" s="244" t="s">
        <v>408</v>
      </c>
      <c r="T211" s="235" t="s">
        <v>937</v>
      </c>
      <c r="U211" s="236" t="s">
        <v>408</v>
      </c>
      <c r="V211" s="237" t="s">
        <v>408</v>
      </c>
      <c r="W211" s="238" t="s">
        <v>408</v>
      </c>
      <c r="X211" s="239" t="s">
        <v>408</v>
      </c>
      <c r="AA211" s="54" t="s">
        <v>1798</v>
      </c>
      <c r="AB211" s="54" t="s">
        <v>650</v>
      </c>
      <c r="AC211" s="54">
        <v>13</v>
      </c>
    </row>
    <row r="212" spans="1:29" ht="20.100000000000001" customHeight="1" x14ac:dyDescent="0.25">
      <c r="A212" s="436"/>
      <c r="B212" s="437"/>
      <c r="D212" s="437"/>
      <c r="F212" s="437"/>
      <c r="Q212" s="232" t="s">
        <v>408</v>
      </c>
      <c r="R212" s="238" t="s">
        <v>408</v>
      </c>
      <c r="S212" s="244" t="s">
        <v>408</v>
      </c>
      <c r="T212" s="235" t="s">
        <v>938</v>
      </c>
      <c r="U212" s="236" t="s">
        <v>408</v>
      </c>
      <c r="V212" s="237" t="s">
        <v>408</v>
      </c>
      <c r="W212" s="238" t="s">
        <v>408</v>
      </c>
      <c r="X212" s="239" t="s">
        <v>408</v>
      </c>
      <c r="AA212" s="54" t="s">
        <v>1799</v>
      </c>
      <c r="AB212" s="54" t="s">
        <v>650</v>
      </c>
      <c r="AC212" s="54">
        <v>13</v>
      </c>
    </row>
    <row r="213" spans="1:29" ht="20.100000000000001" customHeight="1" x14ac:dyDescent="0.25">
      <c r="A213" s="436"/>
      <c r="B213" s="437"/>
      <c r="D213" s="437"/>
      <c r="F213" s="437"/>
      <c r="Q213" s="232" t="s">
        <v>408</v>
      </c>
      <c r="R213" s="238" t="s">
        <v>408</v>
      </c>
      <c r="S213" s="244" t="s">
        <v>408</v>
      </c>
      <c r="T213" s="235" t="s">
        <v>809</v>
      </c>
      <c r="U213" s="236" t="s">
        <v>408</v>
      </c>
      <c r="V213" s="237" t="s">
        <v>408</v>
      </c>
      <c r="W213" s="238" t="s">
        <v>408</v>
      </c>
      <c r="X213" s="239" t="s">
        <v>408</v>
      </c>
      <c r="AA213" s="54" t="s">
        <v>1800</v>
      </c>
      <c r="AB213" s="54" t="s">
        <v>660</v>
      </c>
      <c r="AC213" s="54">
        <v>10</v>
      </c>
    </row>
    <row r="214" spans="1:29" ht="20.100000000000001" customHeight="1" x14ac:dyDescent="0.25">
      <c r="A214" s="436"/>
      <c r="B214" s="437"/>
      <c r="D214" s="437"/>
      <c r="F214" s="437"/>
      <c r="Q214" s="232" t="s">
        <v>408</v>
      </c>
      <c r="R214" s="238" t="s">
        <v>408</v>
      </c>
      <c r="S214" s="244" t="s">
        <v>408</v>
      </c>
      <c r="T214" s="235" t="s">
        <v>811</v>
      </c>
      <c r="U214" s="236" t="s">
        <v>408</v>
      </c>
      <c r="V214" s="237" t="s">
        <v>408</v>
      </c>
      <c r="W214" s="238" t="s">
        <v>408</v>
      </c>
      <c r="X214" s="239" t="s">
        <v>408</v>
      </c>
      <c r="AA214" s="54" t="s">
        <v>1801</v>
      </c>
      <c r="AB214" s="54" t="s">
        <v>660</v>
      </c>
      <c r="AC214" s="54">
        <v>10</v>
      </c>
    </row>
    <row r="215" spans="1:29" ht="20.100000000000001" customHeight="1" x14ac:dyDescent="0.25">
      <c r="A215" s="436"/>
      <c r="B215" s="437"/>
      <c r="D215" s="437"/>
      <c r="F215" s="437"/>
      <c r="Q215" s="232" t="s">
        <v>408</v>
      </c>
      <c r="R215" s="238" t="s">
        <v>408</v>
      </c>
      <c r="S215" s="244" t="s">
        <v>408</v>
      </c>
      <c r="T215" s="235" t="s">
        <v>812</v>
      </c>
      <c r="U215" s="236" t="s">
        <v>408</v>
      </c>
      <c r="V215" s="237" t="s">
        <v>408</v>
      </c>
      <c r="W215" s="238" t="s">
        <v>408</v>
      </c>
      <c r="X215" s="239" t="s">
        <v>408</v>
      </c>
      <c r="AA215" s="54" t="s">
        <v>1802</v>
      </c>
      <c r="AB215" s="54" t="s">
        <v>660</v>
      </c>
      <c r="AC215" s="54">
        <v>10</v>
      </c>
    </row>
    <row r="216" spans="1:29" ht="20.100000000000001" customHeight="1" x14ac:dyDescent="0.25">
      <c r="A216" s="436"/>
      <c r="B216" s="437"/>
      <c r="D216" s="437"/>
      <c r="F216" s="437"/>
      <c r="Q216" s="232" t="s">
        <v>408</v>
      </c>
      <c r="R216" s="238" t="s">
        <v>408</v>
      </c>
      <c r="S216" s="244" t="s">
        <v>408</v>
      </c>
      <c r="T216" s="235" t="s">
        <v>820</v>
      </c>
      <c r="U216" s="236">
        <v>1</v>
      </c>
      <c r="V216" s="237" t="s">
        <v>408</v>
      </c>
      <c r="W216" s="238" t="s">
        <v>408</v>
      </c>
      <c r="X216" s="239" t="s">
        <v>408</v>
      </c>
      <c r="AA216" s="54" t="s">
        <v>1803</v>
      </c>
      <c r="AB216" s="54" t="s">
        <v>660</v>
      </c>
      <c r="AC216" s="54">
        <v>10</v>
      </c>
    </row>
    <row r="217" spans="1:29" ht="20.100000000000001" customHeight="1" x14ac:dyDescent="0.25">
      <c r="A217" s="436"/>
      <c r="B217" s="437"/>
      <c r="D217" s="437"/>
      <c r="F217" s="437"/>
      <c r="Q217" s="232" t="s">
        <v>408</v>
      </c>
      <c r="R217" s="238" t="s">
        <v>408</v>
      </c>
      <c r="S217" s="244" t="s">
        <v>408</v>
      </c>
      <c r="T217" s="235" t="s">
        <v>822</v>
      </c>
      <c r="U217" s="236" t="s">
        <v>408</v>
      </c>
      <c r="V217" s="237" t="s">
        <v>408</v>
      </c>
      <c r="W217" s="238" t="s">
        <v>408</v>
      </c>
      <c r="X217" s="239" t="s">
        <v>408</v>
      </c>
      <c r="AA217" s="54" t="s">
        <v>1804</v>
      </c>
      <c r="AB217" s="54" t="s">
        <v>660</v>
      </c>
      <c r="AC217" s="54">
        <v>10</v>
      </c>
    </row>
    <row r="218" spans="1:29" ht="20.100000000000001" customHeight="1" x14ac:dyDescent="0.25">
      <c r="A218" s="436"/>
      <c r="B218" s="437"/>
      <c r="D218" s="437"/>
      <c r="F218" s="437"/>
      <c r="Q218" s="232" t="s">
        <v>408</v>
      </c>
      <c r="R218" s="238" t="s">
        <v>408</v>
      </c>
      <c r="S218" s="244" t="s">
        <v>408</v>
      </c>
      <c r="T218" s="235" t="s">
        <v>823</v>
      </c>
      <c r="U218" s="236" t="s">
        <v>408</v>
      </c>
      <c r="V218" s="237" t="s">
        <v>408</v>
      </c>
      <c r="W218" s="238" t="s">
        <v>408</v>
      </c>
      <c r="X218" s="239" t="s">
        <v>408</v>
      </c>
      <c r="AA218" s="54" t="s">
        <v>1805</v>
      </c>
      <c r="AB218" s="54" t="s">
        <v>660</v>
      </c>
      <c r="AC218" s="54">
        <v>10</v>
      </c>
    </row>
    <row r="219" spans="1:29" ht="20.100000000000001" customHeight="1" x14ac:dyDescent="0.25">
      <c r="A219" s="436"/>
      <c r="B219" s="437"/>
      <c r="D219" s="437"/>
      <c r="F219" s="437"/>
      <c r="Q219" s="232" t="s">
        <v>408</v>
      </c>
      <c r="R219" s="238" t="s">
        <v>408</v>
      </c>
      <c r="S219" s="244" t="s">
        <v>408</v>
      </c>
      <c r="T219" s="235" t="s">
        <v>824</v>
      </c>
      <c r="U219" s="236" t="s">
        <v>408</v>
      </c>
      <c r="V219" s="237" t="s">
        <v>408</v>
      </c>
      <c r="W219" s="238" t="s">
        <v>408</v>
      </c>
      <c r="X219" s="239" t="s">
        <v>408</v>
      </c>
      <c r="AA219" s="54" t="s">
        <v>1806</v>
      </c>
      <c r="AB219" s="54" t="s">
        <v>660</v>
      </c>
      <c r="AC219" s="54">
        <v>10</v>
      </c>
    </row>
    <row r="220" spans="1:29" ht="20.100000000000001" customHeight="1" x14ac:dyDescent="0.25">
      <c r="A220" s="436"/>
      <c r="B220" s="437"/>
      <c r="D220" s="437"/>
      <c r="F220" s="437"/>
      <c r="Q220" s="232" t="s">
        <v>408</v>
      </c>
      <c r="R220" s="238" t="s">
        <v>408</v>
      </c>
      <c r="S220" s="244" t="s">
        <v>408</v>
      </c>
      <c r="T220" s="235" t="s">
        <v>408</v>
      </c>
      <c r="U220" s="236" t="s">
        <v>408</v>
      </c>
      <c r="V220" s="237" t="s">
        <v>408</v>
      </c>
      <c r="W220" s="238" t="s">
        <v>408</v>
      </c>
      <c r="X220" s="239" t="s">
        <v>408</v>
      </c>
      <c r="AA220" s="54" t="s">
        <v>1807</v>
      </c>
      <c r="AB220" s="54" t="s">
        <v>660</v>
      </c>
      <c r="AC220" s="54">
        <v>10</v>
      </c>
    </row>
    <row r="221" spans="1:29" ht="20.100000000000001" customHeight="1" x14ac:dyDescent="0.25">
      <c r="A221" s="436"/>
      <c r="B221" s="437"/>
      <c r="D221" s="437"/>
      <c r="F221" s="437"/>
      <c r="Q221" s="232" t="s">
        <v>408</v>
      </c>
      <c r="R221" s="238" t="s">
        <v>408</v>
      </c>
      <c r="S221" s="244" t="s">
        <v>408</v>
      </c>
      <c r="T221" s="235" t="s">
        <v>825</v>
      </c>
      <c r="U221" s="236" t="s">
        <v>408</v>
      </c>
      <c r="V221" s="237" t="s">
        <v>408</v>
      </c>
      <c r="W221" s="238" t="s">
        <v>408</v>
      </c>
      <c r="X221" s="239" t="s">
        <v>408</v>
      </c>
      <c r="AA221" s="54" t="s">
        <v>1808</v>
      </c>
      <c r="AB221" s="54" t="s">
        <v>660</v>
      </c>
      <c r="AC221" s="54">
        <v>10</v>
      </c>
    </row>
    <row r="222" spans="1:29" ht="20.100000000000001" customHeight="1" x14ac:dyDescent="0.25">
      <c r="A222" s="436"/>
      <c r="B222" s="437"/>
      <c r="D222" s="437"/>
      <c r="F222" s="437"/>
      <c r="Q222" s="232" t="s">
        <v>408</v>
      </c>
      <c r="R222" s="238" t="s">
        <v>408</v>
      </c>
      <c r="S222" s="244" t="s">
        <v>408</v>
      </c>
      <c r="T222" s="235" t="s">
        <v>750</v>
      </c>
      <c r="U222" s="236" t="s">
        <v>408</v>
      </c>
      <c r="V222" s="237" t="s">
        <v>408</v>
      </c>
      <c r="W222" s="238" t="s">
        <v>408</v>
      </c>
      <c r="X222" s="239" t="s">
        <v>408</v>
      </c>
      <c r="AA222" s="54" t="s">
        <v>1809</v>
      </c>
      <c r="AB222" s="54" t="s">
        <v>660</v>
      </c>
      <c r="AC222" s="54">
        <v>10</v>
      </c>
    </row>
    <row r="223" spans="1:29" ht="20.100000000000001" customHeight="1" x14ac:dyDescent="0.25">
      <c r="A223" s="436"/>
      <c r="B223" s="437"/>
      <c r="D223" s="437"/>
      <c r="F223" s="437"/>
      <c r="Q223" s="232" t="s">
        <v>408</v>
      </c>
      <c r="R223" s="238" t="s">
        <v>408</v>
      </c>
      <c r="S223" s="244" t="s">
        <v>408</v>
      </c>
      <c r="T223" s="235" t="s">
        <v>754</v>
      </c>
      <c r="U223" s="236" t="s">
        <v>408</v>
      </c>
      <c r="V223" s="237" t="s">
        <v>408</v>
      </c>
      <c r="W223" s="238" t="s">
        <v>408</v>
      </c>
      <c r="X223" s="239" t="s">
        <v>408</v>
      </c>
      <c r="AA223" s="54" t="s">
        <v>1810</v>
      </c>
      <c r="AB223" s="54" t="s">
        <v>660</v>
      </c>
      <c r="AC223" s="54">
        <v>10</v>
      </c>
    </row>
    <row r="224" spans="1:29" ht="20.100000000000001" customHeight="1" x14ac:dyDescent="0.25">
      <c r="A224" s="436"/>
      <c r="B224" s="437"/>
      <c r="D224" s="437"/>
      <c r="F224" s="437"/>
      <c r="Q224" s="232" t="s">
        <v>408</v>
      </c>
      <c r="R224" s="238" t="s">
        <v>408</v>
      </c>
      <c r="S224" s="244" t="s">
        <v>408</v>
      </c>
      <c r="T224" s="235" t="s">
        <v>826</v>
      </c>
      <c r="U224" s="236">
        <v>1</v>
      </c>
      <c r="V224" s="237" t="s">
        <v>408</v>
      </c>
      <c r="W224" s="238" t="s">
        <v>408</v>
      </c>
      <c r="X224" s="239" t="s">
        <v>408</v>
      </c>
      <c r="AA224" s="54" t="s">
        <v>1811</v>
      </c>
      <c r="AB224" s="54" t="s">
        <v>660</v>
      </c>
      <c r="AC224" s="54">
        <v>10</v>
      </c>
    </row>
    <row r="225" spans="1:29" ht="20.100000000000001" customHeight="1" x14ac:dyDescent="0.25">
      <c r="A225" s="436"/>
      <c r="B225" s="437"/>
      <c r="D225" s="437"/>
      <c r="F225" s="437"/>
      <c r="Q225" s="232" t="s">
        <v>408</v>
      </c>
      <c r="R225" s="238" t="s">
        <v>408</v>
      </c>
      <c r="S225" s="244" t="s">
        <v>408</v>
      </c>
      <c r="T225" s="235" t="s">
        <v>861</v>
      </c>
      <c r="U225" s="236">
        <v>1</v>
      </c>
      <c r="V225" s="237" t="s">
        <v>408</v>
      </c>
      <c r="W225" s="238" t="s">
        <v>408</v>
      </c>
      <c r="X225" s="239" t="s">
        <v>408</v>
      </c>
      <c r="AA225" s="54" t="s">
        <v>1812</v>
      </c>
      <c r="AB225" s="54" t="s">
        <v>660</v>
      </c>
      <c r="AC225" s="54">
        <v>10</v>
      </c>
    </row>
    <row r="226" spans="1:29" ht="20.100000000000001" customHeight="1" x14ac:dyDescent="0.25">
      <c r="A226" s="436"/>
      <c r="B226" s="437"/>
      <c r="D226" s="437"/>
      <c r="F226" s="437"/>
      <c r="Q226" s="232" t="s">
        <v>408</v>
      </c>
      <c r="R226" s="238" t="s">
        <v>408</v>
      </c>
      <c r="S226" s="244" t="s">
        <v>408</v>
      </c>
      <c r="T226" s="235" t="s">
        <v>828</v>
      </c>
      <c r="U226" s="236" t="s">
        <v>408</v>
      </c>
      <c r="V226" s="237" t="s">
        <v>408</v>
      </c>
      <c r="W226" s="238" t="s">
        <v>408</v>
      </c>
      <c r="X226" s="239" t="s">
        <v>408</v>
      </c>
      <c r="AA226" s="54" t="s">
        <v>1813</v>
      </c>
      <c r="AB226" s="54" t="s">
        <v>660</v>
      </c>
      <c r="AC226" s="54">
        <v>10</v>
      </c>
    </row>
    <row r="227" spans="1:29" ht="20.100000000000001" customHeight="1" x14ac:dyDescent="0.25">
      <c r="A227" s="436"/>
      <c r="B227" s="437"/>
      <c r="D227" s="437"/>
      <c r="F227" s="437"/>
      <c r="Q227" s="232" t="s">
        <v>408</v>
      </c>
      <c r="R227" s="238" t="s">
        <v>408</v>
      </c>
      <c r="S227" s="244" t="s">
        <v>408</v>
      </c>
      <c r="T227" s="235" t="s">
        <v>939</v>
      </c>
      <c r="U227" s="236">
        <v>1</v>
      </c>
      <c r="V227" s="237" t="s">
        <v>408</v>
      </c>
      <c r="W227" s="238" t="s">
        <v>408</v>
      </c>
      <c r="X227" s="239" t="s">
        <v>408</v>
      </c>
      <c r="AA227" s="54" t="s">
        <v>1814</v>
      </c>
      <c r="AB227" s="54" t="s">
        <v>660</v>
      </c>
      <c r="AC227" s="54">
        <v>10</v>
      </c>
    </row>
    <row r="228" spans="1:29" ht="20.100000000000001" customHeight="1" x14ac:dyDescent="0.25">
      <c r="A228" s="436"/>
      <c r="B228" s="437"/>
      <c r="D228" s="437"/>
      <c r="F228" s="437"/>
      <c r="Q228" s="232" t="s">
        <v>408</v>
      </c>
      <c r="R228" s="238" t="s">
        <v>408</v>
      </c>
      <c r="S228" s="244" t="s">
        <v>408</v>
      </c>
      <c r="T228" s="235" t="s">
        <v>831</v>
      </c>
      <c r="U228" s="236" t="s">
        <v>408</v>
      </c>
      <c r="V228" s="237" t="s">
        <v>408</v>
      </c>
      <c r="W228" s="238" t="s">
        <v>408</v>
      </c>
      <c r="X228" s="239" t="s">
        <v>408</v>
      </c>
      <c r="AA228" s="54" t="s">
        <v>1815</v>
      </c>
      <c r="AB228" s="54" t="s">
        <v>660</v>
      </c>
      <c r="AC228" s="54">
        <v>10</v>
      </c>
    </row>
    <row r="229" spans="1:29" ht="20.100000000000001" customHeight="1" x14ac:dyDescent="0.25">
      <c r="A229" s="436"/>
      <c r="B229" s="437"/>
      <c r="D229" s="437"/>
      <c r="F229" s="437"/>
      <c r="Q229" s="232" t="s">
        <v>408</v>
      </c>
      <c r="R229" s="238" t="s">
        <v>408</v>
      </c>
      <c r="S229" s="244" t="s">
        <v>408</v>
      </c>
      <c r="T229" s="235" t="s">
        <v>832</v>
      </c>
      <c r="U229" s="236">
        <v>1</v>
      </c>
      <c r="V229" s="237" t="s">
        <v>408</v>
      </c>
      <c r="W229" s="238" t="s">
        <v>408</v>
      </c>
      <c r="X229" s="239" t="s">
        <v>408</v>
      </c>
      <c r="AA229" s="54" t="s">
        <v>1816</v>
      </c>
      <c r="AB229" s="54" t="s">
        <v>660</v>
      </c>
      <c r="AC229" s="54">
        <v>10</v>
      </c>
    </row>
    <row r="230" spans="1:29" ht="20.100000000000001" customHeight="1" x14ac:dyDescent="0.25">
      <c r="A230" s="436"/>
      <c r="B230" s="437"/>
      <c r="D230" s="437"/>
      <c r="F230" s="437"/>
      <c r="Q230" s="232" t="s">
        <v>408</v>
      </c>
      <c r="R230" s="238" t="s">
        <v>408</v>
      </c>
      <c r="S230" s="244" t="s">
        <v>408</v>
      </c>
      <c r="T230" s="235" t="s">
        <v>833</v>
      </c>
      <c r="U230" s="236" t="s">
        <v>408</v>
      </c>
      <c r="V230" s="237" t="s">
        <v>408</v>
      </c>
      <c r="W230" s="238" t="s">
        <v>408</v>
      </c>
      <c r="X230" s="239" t="s">
        <v>408</v>
      </c>
      <c r="AA230" s="54" t="s">
        <v>1817</v>
      </c>
      <c r="AB230" s="54" t="s">
        <v>660</v>
      </c>
      <c r="AC230" s="54">
        <v>10</v>
      </c>
    </row>
    <row r="231" spans="1:29" ht="20.100000000000001" customHeight="1" x14ac:dyDescent="0.25">
      <c r="A231" s="436"/>
      <c r="B231" s="437"/>
      <c r="D231" s="437"/>
      <c r="F231" s="437"/>
      <c r="Q231" s="232" t="s">
        <v>408</v>
      </c>
      <c r="R231" s="238" t="s">
        <v>408</v>
      </c>
      <c r="S231" s="244" t="s">
        <v>408</v>
      </c>
      <c r="T231" s="235" t="s">
        <v>862</v>
      </c>
      <c r="U231" s="236">
        <v>1</v>
      </c>
      <c r="V231" s="237" t="s">
        <v>408</v>
      </c>
      <c r="W231" s="238" t="s">
        <v>408</v>
      </c>
      <c r="X231" s="239" t="s">
        <v>408</v>
      </c>
      <c r="AA231" s="54" t="s">
        <v>1818</v>
      </c>
      <c r="AB231" s="54" t="s">
        <v>679</v>
      </c>
      <c r="AC231" s="54">
        <v>7</v>
      </c>
    </row>
    <row r="232" spans="1:29" ht="20.100000000000001" customHeight="1" x14ac:dyDescent="0.25">
      <c r="A232" s="436"/>
      <c r="B232" s="437"/>
      <c r="D232" s="437"/>
      <c r="F232" s="437"/>
      <c r="Q232" s="232" t="s">
        <v>408</v>
      </c>
      <c r="R232" s="238" t="s">
        <v>408</v>
      </c>
      <c r="S232" s="244" t="s">
        <v>408</v>
      </c>
      <c r="T232" s="235" t="s">
        <v>831</v>
      </c>
      <c r="U232" s="236" t="s">
        <v>408</v>
      </c>
      <c r="V232" s="237" t="s">
        <v>408</v>
      </c>
      <c r="W232" s="238" t="s">
        <v>408</v>
      </c>
      <c r="X232" s="239" t="s">
        <v>408</v>
      </c>
      <c r="AA232" s="54" t="s">
        <v>1819</v>
      </c>
      <c r="AB232" s="54" t="s">
        <v>679</v>
      </c>
      <c r="AC232" s="54">
        <v>7</v>
      </c>
    </row>
    <row r="233" spans="1:29" ht="20.100000000000001" customHeight="1" x14ac:dyDescent="0.25">
      <c r="A233" s="436"/>
      <c r="B233" s="437"/>
      <c r="D233" s="437"/>
      <c r="F233" s="437"/>
      <c r="Q233" s="232" t="s">
        <v>408</v>
      </c>
      <c r="R233" s="238" t="s">
        <v>408</v>
      </c>
      <c r="S233" s="244" t="s">
        <v>408</v>
      </c>
      <c r="T233" s="235" t="s">
        <v>940</v>
      </c>
      <c r="U233" s="236">
        <v>1</v>
      </c>
      <c r="V233" s="237" t="s">
        <v>408</v>
      </c>
      <c r="W233" s="238" t="s">
        <v>408</v>
      </c>
      <c r="X233" s="239" t="s">
        <v>408</v>
      </c>
      <c r="AA233" s="54" t="s">
        <v>1820</v>
      </c>
      <c r="AB233" s="54" t="s">
        <v>679</v>
      </c>
      <c r="AC233" s="54">
        <v>7</v>
      </c>
    </row>
    <row r="234" spans="1:29" ht="20.100000000000001" customHeight="1" x14ac:dyDescent="0.25">
      <c r="A234" s="436"/>
      <c r="B234" s="437"/>
      <c r="D234" s="437"/>
      <c r="F234" s="437"/>
      <c r="Q234" s="232"/>
      <c r="R234" s="238"/>
      <c r="S234" s="244"/>
      <c r="T234" s="235"/>
      <c r="U234" s="236"/>
      <c r="V234" s="237"/>
      <c r="W234" s="238"/>
      <c r="X234" s="239"/>
      <c r="AA234" s="54" t="s">
        <v>1821</v>
      </c>
      <c r="AB234" s="54" t="s">
        <v>679</v>
      </c>
      <c r="AC234" s="54">
        <v>7</v>
      </c>
    </row>
    <row r="235" spans="1:29" ht="20.100000000000001" customHeight="1" x14ac:dyDescent="0.25">
      <c r="A235" s="436"/>
      <c r="B235" s="437"/>
      <c r="D235" s="437"/>
      <c r="F235" s="437"/>
      <c r="Q235" s="232" t="s">
        <v>408</v>
      </c>
      <c r="R235" s="238" t="s">
        <v>408</v>
      </c>
      <c r="S235" s="244" t="s">
        <v>408</v>
      </c>
      <c r="T235" s="235" t="s">
        <v>834</v>
      </c>
      <c r="U235" s="236" t="s">
        <v>408</v>
      </c>
      <c r="V235" s="237" t="s">
        <v>408</v>
      </c>
      <c r="W235" s="238" t="s">
        <v>408</v>
      </c>
      <c r="X235" s="239" t="s">
        <v>408</v>
      </c>
      <c r="AA235" s="54" t="s">
        <v>1822</v>
      </c>
      <c r="AB235" s="54" t="s">
        <v>679</v>
      </c>
      <c r="AC235" s="54">
        <v>7</v>
      </c>
    </row>
    <row r="236" spans="1:29" ht="20.100000000000001" customHeight="1" x14ac:dyDescent="0.25">
      <c r="A236" s="436"/>
      <c r="B236" s="437"/>
      <c r="D236" s="437"/>
      <c r="F236" s="437"/>
      <c r="Q236" s="232" t="s">
        <v>408</v>
      </c>
      <c r="R236" s="238" t="s">
        <v>408</v>
      </c>
      <c r="S236" s="244" t="s">
        <v>408</v>
      </c>
      <c r="T236" s="235" t="s">
        <v>864</v>
      </c>
      <c r="U236" s="236">
        <v>1</v>
      </c>
      <c r="V236" s="237" t="s">
        <v>408</v>
      </c>
      <c r="W236" s="238" t="s">
        <v>408</v>
      </c>
      <c r="X236" s="239" t="s">
        <v>408</v>
      </c>
      <c r="AA236" s="54" t="s">
        <v>1774</v>
      </c>
      <c r="AB236" s="54" t="s">
        <v>679</v>
      </c>
      <c r="AC236" s="54">
        <v>7</v>
      </c>
    </row>
    <row r="237" spans="1:29" ht="20.100000000000001" customHeight="1" x14ac:dyDescent="0.25">
      <c r="A237" s="436"/>
      <c r="B237" s="437"/>
      <c r="D237" s="437"/>
      <c r="F237" s="437"/>
      <c r="Q237" s="232" t="s">
        <v>408</v>
      </c>
      <c r="R237" s="238" t="s">
        <v>408</v>
      </c>
      <c r="S237" s="244" t="s">
        <v>408</v>
      </c>
      <c r="T237" s="235" t="s">
        <v>941</v>
      </c>
      <c r="U237" s="236">
        <v>1</v>
      </c>
      <c r="V237" s="237" t="s">
        <v>408</v>
      </c>
      <c r="W237" s="238" t="s">
        <v>408</v>
      </c>
      <c r="X237" s="239" t="s">
        <v>408</v>
      </c>
      <c r="AA237" s="54" t="s">
        <v>1823</v>
      </c>
      <c r="AB237" s="54" t="s">
        <v>679</v>
      </c>
      <c r="AC237" s="54">
        <v>7</v>
      </c>
    </row>
    <row r="238" spans="1:29" ht="20.100000000000001" customHeight="1" x14ac:dyDescent="0.25">
      <c r="A238" s="436"/>
      <c r="B238" s="437"/>
      <c r="D238" s="437"/>
      <c r="F238" s="437"/>
      <c r="Q238" s="232" t="s">
        <v>408</v>
      </c>
      <c r="R238" s="238" t="s">
        <v>408</v>
      </c>
      <c r="S238" s="244" t="s">
        <v>408</v>
      </c>
      <c r="T238" s="235" t="s">
        <v>942</v>
      </c>
      <c r="U238" s="236" t="s">
        <v>408</v>
      </c>
      <c r="V238" s="237" t="s">
        <v>408</v>
      </c>
      <c r="W238" s="238" t="s">
        <v>408</v>
      </c>
      <c r="X238" s="239" t="s">
        <v>408</v>
      </c>
      <c r="AA238" s="54" t="s">
        <v>1824</v>
      </c>
      <c r="AB238" s="54" t="s">
        <v>686</v>
      </c>
      <c r="AC238" s="54">
        <v>16</v>
      </c>
    </row>
    <row r="239" spans="1:29" ht="20.100000000000001" customHeight="1" x14ac:dyDescent="0.25">
      <c r="A239" s="436"/>
      <c r="B239" s="437"/>
      <c r="D239" s="437"/>
      <c r="F239" s="437"/>
      <c r="Q239" s="232" t="s">
        <v>408</v>
      </c>
      <c r="R239" s="238" t="s">
        <v>408</v>
      </c>
      <c r="S239" s="244" t="s">
        <v>408</v>
      </c>
      <c r="T239" s="235" t="s">
        <v>908</v>
      </c>
      <c r="U239" s="236">
        <v>1</v>
      </c>
      <c r="V239" s="237" t="s">
        <v>408</v>
      </c>
      <c r="W239" s="238" t="s">
        <v>408</v>
      </c>
      <c r="X239" s="239" t="s">
        <v>408</v>
      </c>
      <c r="AA239" s="54" t="s">
        <v>1825</v>
      </c>
      <c r="AB239" s="54" t="s">
        <v>686</v>
      </c>
      <c r="AC239" s="54">
        <v>16</v>
      </c>
    </row>
    <row r="240" spans="1:29" ht="20.100000000000001" customHeight="1" x14ac:dyDescent="0.25">
      <c r="A240" s="436"/>
      <c r="B240" s="437"/>
      <c r="D240" s="437"/>
      <c r="F240" s="437"/>
      <c r="Q240" s="232" t="s">
        <v>408</v>
      </c>
      <c r="R240" s="238" t="s">
        <v>408</v>
      </c>
      <c r="S240" s="244" t="s">
        <v>408</v>
      </c>
      <c r="T240" s="235" t="s">
        <v>909</v>
      </c>
      <c r="U240" s="236" t="s">
        <v>408</v>
      </c>
      <c r="V240" s="237" t="s">
        <v>408</v>
      </c>
      <c r="W240" s="238" t="s">
        <v>408</v>
      </c>
      <c r="X240" s="239" t="s">
        <v>408</v>
      </c>
      <c r="AA240" s="54" t="s">
        <v>1826</v>
      </c>
      <c r="AB240" s="54" t="s">
        <v>686</v>
      </c>
      <c r="AC240" s="54">
        <v>16</v>
      </c>
    </row>
    <row r="241" spans="1:29" ht="20.100000000000001" customHeight="1" x14ac:dyDescent="0.25">
      <c r="A241" s="436"/>
      <c r="B241" s="437"/>
      <c r="D241" s="437"/>
      <c r="F241" s="437"/>
      <c r="Q241" s="232" t="s">
        <v>408</v>
      </c>
      <c r="R241" s="238" t="s">
        <v>408</v>
      </c>
      <c r="S241" s="244" t="s">
        <v>408</v>
      </c>
      <c r="T241" s="235" t="s">
        <v>408</v>
      </c>
      <c r="U241" s="236" t="s">
        <v>408</v>
      </c>
      <c r="V241" s="237" t="s">
        <v>408</v>
      </c>
      <c r="W241" s="238" t="s">
        <v>408</v>
      </c>
      <c r="X241" s="239" t="s">
        <v>408</v>
      </c>
      <c r="AA241" s="54" t="s">
        <v>1827</v>
      </c>
      <c r="AB241" s="54" t="s">
        <v>686</v>
      </c>
      <c r="AC241" s="54">
        <v>16</v>
      </c>
    </row>
    <row r="242" spans="1:29" ht="20.100000000000001" customHeight="1" x14ac:dyDescent="0.25">
      <c r="A242" s="436"/>
      <c r="B242" s="437"/>
      <c r="D242" s="437"/>
      <c r="F242" s="437"/>
      <c r="Q242" s="232" t="s">
        <v>408</v>
      </c>
      <c r="R242" s="238" t="s">
        <v>408</v>
      </c>
      <c r="S242" s="244" t="s">
        <v>408</v>
      </c>
      <c r="T242" s="235" t="s">
        <v>840</v>
      </c>
      <c r="U242" s="236" t="s">
        <v>408</v>
      </c>
      <c r="V242" s="237" t="s">
        <v>408</v>
      </c>
      <c r="W242" s="238" t="s">
        <v>408</v>
      </c>
      <c r="X242" s="239" t="s">
        <v>408</v>
      </c>
      <c r="AA242" s="54" t="s">
        <v>1828</v>
      </c>
      <c r="AB242" s="54" t="s">
        <v>686</v>
      </c>
      <c r="AC242" s="54">
        <v>16</v>
      </c>
    </row>
    <row r="243" spans="1:29" ht="20.100000000000001" customHeight="1" x14ac:dyDescent="0.25">
      <c r="A243" s="436"/>
      <c r="B243" s="437"/>
      <c r="D243" s="437"/>
      <c r="F243" s="437"/>
      <c r="Q243" s="232" t="s">
        <v>408</v>
      </c>
      <c r="R243" s="238" t="s">
        <v>408</v>
      </c>
      <c r="S243" s="244" t="s">
        <v>408</v>
      </c>
      <c r="T243" s="235" t="s">
        <v>841</v>
      </c>
      <c r="U243" s="236" t="s">
        <v>408</v>
      </c>
      <c r="V243" s="237" t="s">
        <v>408</v>
      </c>
      <c r="W243" s="238" t="s">
        <v>408</v>
      </c>
      <c r="X243" s="239" t="s">
        <v>408</v>
      </c>
      <c r="AA243" s="54" t="s">
        <v>1829</v>
      </c>
      <c r="AB243" s="54" t="s">
        <v>686</v>
      </c>
      <c r="AC243" s="54">
        <v>16</v>
      </c>
    </row>
    <row r="244" spans="1:29" ht="20.100000000000001" customHeight="1" x14ac:dyDescent="0.25">
      <c r="A244" s="436"/>
      <c r="B244" s="437"/>
      <c r="D244" s="437"/>
      <c r="F244" s="437"/>
      <c r="Q244" s="232" t="s">
        <v>408</v>
      </c>
      <c r="R244" s="238" t="s">
        <v>408</v>
      </c>
      <c r="S244" s="244" t="s">
        <v>408</v>
      </c>
      <c r="T244" s="235" t="s">
        <v>794</v>
      </c>
      <c r="U244" s="236" t="s">
        <v>408</v>
      </c>
      <c r="V244" s="237" t="s">
        <v>408</v>
      </c>
      <c r="W244" s="238" t="s">
        <v>408</v>
      </c>
      <c r="X244" s="239" t="s">
        <v>408</v>
      </c>
      <c r="AA244" s="54" t="s">
        <v>1830</v>
      </c>
      <c r="AB244" s="54" t="s">
        <v>686</v>
      </c>
      <c r="AC244" s="54">
        <v>16</v>
      </c>
    </row>
    <row r="245" spans="1:29" ht="20.100000000000001" customHeight="1" x14ac:dyDescent="0.25">
      <c r="A245" s="436"/>
      <c r="B245" s="437"/>
      <c r="D245" s="437"/>
      <c r="F245" s="437"/>
      <c r="Q245" s="232" t="s">
        <v>408</v>
      </c>
      <c r="R245" s="238" t="s">
        <v>408</v>
      </c>
      <c r="S245" s="244" t="s">
        <v>408</v>
      </c>
      <c r="T245" s="235" t="s">
        <v>843</v>
      </c>
      <c r="U245" s="236">
        <v>1</v>
      </c>
      <c r="V245" s="237" t="s">
        <v>408</v>
      </c>
      <c r="W245" s="238" t="s">
        <v>408</v>
      </c>
      <c r="X245" s="239" t="s">
        <v>408</v>
      </c>
      <c r="AA245" s="54" t="s">
        <v>1831</v>
      </c>
      <c r="AB245" s="54" t="s">
        <v>686</v>
      </c>
      <c r="AC245" s="54">
        <v>16</v>
      </c>
    </row>
    <row r="246" spans="1:29" ht="20.100000000000001" customHeight="1" x14ac:dyDescent="0.25">
      <c r="A246" s="436"/>
      <c r="B246" s="437"/>
      <c r="D246" s="437"/>
      <c r="F246" s="437"/>
      <c r="Q246" s="232" t="s">
        <v>408</v>
      </c>
      <c r="R246" s="238" t="s">
        <v>408</v>
      </c>
      <c r="S246" s="244" t="s">
        <v>408</v>
      </c>
      <c r="T246" s="235" t="s">
        <v>943</v>
      </c>
      <c r="U246" s="236">
        <v>1</v>
      </c>
      <c r="V246" s="237" t="s">
        <v>408</v>
      </c>
      <c r="W246" s="238" t="s">
        <v>408</v>
      </c>
      <c r="X246" s="239" t="s">
        <v>408</v>
      </c>
      <c r="AA246" s="54" t="s">
        <v>1832</v>
      </c>
      <c r="AB246" s="54" t="s">
        <v>691</v>
      </c>
      <c r="AC246" s="54">
        <v>18</v>
      </c>
    </row>
    <row r="247" spans="1:29" ht="20.100000000000001" customHeight="1" x14ac:dyDescent="0.25">
      <c r="A247" s="436"/>
      <c r="B247" s="437"/>
      <c r="D247" s="437"/>
      <c r="F247" s="437"/>
      <c r="Q247" s="232" t="s">
        <v>408</v>
      </c>
      <c r="R247" s="238" t="s">
        <v>408</v>
      </c>
      <c r="S247" s="244" t="s">
        <v>408</v>
      </c>
      <c r="T247" s="235" t="s">
        <v>844</v>
      </c>
      <c r="U247" s="236">
        <v>1</v>
      </c>
      <c r="V247" s="237" t="s">
        <v>408</v>
      </c>
      <c r="W247" s="238" t="s">
        <v>408</v>
      </c>
      <c r="X247" s="239" t="s">
        <v>408</v>
      </c>
      <c r="AA247" s="54" t="s">
        <v>1833</v>
      </c>
      <c r="AB247" s="54" t="s">
        <v>691</v>
      </c>
      <c r="AC247" s="54">
        <v>18</v>
      </c>
    </row>
    <row r="248" spans="1:29" ht="20.100000000000001" customHeight="1" x14ac:dyDescent="0.25">
      <c r="A248" s="436"/>
      <c r="B248" s="437"/>
      <c r="D248" s="437"/>
      <c r="F248" s="437"/>
      <c r="Q248" s="232" t="s">
        <v>408</v>
      </c>
      <c r="R248" s="238" t="s">
        <v>408</v>
      </c>
      <c r="S248" s="244" t="s">
        <v>408</v>
      </c>
      <c r="T248" s="235" t="s">
        <v>845</v>
      </c>
      <c r="U248" s="236">
        <v>1</v>
      </c>
      <c r="V248" s="237" t="s">
        <v>408</v>
      </c>
      <c r="W248" s="238" t="s">
        <v>408</v>
      </c>
      <c r="X248" s="239" t="s">
        <v>408</v>
      </c>
      <c r="AA248" s="54" t="s">
        <v>1834</v>
      </c>
      <c r="AB248" s="54" t="s">
        <v>691</v>
      </c>
      <c r="AC248" s="54">
        <v>18</v>
      </c>
    </row>
    <row r="249" spans="1:29" ht="20.100000000000001" customHeight="1" x14ac:dyDescent="0.25">
      <c r="A249" s="436"/>
      <c r="B249" s="437"/>
      <c r="D249" s="437"/>
      <c r="F249" s="437"/>
      <c r="Q249" s="232"/>
      <c r="R249" s="238"/>
      <c r="S249" s="245"/>
      <c r="T249" s="235" t="s">
        <v>846</v>
      </c>
      <c r="U249" s="246"/>
      <c r="V249" s="237"/>
      <c r="W249" s="238"/>
      <c r="X249" s="239"/>
      <c r="AA249" s="54" t="s">
        <v>1835</v>
      </c>
      <c r="AB249" s="54" t="s">
        <v>691</v>
      </c>
      <c r="AC249" s="54">
        <v>18</v>
      </c>
    </row>
    <row r="250" spans="1:29" ht="20.100000000000001" customHeight="1" x14ac:dyDescent="0.25">
      <c r="A250" s="436"/>
      <c r="B250" s="437"/>
      <c r="D250" s="437"/>
      <c r="F250" s="437"/>
      <c r="Q250" s="247"/>
      <c r="R250" s="248"/>
      <c r="S250" s="265"/>
      <c r="T250" s="266"/>
      <c r="U250" s="267"/>
      <c r="V250" s="252"/>
      <c r="W250" s="248"/>
      <c r="X250" s="253"/>
      <c r="AA250" s="54" t="s">
        <v>1836</v>
      </c>
      <c r="AB250" s="54" t="s">
        <v>691</v>
      </c>
      <c r="AC250" s="54">
        <v>18</v>
      </c>
    </row>
    <row r="251" spans="1:29" ht="20.100000000000001" customHeight="1" x14ac:dyDescent="0.25">
      <c r="A251" s="436"/>
      <c r="B251" s="437"/>
      <c r="D251" s="437"/>
      <c r="F251" s="437"/>
      <c r="Q251" s="232" t="s">
        <v>944</v>
      </c>
      <c r="R251" s="225"/>
      <c r="S251" s="262" t="s">
        <v>945</v>
      </c>
      <c r="T251" s="235" t="s">
        <v>746</v>
      </c>
      <c r="U251" s="236" t="s">
        <v>408</v>
      </c>
      <c r="V251" s="237" t="s">
        <v>747</v>
      </c>
      <c r="W251" s="238">
        <v>15</v>
      </c>
      <c r="X251" s="239" t="s">
        <v>760</v>
      </c>
      <c r="AA251" s="54" t="s">
        <v>1837</v>
      </c>
      <c r="AB251" s="54" t="s">
        <v>691</v>
      </c>
      <c r="AC251" s="54">
        <v>18</v>
      </c>
    </row>
    <row r="252" spans="1:29" ht="20.100000000000001" customHeight="1" x14ac:dyDescent="0.25">
      <c r="A252" s="436"/>
      <c r="B252" s="437"/>
      <c r="D252" s="437"/>
      <c r="F252" s="437"/>
      <c r="Q252" s="232" t="s">
        <v>408</v>
      </c>
      <c r="R252" s="225"/>
      <c r="S252" s="262" t="s">
        <v>946</v>
      </c>
      <c r="T252" s="235" t="s">
        <v>750</v>
      </c>
      <c r="U252" s="236" t="s">
        <v>408</v>
      </c>
      <c r="V252" s="237" t="s">
        <v>751</v>
      </c>
      <c r="W252" s="238"/>
      <c r="X252" s="239" t="s">
        <v>776</v>
      </c>
      <c r="AA252" s="54" t="s">
        <v>1838</v>
      </c>
      <c r="AB252" s="54" t="s">
        <v>691</v>
      </c>
      <c r="AC252" s="54">
        <v>18</v>
      </c>
    </row>
    <row r="253" spans="1:29" ht="20.100000000000001" customHeight="1" x14ac:dyDescent="0.25">
      <c r="A253" s="436"/>
      <c r="B253" s="437"/>
      <c r="D253" s="437"/>
      <c r="F253" s="437"/>
      <c r="Q253" s="232" t="s">
        <v>408</v>
      </c>
      <c r="R253" s="225"/>
      <c r="S253" s="262" t="s">
        <v>947</v>
      </c>
      <c r="T253" s="235" t="s">
        <v>754</v>
      </c>
      <c r="U253" s="236" t="s">
        <v>408</v>
      </c>
      <c r="V253" s="237" t="s">
        <v>896</v>
      </c>
      <c r="W253" s="238"/>
      <c r="X253" s="239" t="s">
        <v>779</v>
      </c>
      <c r="AA253" s="54" t="s">
        <v>1839</v>
      </c>
      <c r="AB253" s="54" t="s">
        <v>691</v>
      </c>
      <c r="AC253" s="54">
        <v>18</v>
      </c>
    </row>
    <row r="254" spans="1:29" ht="20.100000000000001" customHeight="1" x14ac:dyDescent="0.25">
      <c r="A254" s="436"/>
      <c r="B254" s="437"/>
      <c r="D254" s="437"/>
      <c r="F254" s="437"/>
      <c r="Q254" s="232" t="s">
        <v>408</v>
      </c>
      <c r="R254" s="225"/>
      <c r="S254" s="262" t="s">
        <v>948</v>
      </c>
      <c r="T254" s="235" t="s">
        <v>758</v>
      </c>
      <c r="U254" s="236">
        <v>2</v>
      </c>
      <c r="V254" s="237" t="s">
        <v>771</v>
      </c>
      <c r="W254" s="238"/>
      <c r="X254" s="239" t="s">
        <v>949</v>
      </c>
      <c r="AA254" s="54" t="s">
        <v>1840</v>
      </c>
      <c r="AB254" s="54" t="s">
        <v>691</v>
      </c>
      <c r="AC254" s="54">
        <v>18</v>
      </c>
    </row>
    <row r="255" spans="1:29" ht="20.100000000000001" customHeight="1" x14ac:dyDescent="0.25">
      <c r="A255" s="436"/>
      <c r="B255" s="437"/>
      <c r="D255" s="437"/>
      <c r="F255" s="437"/>
      <c r="Q255" s="232" t="s">
        <v>408</v>
      </c>
      <c r="R255" s="268"/>
      <c r="S255" s="269" t="s">
        <v>950</v>
      </c>
      <c r="T255" s="235" t="s">
        <v>762</v>
      </c>
      <c r="U255" s="236">
        <v>1</v>
      </c>
      <c r="V255" s="237" t="s">
        <v>767</v>
      </c>
      <c r="W255" s="238"/>
      <c r="X255" s="239" t="s">
        <v>764</v>
      </c>
      <c r="AA255" s="54" t="s">
        <v>1841</v>
      </c>
      <c r="AB255" s="54" t="s">
        <v>691</v>
      </c>
      <c r="AC255" s="54">
        <v>18</v>
      </c>
    </row>
    <row r="256" spans="1:29" ht="20.100000000000001" customHeight="1" x14ac:dyDescent="0.25">
      <c r="A256" s="436"/>
      <c r="B256" s="437"/>
      <c r="D256" s="437"/>
      <c r="F256" s="437"/>
      <c r="Q256" s="232" t="s">
        <v>408</v>
      </c>
      <c r="R256" s="238" t="s">
        <v>951</v>
      </c>
      <c r="S256" s="244" t="s">
        <v>952</v>
      </c>
      <c r="T256" s="235" t="s">
        <v>766</v>
      </c>
      <c r="U256" s="236">
        <v>1</v>
      </c>
      <c r="V256" s="237" t="s">
        <v>408</v>
      </c>
      <c r="W256" s="238"/>
      <c r="X256" s="239" t="s">
        <v>408</v>
      </c>
      <c r="AA256" s="54" t="s">
        <v>1842</v>
      </c>
      <c r="AB256" s="54" t="s">
        <v>691</v>
      </c>
      <c r="AC256" s="54">
        <v>18</v>
      </c>
    </row>
    <row r="257" spans="1:29" ht="20.100000000000001" customHeight="1" x14ac:dyDescent="0.25">
      <c r="A257" s="436"/>
      <c r="B257" s="437"/>
      <c r="D257" s="437"/>
      <c r="F257" s="437"/>
      <c r="Q257" s="232" t="s">
        <v>408</v>
      </c>
      <c r="R257" s="238" t="s">
        <v>408</v>
      </c>
      <c r="S257" s="244" t="s">
        <v>953</v>
      </c>
      <c r="T257" s="235" t="s">
        <v>781</v>
      </c>
      <c r="U257" s="236">
        <v>1</v>
      </c>
      <c r="V257" s="237" t="s">
        <v>785</v>
      </c>
      <c r="W257" s="238"/>
      <c r="X257" s="239" t="s">
        <v>408</v>
      </c>
      <c r="AA257" s="54" t="s">
        <v>1843</v>
      </c>
      <c r="AB257" s="54" t="s">
        <v>691</v>
      </c>
      <c r="AC257" s="54">
        <v>18</v>
      </c>
    </row>
    <row r="258" spans="1:29" ht="20.100000000000001" customHeight="1" x14ac:dyDescent="0.25">
      <c r="A258" s="436"/>
      <c r="B258" s="437"/>
      <c r="D258" s="437"/>
      <c r="F258" s="437"/>
      <c r="Q258" s="232" t="s">
        <v>408</v>
      </c>
      <c r="R258" s="238" t="s">
        <v>954</v>
      </c>
      <c r="S258" s="244" t="s">
        <v>955</v>
      </c>
      <c r="T258" s="235" t="s">
        <v>956</v>
      </c>
      <c r="U258" s="236">
        <v>1</v>
      </c>
      <c r="V258" s="237" t="s">
        <v>788</v>
      </c>
      <c r="W258" s="238"/>
      <c r="X258" s="239" t="s">
        <v>408</v>
      </c>
      <c r="AA258" s="54" t="s">
        <v>1844</v>
      </c>
      <c r="AB258" s="54" t="s">
        <v>691</v>
      </c>
      <c r="AC258" s="54">
        <v>18</v>
      </c>
    </row>
    <row r="259" spans="1:29" ht="20.100000000000001" customHeight="1" x14ac:dyDescent="0.25">
      <c r="A259" s="436"/>
      <c r="B259" s="437"/>
      <c r="D259" s="437"/>
      <c r="F259" s="437"/>
      <c r="Q259" s="232" t="s">
        <v>408</v>
      </c>
      <c r="R259" s="238"/>
      <c r="S259" s="244" t="s">
        <v>957</v>
      </c>
      <c r="T259" s="235" t="s">
        <v>774</v>
      </c>
      <c r="U259" s="236">
        <v>1</v>
      </c>
      <c r="V259" s="237" t="s">
        <v>791</v>
      </c>
      <c r="W259" s="238"/>
      <c r="X259" s="239" t="s">
        <v>408</v>
      </c>
      <c r="AA259" s="54" t="s">
        <v>1845</v>
      </c>
      <c r="AB259" s="54" t="s">
        <v>691</v>
      </c>
      <c r="AC259" s="54">
        <v>18</v>
      </c>
    </row>
    <row r="260" spans="1:29" ht="20.100000000000001" customHeight="1" x14ac:dyDescent="0.25">
      <c r="A260" s="436"/>
      <c r="B260" s="437"/>
      <c r="D260" s="437"/>
      <c r="F260" s="437"/>
      <c r="Q260" s="232" t="s">
        <v>408</v>
      </c>
      <c r="R260" s="238" t="s">
        <v>958</v>
      </c>
      <c r="S260" s="244" t="s">
        <v>959</v>
      </c>
      <c r="T260" s="235" t="s">
        <v>778</v>
      </c>
      <c r="U260" s="236">
        <v>1</v>
      </c>
      <c r="V260" s="237" t="s">
        <v>794</v>
      </c>
      <c r="W260" s="238"/>
      <c r="X260" s="239" t="s">
        <v>408</v>
      </c>
      <c r="AA260" s="54" t="s">
        <v>1846</v>
      </c>
      <c r="AB260" s="54" t="s">
        <v>691</v>
      </c>
      <c r="AC260" s="54">
        <v>18</v>
      </c>
    </row>
    <row r="261" spans="1:29" ht="20.100000000000001" customHeight="1" x14ac:dyDescent="0.25">
      <c r="A261" s="436"/>
      <c r="B261" s="437"/>
      <c r="D261" s="437"/>
      <c r="F261" s="437"/>
      <c r="Q261" s="232" t="s">
        <v>408</v>
      </c>
      <c r="R261" s="238"/>
      <c r="S261" s="244" t="s">
        <v>960</v>
      </c>
      <c r="T261" s="235" t="s">
        <v>961</v>
      </c>
      <c r="U261" s="236">
        <v>1</v>
      </c>
      <c r="V261" s="237" t="s">
        <v>962</v>
      </c>
      <c r="W261" s="238"/>
      <c r="X261" s="239" t="s">
        <v>408</v>
      </c>
      <c r="AA261" s="54" t="s">
        <v>1847</v>
      </c>
      <c r="AB261" s="54" t="s">
        <v>691</v>
      </c>
      <c r="AC261" s="54">
        <v>18</v>
      </c>
    </row>
    <row r="262" spans="1:29" ht="20.100000000000001" customHeight="1" x14ac:dyDescent="0.25">
      <c r="A262" s="436"/>
      <c r="B262" s="437"/>
      <c r="D262" s="437"/>
      <c r="F262" s="437"/>
      <c r="Q262" s="232" t="s">
        <v>408</v>
      </c>
      <c r="R262" s="238"/>
      <c r="S262" s="244" t="s">
        <v>963</v>
      </c>
      <c r="T262" s="235" t="s">
        <v>964</v>
      </c>
      <c r="U262" s="236" t="s">
        <v>408</v>
      </c>
      <c r="V262" s="237" t="s">
        <v>853</v>
      </c>
      <c r="W262" s="238"/>
      <c r="X262" s="239" t="s">
        <v>408</v>
      </c>
      <c r="AA262" s="54" t="s">
        <v>1848</v>
      </c>
      <c r="AB262" s="54" t="s">
        <v>691</v>
      </c>
      <c r="AC262" s="54">
        <v>18</v>
      </c>
    </row>
    <row r="263" spans="1:29" ht="20.100000000000001" customHeight="1" x14ac:dyDescent="0.25">
      <c r="A263" s="436"/>
      <c r="B263" s="437"/>
      <c r="D263" s="437"/>
      <c r="F263" s="437"/>
      <c r="Q263" s="232" t="s">
        <v>408</v>
      </c>
      <c r="R263" s="238" t="s">
        <v>408</v>
      </c>
      <c r="S263" s="244" t="s">
        <v>965</v>
      </c>
      <c r="T263" s="235" t="s">
        <v>784</v>
      </c>
      <c r="U263" s="236">
        <v>1</v>
      </c>
      <c r="V263" s="237"/>
      <c r="W263" s="238"/>
      <c r="X263" s="239" t="s">
        <v>408</v>
      </c>
      <c r="AA263" s="54" t="s">
        <v>1849</v>
      </c>
      <c r="AB263" s="54" t="s">
        <v>691</v>
      </c>
      <c r="AC263" s="54">
        <v>18</v>
      </c>
    </row>
    <row r="264" spans="1:29" ht="20.100000000000001" customHeight="1" x14ac:dyDescent="0.25">
      <c r="A264" s="436"/>
      <c r="B264" s="437"/>
      <c r="D264" s="437"/>
      <c r="F264" s="437"/>
      <c r="Q264" s="232" t="s">
        <v>408</v>
      </c>
      <c r="R264" s="238" t="s">
        <v>966</v>
      </c>
      <c r="S264" s="244" t="s">
        <v>967</v>
      </c>
      <c r="T264" s="235" t="s">
        <v>787</v>
      </c>
      <c r="U264" s="236">
        <v>1</v>
      </c>
      <c r="V264" s="237" t="s">
        <v>813</v>
      </c>
      <c r="W264" s="238"/>
      <c r="X264" s="239" t="s">
        <v>408</v>
      </c>
      <c r="AA264" s="54" t="s">
        <v>1850</v>
      </c>
      <c r="AB264" s="54" t="s">
        <v>691</v>
      </c>
      <c r="AC264" s="54">
        <v>18</v>
      </c>
    </row>
    <row r="265" spans="1:29" ht="20.100000000000001" customHeight="1" x14ac:dyDescent="0.25">
      <c r="A265" s="436"/>
      <c r="B265" s="437"/>
      <c r="D265" s="437"/>
      <c r="F265" s="437"/>
      <c r="Q265" s="232" t="s">
        <v>408</v>
      </c>
      <c r="R265" s="238" t="s">
        <v>968</v>
      </c>
      <c r="S265" s="244" t="s">
        <v>969</v>
      </c>
      <c r="T265" s="235" t="s">
        <v>793</v>
      </c>
      <c r="U265" s="236">
        <v>1</v>
      </c>
      <c r="V265" s="237" t="s">
        <v>815</v>
      </c>
      <c r="W265" s="238"/>
      <c r="X265" s="239" t="s">
        <v>408</v>
      </c>
      <c r="AA265" s="54" t="s">
        <v>1851</v>
      </c>
      <c r="AB265" s="54" t="s">
        <v>691</v>
      </c>
      <c r="AC265" s="54">
        <v>18</v>
      </c>
    </row>
    <row r="266" spans="1:29" ht="20.100000000000001" customHeight="1" x14ac:dyDescent="0.25">
      <c r="A266" s="436"/>
      <c r="B266" s="437"/>
      <c r="D266" s="437"/>
      <c r="F266" s="437"/>
      <c r="Q266" s="241" t="s">
        <v>408</v>
      </c>
      <c r="R266" s="264" t="s">
        <v>408</v>
      </c>
      <c r="S266" s="244" t="s">
        <v>970</v>
      </c>
      <c r="T266" s="243" t="s">
        <v>854</v>
      </c>
      <c r="U266" s="236">
        <v>3</v>
      </c>
      <c r="V266" s="237" t="s">
        <v>817</v>
      </c>
      <c r="W266" s="238"/>
      <c r="X266" s="239" t="s">
        <v>408</v>
      </c>
      <c r="AA266" s="54" t="s">
        <v>1852</v>
      </c>
      <c r="AB266" s="54" t="s">
        <v>702</v>
      </c>
      <c r="AC266" s="54">
        <v>18</v>
      </c>
    </row>
    <row r="267" spans="1:29" ht="20.100000000000001" customHeight="1" x14ac:dyDescent="0.25">
      <c r="A267" s="436"/>
      <c r="B267" s="437"/>
      <c r="D267" s="437"/>
      <c r="F267" s="437"/>
      <c r="Q267" s="232" t="s">
        <v>408</v>
      </c>
      <c r="R267" s="238" t="s">
        <v>971</v>
      </c>
      <c r="S267" s="244" t="s">
        <v>972</v>
      </c>
      <c r="T267" s="235" t="s">
        <v>856</v>
      </c>
      <c r="U267" s="236" t="s">
        <v>408</v>
      </c>
      <c r="V267" s="237" t="s">
        <v>819</v>
      </c>
      <c r="W267" s="238"/>
      <c r="X267" s="239" t="s">
        <v>408</v>
      </c>
      <c r="AA267" s="54" t="s">
        <v>1853</v>
      </c>
      <c r="AB267" s="54" t="s">
        <v>702</v>
      </c>
      <c r="AC267" s="54">
        <v>18</v>
      </c>
    </row>
    <row r="268" spans="1:29" ht="20.100000000000001" customHeight="1" x14ac:dyDescent="0.25">
      <c r="A268" s="436"/>
      <c r="B268" s="437"/>
      <c r="D268" s="437"/>
      <c r="F268" s="437"/>
      <c r="Q268" s="232" t="s">
        <v>408</v>
      </c>
      <c r="R268" s="238" t="s">
        <v>408</v>
      </c>
      <c r="S268" s="244" t="s">
        <v>946</v>
      </c>
      <c r="T268" s="235" t="s">
        <v>820</v>
      </c>
      <c r="U268" s="236">
        <v>1</v>
      </c>
      <c r="V268" s="237" t="s">
        <v>821</v>
      </c>
      <c r="W268" s="238"/>
      <c r="X268" s="239" t="s">
        <v>408</v>
      </c>
      <c r="AA268" s="54" t="s">
        <v>1854</v>
      </c>
      <c r="AB268" s="54" t="s">
        <v>702</v>
      </c>
      <c r="AC268" s="54">
        <v>18</v>
      </c>
    </row>
    <row r="269" spans="1:29" ht="20.100000000000001" customHeight="1" x14ac:dyDescent="0.25">
      <c r="A269" s="436"/>
      <c r="B269" s="437"/>
      <c r="D269" s="437"/>
      <c r="F269" s="437"/>
      <c r="Q269" s="232" t="s">
        <v>408</v>
      </c>
      <c r="R269" s="238" t="s">
        <v>621</v>
      </c>
      <c r="S269" s="244" t="s">
        <v>973</v>
      </c>
      <c r="T269" s="235" t="s">
        <v>822</v>
      </c>
      <c r="U269" s="236" t="s">
        <v>408</v>
      </c>
      <c r="V269" s="237" t="s">
        <v>974</v>
      </c>
      <c r="W269" s="238"/>
      <c r="X269" s="239" t="s">
        <v>408</v>
      </c>
      <c r="AA269" s="54" t="s">
        <v>1855</v>
      </c>
      <c r="AB269" s="54" t="s">
        <v>702</v>
      </c>
      <c r="AC269" s="54">
        <v>18</v>
      </c>
    </row>
    <row r="270" spans="1:29" ht="20.100000000000001" customHeight="1" x14ac:dyDescent="0.25">
      <c r="A270" s="436"/>
      <c r="B270" s="437"/>
      <c r="D270" s="437"/>
      <c r="F270" s="437"/>
      <c r="Q270" s="232" t="s">
        <v>408</v>
      </c>
      <c r="R270" s="238" t="s">
        <v>623</v>
      </c>
      <c r="S270" s="244" t="s">
        <v>975</v>
      </c>
      <c r="T270" s="235" t="s">
        <v>823</v>
      </c>
      <c r="U270" s="236" t="s">
        <v>408</v>
      </c>
      <c r="V270" s="237" t="s">
        <v>408</v>
      </c>
      <c r="W270" s="238" t="s">
        <v>408</v>
      </c>
      <c r="X270" s="239" t="s">
        <v>408</v>
      </c>
      <c r="AA270" s="54" t="s">
        <v>1856</v>
      </c>
      <c r="AB270" s="54" t="s">
        <v>702</v>
      </c>
      <c r="AC270" s="54">
        <v>18</v>
      </c>
    </row>
    <row r="271" spans="1:29" ht="20.100000000000001" customHeight="1" x14ac:dyDescent="0.25">
      <c r="A271" s="436"/>
      <c r="B271" s="437"/>
      <c r="D271" s="437"/>
      <c r="F271" s="437"/>
      <c r="Q271" s="232" t="s">
        <v>408</v>
      </c>
      <c r="R271" s="238" t="s">
        <v>624</v>
      </c>
      <c r="S271" s="244" t="s">
        <v>976</v>
      </c>
      <c r="T271" s="235" t="s">
        <v>824</v>
      </c>
      <c r="U271" s="236" t="s">
        <v>408</v>
      </c>
      <c r="V271" s="237" t="s">
        <v>408</v>
      </c>
      <c r="W271" s="238" t="s">
        <v>408</v>
      </c>
      <c r="X271" s="239" t="s">
        <v>408</v>
      </c>
      <c r="AA271" s="54" t="s">
        <v>1857</v>
      </c>
      <c r="AB271" s="54" t="s">
        <v>702</v>
      </c>
      <c r="AC271" s="54">
        <v>18</v>
      </c>
    </row>
    <row r="272" spans="1:29" ht="20.100000000000001" customHeight="1" x14ac:dyDescent="0.25">
      <c r="A272" s="436"/>
      <c r="B272" s="437"/>
      <c r="D272" s="437"/>
      <c r="F272" s="437"/>
      <c r="Q272" s="232" t="s">
        <v>408</v>
      </c>
      <c r="R272" s="238"/>
      <c r="S272" s="244" t="s">
        <v>977</v>
      </c>
      <c r="T272" s="235" t="s">
        <v>978</v>
      </c>
      <c r="U272" s="236">
        <v>1</v>
      </c>
      <c r="V272" s="237" t="s">
        <v>408</v>
      </c>
      <c r="W272" s="238" t="s">
        <v>408</v>
      </c>
      <c r="X272" s="239" t="s">
        <v>408</v>
      </c>
      <c r="AA272" s="54" t="s">
        <v>1858</v>
      </c>
      <c r="AB272" s="54" t="s">
        <v>702</v>
      </c>
      <c r="AC272" s="54">
        <v>18</v>
      </c>
    </row>
    <row r="273" spans="1:29" ht="20.100000000000001" customHeight="1" x14ac:dyDescent="0.25">
      <c r="A273" s="436"/>
      <c r="B273" s="437"/>
      <c r="D273" s="437"/>
      <c r="F273" s="437"/>
      <c r="Q273" s="232" t="s">
        <v>408</v>
      </c>
      <c r="R273" s="238" t="s">
        <v>979</v>
      </c>
      <c r="S273" s="244" t="s">
        <v>980</v>
      </c>
      <c r="T273" s="235" t="s">
        <v>807</v>
      </c>
      <c r="U273" s="236" t="s">
        <v>408</v>
      </c>
      <c r="V273" s="237" t="s">
        <v>408</v>
      </c>
      <c r="W273" s="238" t="s">
        <v>408</v>
      </c>
      <c r="X273" s="239" t="s">
        <v>408</v>
      </c>
      <c r="AA273" s="54" t="s">
        <v>1859</v>
      </c>
      <c r="AB273" s="54" t="s">
        <v>702</v>
      </c>
      <c r="AC273" s="54">
        <v>18</v>
      </c>
    </row>
    <row r="274" spans="1:29" ht="20.100000000000001" customHeight="1" x14ac:dyDescent="0.25">
      <c r="A274" s="436"/>
      <c r="B274" s="437"/>
      <c r="D274" s="437"/>
      <c r="F274" s="437"/>
      <c r="Q274" s="232" t="s">
        <v>408</v>
      </c>
      <c r="R274" s="238"/>
      <c r="S274" s="244" t="s">
        <v>981</v>
      </c>
      <c r="T274" s="235" t="s">
        <v>809</v>
      </c>
      <c r="U274" s="236" t="s">
        <v>408</v>
      </c>
      <c r="V274" s="237" t="s">
        <v>408</v>
      </c>
      <c r="W274" s="238" t="s">
        <v>408</v>
      </c>
      <c r="X274" s="239" t="s">
        <v>408</v>
      </c>
      <c r="AA274" s="54" t="s">
        <v>1860</v>
      </c>
      <c r="AB274" s="54" t="s">
        <v>702</v>
      </c>
      <c r="AC274" s="54">
        <v>18</v>
      </c>
    </row>
    <row r="275" spans="1:29" ht="20.100000000000001" customHeight="1" x14ac:dyDescent="0.25">
      <c r="A275" s="436"/>
      <c r="B275" s="437"/>
      <c r="D275" s="437"/>
      <c r="F275" s="437"/>
      <c r="Q275" s="232" t="s">
        <v>408</v>
      </c>
      <c r="R275" s="238"/>
      <c r="S275" s="244" t="s">
        <v>982</v>
      </c>
      <c r="T275" s="235" t="s">
        <v>811</v>
      </c>
      <c r="U275" s="236" t="s">
        <v>408</v>
      </c>
      <c r="V275" s="237" t="s">
        <v>408</v>
      </c>
      <c r="W275" s="238" t="s">
        <v>408</v>
      </c>
      <c r="X275" s="239" t="s">
        <v>408</v>
      </c>
      <c r="AA275" s="54" t="s">
        <v>1861</v>
      </c>
      <c r="AB275" s="54" t="s">
        <v>702</v>
      </c>
      <c r="AC275" s="54">
        <v>18</v>
      </c>
    </row>
    <row r="276" spans="1:29" ht="20.100000000000001" customHeight="1" x14ac:dyDescent="0.25">
      <c r="A276" s="436"/>
      <c r="B276" s="437"/>
      <c r="D276" s="437"/>
      <c r="F276" s="437"/>
      <c r="Q276" s="232" t="s">
        <v>408</v>
      </c>
      <c r="R276" s="238" t="s">
        <v>983</v>
      </c>
      <c r="S276" s="244" t="s">
        <v>980</v>
      </c>
      <c r="T276" s="235" t="s">
        <v>812</v>
      </c>
      <c r="U276" s="236" t="s">
        <v>408</v>
      </c>
      <c r="V276" s="237" t="s">
        <v>408</v>
      </c>
      <c r="W276" s="238" t="s">
        <v>408</v>
      </c>
      <c r="X276" s="239" t="s">
        <v>408</v>
      </c>
      <c r="AA276" s="54" t="s">
        <v>1862</v>
      </c>
      <c r="AB276" s="54" t="s">
        <v>702</v>
      </c>
      <c r="AC276" s="54">
        <v>18</v>
      </c>
    </row>
    <row r="277" spans="1:29" ht="20.100000000000001" customHeight="1" x14ac:dyDescent="0.25">
      <c r="A277" s="436"/>
      <c r="B277" s="437"/>
      <c r="D277" s="437"/>
      <c r="F277" s="437"/>
      <c r="Q277" s="232" t="s">
        <v>408</v>
      </c>
      <c r="R277" s="238"/>
      <c r="S277" s="244" t="s">
        <v>984</v>
      </c>
      <c r="T277" s="235" t="s">
        <v>790</v>
      </c>
      <c r="U277" s="236">
        <v>1</v>
      </c>
      <c r="V277" s="237" t="s">
        <v>408</v>
      </c>
      <c r="W277" s="238" t="s">
        <v>408</v>
      </c>
      <c r="X277" s="239" t="s">
        <v>408</v>
      </c>
      <c r="AA277" s="54" t="s">
        <v>1863</v>
      </c>
      <c r="AB277" s="54" t="s">
        <v>702</v>
      </c>
      <c r="AC277" s="54">
        <v>18</v>
      </c>
    </row>
    <row r="278" spans="1:29" ht="20.100000000000001" customHeight="1" x14ac:dyDescent="0.25">
      <c r="A278" s="436"/>
      <c r="B278" s="437"/>
      <c r="D278" s="437"/>
      <c r="F278" s="437"/>
      <c r="Q278" s="241" t="s">
        <v>408</v>
      </c>
      <c r="R278" s="238"/>
      <c r="S278" s="256" t="s">
        <v>982</v>
      </c>
      <c r="T278" s="243" t="s">
        <v>985</v>
      </c>
      <c r="U278" s="236">
        <v>1</v>
      </c>
      <c r="V278" s="237" t="s">
        <v>408</v>
      </c>
      <c r="W278" s="238" t="s">
        <v>408</v>
      </c>
      <c r="X278" s="239" t="s">
        <v>408</v>
      </c>
      <c r="AA278" s="54" t="s">
        <v>1864</v>
      </c>
      <c r="AB278" s="54" t="s">
        <v>702</v>
      </c>
      <c r="AC278" s="54">
        <v>18</v>
      </c>
    </row>
    <row r="279" spans="1:29" ht="20.100000000000001" customHeight="1" x14ac:dyDescent="0.25">
      <c r="A279" s="436"/>
      <c r="B279" s="437"/>
      <c r="D279" s="437"/>
      <c r="F279" s="437"/>
      <c r="Q279" s="232" t="s">
        <v>408</v>
      </c>
      <c r="R279" s="238"/>
      <c r="S279" s="244"/>
      <c r="T279" s="235" t="s">
        <v>822</v>
      </c>
      <c r="U279" s="236" t="s">
        <v>408</v>
      </c>
      <c r="V279" s="237" t="s">
        <v>408</v>
      </c>
      <c r="W279" s="238" t="s">
        <v>408</v>
      </c>
      <c r="X279" s="239" t="s">
        <v>408</v>
      </c>
      <c r="AA279" s="54" t="s">
        <v>1865</v>
      </c>
      <c r="AB279" s="54" t="s">
        <v>702</v>
      </c>
      <c r="AC279" s="54">
        <v>18</v>
      </c>
    </row>
    <row r="280" spans="1:29" ht="20.100000000000001" customHeight="1" x14ac:dyDescent="0.25">
      <c r="A280" s="436"/>
      <c r="B280" s="437"/>
      <c r="D280" s="437"/>
      <c r="F280" s="437"/>
      <c r="Q280" s="232" t="s">
        <v>408</v>
      </c>
      <c r="R280" s="238"/>
      <c r="S280" s="244"/>
      <c r="T280" s="235" t="s">
        <v>986</v>
      </c>
      <c r="U280" s="236" t="s">
        <v>408</v>
      </c>
      <c r="V280" s="237" t="s">
        <v>408</v>
      </c>
      <c r="W280" s="238" t="s">
        <v>408</v>
      </c>
      <c r="X280" s="239" t="s">
        <v>408</v>
      </c>
      <c r="AA280" s="54" t="s">
        <v>1866</v>
      </c>
      <c r="AB280" s="54" t="s">
        <v>702</v>
      </c>
      <c r="AC280" s="54">
        <v>18</v>
      </c>
    </row>
    <row r="281" spans="1:29" ht="20.100000000000001" customHeight="1" x14ac:dyDescent="0.25">
      <c r="A281" s="436"/>
      <c r="B281" s="437"/>
      <c r="D281" s="437"/>
      <c r="F281" s="437"/>
      <c r="Q281" s="232" t="s">
        <v>408</v>
      </c>
      <c r="R281" s="238"/>
      <c r="S281" s="244"/>
      <c r="T281" s="235" t="s">
        <v>987</v>
      </c>
      <c r="U281" s="236" t="s">
        <v>408</v>
      </c>
      <c r="V281" s="237" t="s">
        <v>408</v>
      </c>
      <c r="W281" s="238" t="s">
        <v>408</v>
      </c>
      <c r="X281" s="239" t="s">
        <v>408</v>
      </c>
      <c r="AA281" s="54" t="s">
        <v>1867</v>
      </c>
      <c r="AB281" s="54" t="s">
        <v>712</v>
      </c>
      <c r="AC281" s="54">
        <v>7</v>
      </c>
    </row>
    <row r="282" spans="1:29" ht="20.100000000000001" customHeight="1" x14ac:dyDescent="0.25">
      <c r="A282" s="436"/>
      <c r="B282" s="437"/>
      <c r="D282" s="437"/>
      <c r="F282" s="437"/>
      <c r="Q282" s="232" t="s">
        <v>408</v>
      </c>
      <c r="R282" s="238" t="s">
        <v>408</v>
      </c>
      <c r="S282" s="244"/>
      <c r="T282" s="235" t="s">
        <v>988</v>
      </c>
      <c r="U282" s="236" t="s">
        <v>408</v>
      </c>
      <c r="V282" s="237" t="s">
        <v>408</v>
      </c>
      <c r="W282" s="238" t="s">
        <v>408</v>
      </c>
      <c r="X282" s="239" t="s">
        <v>408</v>
      </c>
      <c r="AA282" s="54" t="s">
        <v>1868</v>
      </c>
      <c r="AB282" s="54" t="s">
        <v>712</v>
      </c>
      <c r="AC282" s="54">
        <v>7</v>
      </c>
    </row>
    <row r="283" spans="1:29" ht="20.100000000000001" customHeight="1" x14ac:dyDescent="0.25">
      <c r="A283" s="436"/>
      <c r="B283" s="437"/>
      <c r="D283" s="437"/>
      <c r="F283" s="437"/>
      <c r="Q283" s="232" t="s">
        <v>408</v>
      </c>
      <c r="R283" s="238" t="s">
        <v>408</v>
      </c>
      <c r="S283" s="244"/>
      <c r="T283" s="235" t="s">
        <v>989</v>
      </c>
      <c r="U283" s="236">
        <v>1</v>
      </c>
      <c r="V283" s="237" t="s">
        <v>408</v>
      </c>
      <c r="W283" s="238" t="s">
        <v>408</v>
      </c>
      <c r="X283" s="239" t="s">
        <v>408</v>
      </c>
      <c r="AA283" s="54" t="s">
        <v>1869</v>
      </c>
      <c r="AB283" s="54" t="s">
        <v>712</v>
      </c>
      <c r="AC283" s="54">
        <v>7</v>
      </c>
    </row>
    <row r="284" spans="1:29" ht="20.100000000000001" customHeight="1" x14ac:dyDescent="0.25">
      <c r="A284" s="436"/>
      <c r="B284" s="437"/>
      <c r="D284" s="437"/>
      <c r="F284" s="437"/>
      <c r="Q284" s="232" t="s">
        <v>408</v>
      </c>
      <c r="R284" s="238"/>
      <c r="S284" s="244"/>
      <c r="T284" s="235" t="s">
        <v>990</v>
      </c>
      <c r="U284" s="236">
        <v>1</v>
      </c>
      <c r="V284" s="237" t="s">
        <v>408</v>
      </c>
      <c r="W284" s="238" t="s">
        <v>408</v>
      </c>
      <c r="X284" s="239" t="s">
        <v>408</v>
      </c>
      <c r="AA284" s="54" t="s">
        <v>1870</v>
      </c>
      <c r="AB284" s="54" t="s">
        <v>716</v>
      </c>
      <c r="AC284" s="54">
        <v>5</v>
      </c>
    </row>
    <row r="285" spans="1:29" ht="20.100000000000001" customHeight="1" x14ac:dyDescent="0.25">
      <c r="A285" s="436"/>
      <c r="B285" s="437"/>
      <c r="D285" s="437"/>
      <c r="F285" s="437"/>
      <c r="Q285" s="232" t="s">
        <v>408</v>
      </c>
      <c r="R285" s="238"/>
      <c r="S285" s="244"/>
      <c r="T285" s="235" t="s">
        <v>991</v>
      </c>
      <c r="U285" s="236">
        <v>1</v>
      </c>
      <c r="V285" s="237" t="s">
        <v>408</v>
      </c>
      <c r="W285" s="238" t="s">
        <v>408</v>
      </c>
      <c r="X285" s="239" t="s">
        <v>408</v>
      </c>
      <c r="AA285" s="54" t="s">
        <v>1871</v>
      </c>
      <c r="AB285" s="54" t="s">
        <v>716</v>
      </c>
      <c r="AC285" s="54">
        <v>5</v>
      </c>
    </row>
    <row r="286" spans="1:29" ht="20.100000000000001" customHeight="1" x14ac:dyDescent="0.25">
      <c r="A286" s="436"/>
      <c r="B286" s="437"/>
      <c r="D286" s="437"/>
      <c r="F286" s="437"/>
      <c r="Q286" s="232" t="s">
        <v>408</v>
      </c>
      <c r="R286" s="238"/>
      <c r="S286" s="244"/>
      <c r="T286" s="235" t="s">
        <v>992</v>
      </c>
      <c r="U286" s="236" t="s">
        <v>408</v>
      </c>
      <c r="V286" s="237" t="s">
        <v>408</v>
      </c>
      <c r="W286" s="238" t="s">
        <v>408</v>
      </c>
      <c r="X286" s="239" t="s">
        <v>408</v>
      </c>
      <c r="AA286" s="54" t="s">
        <v>1765</v>
      </c>
      <c r="AB286" s="54" t="s">
        <v>716</v>
      </c>
      <c r="AC286" s="54">
        <v>5</v>
      </c>
    </row>
    <row r="287" spans="1:29" ht="20.100000000000001" customHeight="1" x14ac:dyDescent="0.25">
      <c r="A287" s="436"/>
      <c r="B287" s="437"/>
      <c r="D287" s="437"/>
      <c r="F287" s="437"/>
      <c r="Q287" s="232" t="s">
        <v>408</v>
      </c>
      <c r="R287" s="238"/>
      <c r="S287" s="244"/>
      <c r="T287" s="235" t="s">
        <v>993</v>
      </c>
      <c r="U287" s="236" t="s">
        <v>408</v>
      </c>
      <c r="V287" s="237" t="s">
        <v>408</v>
      </c>
      <c r="W287" s="238" t="s">
        <v>408</v>
      </c>
      <c r="X287" s="239" t="s">
        <v>408</v>
      </c>
      <c r="AA287" s="54" t="s">
        <v>1872</v>
      </c>
      <c r="AB287" s="54" t="s">
        <v>716</v>
      </c>
      <c r="AC287" s="54">
        <v>5</v>
      </c>
    </row>
    <row r="288" spans="1:29" ht="20.100000000000001" customHeight="1" x14ac:dyDescent="0.25">
      <c r="A288" s="436"/>
      <c r="B288" s="437"/>
      <c r="D288" s="437"/>
      <c r="F288" s="437"/>
      <c r="Q288" s="232" t="s">
        <v>408</v>
      </c>
      <c r="R288" s="238"/>
      <c r="S288" s="244"/>
      <c r="T288" s="235" t="s">
        <v>408</v>
      </c>
      <c r="U288" s="236" t="s">
        <v>408</v>
      </c>
      <c r="V288" s="237" t="s">
        <v>408</v>
      </c>
      <c r="W288" s="238" t="s">
        <v>408</v>
      </c>
      <c r="X288" s="239" t="s">
        <v>408</v>
      </c>
    </row>
    <row r="289" spans="1:24" ht="20.100000000000001" customHeight="1" x14ac:dyDescent="0.25">
      <c r="A289" s="436"/>
      <c r="B289" s="437"/>
      <c r="D289" s="437"/>
      <c r="F289" s="437"/>
      <c r="Q289" s="232" t="s">
        <v>408</v>
      </c>
      <c r="R289" s="238"/>
      <c r="S289" s="244"/>
      <c r="T289" s="235" t="s">
        <v>825</v>
      </c>
      <c r="U289" s="236" t="s">
        <v>408</v>
      </c>
      <c r="V289" s="237" t="s">
        <v>408</v>
      </c>
      <c r="W289" s="238" t="s">
        <v>408</v>
      </c>
      <c r="X289" s="239" t="s">
        <v>408</v>
      </c>
    </row>
    <row r="290" spans="1:24" ht="20.100000000000001" customHeight="1" x14ac:dyDescent="0.25">
      <c r="A290" s="436"/>
      <c r="B290" s="437"/>
      <c r="D290" s="437"/>
      <c r="F290" s="437"/>
      <c r="Q290" s="232" t="s">
        <v>408</v>
      </c>
      <c r="R290" s="238"/>
      <c r="S290" s="244"/>
      <c r="T290" s="235" t="s">
        <v>750</v>
      </c>
      <c r="U290" s="236" t="s">
        <v>408</v>
      </c>
      <c r="V290" s="237" t="s">
        <v>408</v>
      </c>
      <c r="W290" s="238" t="s">
        <v>408</v>
      </c>
      <c r="X290" s="239" t="s">
        <v>408</v>
      </c>
    </row>
    <row r="291" spans="1:24" ht="20.100000000000001" customHeight="1" x14ac:dyDescent="0.25">
      <c r="A291" s="436"/>
      <c r="B291" s="437"/>
      <c r="D291" s="437"/>
      <c r="F291" s="437"/>
      <c r="Q291" s="232" t="s">
        <v>408</v>
      </c>
      <c r="R291" s="238"/>
      <c r="S291" s="244"/>
      <c r="T291" s="235" t="s">
        <v>754</v>
      </c>
      <c r="U291" s="236" t="s">
        <v>408</v>
      </c>
      <c r="V291" s="237" t="s">
        <v>408</v>
      </c>
      <c r="W291" s="238" t="s">
        <v>408</v>
      </c>
      <c r="X291" s="239" t="s">
        <v>408</v>
      </c>
    </row>
    <row r="292" spans="1:24" ht="20.100000000000001" customHeight="1" x14ac:dyDescent="0.25">
      <c r="A292" s="436"/>
      <c r="B292" s="437"/>
      <c r="D292" s="437"/>
      <c r="F292" s="437"/>
      <c r="Q292" s="232" t="s">
        <v>408</v>
      </c>
      <c r="R292" s="238"/>
      <c r="S292" s="244"/>
      <c r="T292" s="235" t="s">
        <v>826</v>
      </c>
      <c r="U292" s="236">
        <v>1</v>
      </c>
      <c r="V292" s="237" t="s">
        <v>408</v>
      </c>
      <c r="W292" s="238" t="s">
        <v>408</v>
      </c>
      <c r="X292" s="239" t="s">
        <v>408</v>
      </c>
    </row>
    <row r="293" spans="1:24" ht="20.100000000000001" customHeight="1" x14ac:dyDescent="0.25">
      <c r="A293" s="436"/>
      <c r="B293" s="437"/>
      <c r="D293" s="437"/>
      <c r="F293" s="437"/>
      <c r="Q293" s="232" t="s">
        <v>408</v>
      </c>
      <c r="R293" s="238"/>
      <c r="S293" s="244"/>
      <c r="T293" s="235" t="s">
        <v>832</v>
      </c>
      <c r="U293" s="236">
        <v>1</v>
      </c>
      <c r="V293" s="237" t="s">
        <v>408</v>
      </c>
      <c r="W293" s="238" t="s">
        <v>408</v>
      </c>
      <c r="X293" s="239" t="s">
        <v>408</v>
      </c>
    </row>
    <row r="294" spans="1:24" ht="20.100000000000001" customHeight="1" x14ac:dyDescent="0.25">
      <c r="A294" s="436"/>
      <c r="B294" s="437"/>
      <c r="D294" s="437"/>
      <c r="F294" s="437"/>
      <c r="Q294" s="232" t="s">
        <v>408</v>
      </c>
      <c r="R294" s="238"/>
      <c r="S294" s="244"/>
      <c r="T294" s="235" t="s">
        <v>833</v>
      </c>
      <c r="U294" s="236" t="s">
        <v>408</v>
      </c>
      <c r="V294" s="237" t="s">
        <v>408</v>
      </c>
      <c r="W294" s="238" t="s">
        <v>408</v>
      </c>
      <c r="X294" s="239" t="s">
        <v>408</v>
      </c>
    </row>
    <row r="295" spans="1:24" ht="20.100000000000001" customHeight="1" x14ac:dyDescent="0.25">
      <c r="A295" s="436"/>
      <c r="B295" s="437"/>
      <c r="D295" s="437"/>
      <c r="F295" s="437"/>
      <c r="Q295" s="232" t="s">
        <v>408</v>
      </c>
      <c r="R295" s="238"/>
      <c r="S295" s="244"/>
      <c r="T295" s="235" t="s">
        <v>939</v>
      </c>
      <c r="U295" s="236">
        <v>1</v>
      </c>
      <c r="V295" s="237" t="s">
        <v>408</v>
      </c>
      <c r="W295" s="238" t="s">
        <v>408</v>
      </c>
      <c r="X295" s="239" t="s">
        <v>408</v>
      </c>
    </row>
    <row r="296" spans="1:24" ht="20.100000000000001" customHeight="1" x14ac:dyDescent="0.25">
      <c r="A296" s="436"/>
      <c r="B296" s="437"/>
      <c r="D296" s="437"/>
      <c r="F296" s="437"/>
      <c r="Q296" s="232" t="s">
        <v>408</v>
      </c>
      <c r="R296" s="238"/>
      <c r="S296" s="244"/>
      <c r="T296" s="235" t="s">
        <v>831</v>
      </c>
      <c r="U296" s="236" t="s">
        <v>408</v>
      </c>
      <c r="V296" s="237" t="s">
        <v>408</v>
      </c>
      <c r="W296" s="238" t="s">
        <v>408</v>
      </c>
      <c r="X296" s="239" t="s">
        <v>408</v>
      </c>
    </row>
    <row r="297" spans="1:24" ht="20.100000000000001" customHeight="1" x14ac:dyDescent="0.25">
      <c r="A297" s="436"/>
      <c r="B297" s="437"/>
      <c r="D297" s="437"/>
      <c r="F297" s="437"/>
      <c r="Q297" s="232" t="s">
        <v>408</v>
      </c>
      <c r="R297" s="238"/>
      <c r="S297" s="244"/>
      <c r="T297" s="235" t="s">
        <v>908</v>
      </c>
      <c r="U297" s="236">
        <v>1</v>
      </c>
      <c r="V297" s="237" t="s">
        <v>408</v>
      </c>
      <c r="W297" s="238" t="s">
        <v>408</v>
      </c>
      <c r="X297" s="239" t="s">
        <v>408</v>
      </c>
    </row>
    <row r="298" spans="1:24" ht="20.100000000000001" customHeight="1" x14ac:dyDescent="0.25">
      <c r="A298" s="436"/>
      <c r="B298" s="437"/>
      <c r="D298" s="437"/>
      <c r="F298" s="437"/>
      <c r="Q298" s="232" t="s">
        <v>408</v>
      </c>
      <c r="R298" s="238"/>
      <c r="S298" s="244"/>
      <c r="T298" s="235" t="s">
        <v>994</v>
      </c>
      <c r="U298" s="236" t="s">
        <v>408</v>
      </c>
      <c r="V298" s="237" t="s">
        <v>408</v>
      </c>
      <c r="W298" s="238" t="s">
        <v>408</v>
      </c>
      <c r="X298" s="239" t="s">
        <v>408</v>
      </c>
    </row>
    <row r="299" spans="1:24" ht="20.100000000000001" customHeight="1" x14ac:dyDescent="0.25">
      <c r="A299" s="436"/>
      <c r="B299" s="437"/>
      <c r="D299" s="437"/>
      <c r="F299" s="437"/>
      <c r="Q299" s="232" t="s">
        <v>408</v>
      </c>
      <c r="R299" s="238"/>
      <c r="S299" s="244"/>
      <c r="T299" s="235" t="s">
        <v>827</v>
      </c>
      <c r="U299" s="236">
        <v>1</v>
      </c>
      <c r="V299" s="237" t="s">
        <v>408</v>
      </c>
      <c r="W299" s="238" t="s">
        <v>408</v>
      </c>
      <c r="X299" s="239" t="s">
        <v>408</v>
      </c>
    </row>
    <row r="300" spans="1:24" ht="20.100000000000001" customHeight="1" x14ac:dyDescent="0.25">
      <c r="A300" s="436"/>
      <c r="B300" s="437"/>
      <c r="D300" s="437"/>
      <c r="F300" s="437"/>
      <c r="Q300" s="232" t="s">
        <v>408</v>
      </c>
      <c r="R300" s="238"/>
      <c r="S300" s="244"/>
      <c r="T300" s="235" t="s">
        <v>828</v>
      </c>
      <c r="U300" s="236" t="s">
        <v>408</v>
      </c>
      <c r="V300" s="237" t="s">
        <v>408</v>
      </c>
      <c r="W300" s="238" t="s">
        <v>408</v>
      </c>
      <c r="X300" s="239" t="s">
        <v>408</v>
      </c>
    </row>
    <row r="301" spans="1:24" ht="20.100000000000001" customHeight="1" x14ac:dyDescent="0.25">
      <c r="A301" s="436"/>
      <c r="B301" s="437"/>
      <c r="D301" s="437"/>
      <c r="F301" s="437"/>
      <c r="Q301" s="232" t="s">
        <v>408</v>
      </c>
      <c r="R301" s="238"/>
      <c r="S301" s="244"/>
      <c r="T301" s="235" t="s">
        <v>995</v>
      </c>
      <c r="U301" s="236">
        <v>1</v>
      </c>
      <c r="V301" s="237" t="s">
        <v>408</v>
      </c>
      <c r="W301" s="238" t="s">
        <v>408</v>
      </c>
      <c r="X301" s="239" t="s">
        <v>408</v>
      </c>
    </row>
    <row r="302" spans="1:24" ht="20.100000000000001" customHeight="1" x14ac:dyDescent="0.25">
      <c r="A302" s="436"/>
      <c r="B302" s="437"/>
      <c r="D302" s="437"/>
      <c r="F302" s="437"/>
      <c r="Q302" s="232" t="s">
        <v>408</v>
      </c>
      <c r="R302" s="238"/>
      <c r="S302" s="244"/>
      <c r="T302" s="235" t="s">
        <v>996</v>
      </c>
      <c r="U302" s="236" t="s">
        <v>408</v>
      </c>
      <c r="V302" s="237" t="s">
        <v>408</v>
      </c>
      <c r="W302" s="238" t="s">
        <v>408</v>
      </c>
      <c r="X302" s="239" t="s">
        <v>408</v>
      </c>
    </row>
    <row r="303" spans="1:24" ht="20.100000000000001" customHeight="1" x14ac:dyDescent="0.25">
      <c r="A303" s="436"/>
      <c r="B303" s="437"/>
      <c r="D303" s="437"/>
      <c r="F303" s="437"/>
      <c r="Q303" s="232" t="s">
        <v>408</v>
      </c>
      <c r="R303" s="238" t="s">
        <v>408</v>
      </c>
      <c r="S303" s="244" t="s">
        <v>408</v>
      </c>
      <c r="T303" s="235" t="s">
        <v>408</v>
      </c>
      <c r="U303" s="236" t="s">
        <v>408</v>
      </c>
      <c r="V303" s="237" t="s">
        <v>408</v>
      </c>
      <c r="W303" s="238" t="s">
        <v>408</v>
      </c>
      <c r="X303" s="239" t="s">
        <v>408</v>
      </c>
    </row>
    <row r="304" spans="1:24" ht="20.100000000000001" customHeight="1" x14ac:dyDescent="0.25">
      <c r="A304" s="436"/>
      <c r="B304" s="437"/>
      <c r="D304" s="437"/>
      <c r="F304" s="437"/>
      <c r="Q304" s="232" t="s">
        <v>408</v>
      </c>
      <c r="R304" s="238" t="s">
        <v>408</v>
      </c>
      <c r="S304" s="244" t="s">
        <v>408</v>
      </c>
      <c r="T304" s="235" t="s">
        <v>840</v>
      </c>
      <c r="U304" s="236" t="s">
        <v>408</v>
      </c>
      <c r="V304" s="237" t="s">
        <v>408</v>
      </c>
      <c r="W304" s="238" t="s">
        <v>408</v>
      </c>
      <c r="X304" s="239" t="s">
        <v>408</v>
      </c>
    </row>
    <row r="305" spans="1:24" ht="20.100000000000001" customHeight="1" x14ac:dyDescent="0.25">
      <c r="A305" s="436"/>
      <c r="B305" s="437"/>
      <c r="D305" s="437"/>
      <c r="F305" s="437"/>
      <c r="Q305" s="232" t="s">
        <v>408</v>
      </c>
      <c r="R305" s="238" t="s">
        <v>408</v>
      </c>
      <c r="S305" s="244" t="s">
        <v>408</v>
      </c>
      <c r="T305" s="235" t="s">
        <v>841</v>
      </c>
      <c r="U305" s="236" t="s">
        <v>408</v>
      </c>
      <c r="V305" s="237" t="s">
        <v>408</v>
      </c>
      <c r="W305" s="238" t="s">
        <v>408</v>
      </c>
      <c r="X305" s="239" t="s">
        <v>408</v>
      </c>
    </row>
    <row r="306" spans="1:24" ht="20.100000000000001" customHeight="1" x14ac:dyDescent="0.25">
      <c r="A306" s="436"/>
      <c r="B306" s="437"/>
      <c r="D306" s="437"/>
      <c r="F306" s="437"/>
      <c r="Q306" s="232" t="s">
        <v>408</v>
      </c>
      <c r="R306" s="238" t="s">
        <v>408</v>
      </c>
      <c r="S306" s="244" t="s">
        <v>408</v>
      </c>
      <c r="T306" s="235" t="s">
        <v>794</v>
      </c>
      <c r="U306" s="236" t="s">
        <v>408</v>
      </c>
      <c r="V306" s="237" t="s">
        <v>408</v>
      </c>
      <c r="W306" s="238" t="s">
        <v>408</v>
      </c>
      <c r="X306" s="239" t="s">
        <v>408</v>
      </c>
    </row>
    <row r="307" spans="1:24" ht="20.100000000000001" customHeight="1" x14ac:dyDescent="0.25">
      <c r="A307" s="436"/>
      <c r="B307" s="437"/>
      <c r="D307" s="437"/>
      <c r="F307" s="437"/>
      <c r="Q307" s="232" t="s">
        <v>408</v>
      </c>
      <c r="R307" s="238" t="s">
        <v>408</v>
      </c>
      <c r="S307" s="244" t="s">
        <v>408</v>
      </c>
      <c r="T307" s="235" t="s">
        <v>997</v>
      </c>
      <c r="U307" s="236">
        <v>1</v>
      </c>
      <c r="V307" s="237" t="s">
        <v>408</v>
      </c>
      <c r="W307" s="238" t="s">
        <v>408</v>
      </c>
      <c r="X307" s="239" t="s">
        <v>408</v>
      </c>
    </row>
    <row r="308" spans="1:24" ht="20.100000000000001" customHeight="1" x14ac:dyDescent="0.25">
      <c r="A308" s="436"/>
      <c r="B308" s="437"/>
      <c r="D308" s="437"/>
      <c r="F308" s="437"/>
      <c r="Q308" s="232" t="s">
        <v>408</v>
      </c>
      <c r="R308" s="238" t="s">
        <v>408</v>
      </c>
      <c r="S308" s="244" t="s">
        <v>408</v>
      </c>
      <c r="T308" s="235" t="s">
        <v>844</v>
      </c>
      <c r="U308" s="236">
        <v>1</v>
      </c>
      <c r="V308" s="237" t="s">
        <v>408</v>
      </c>
      <c r="W308" s="238" t="s">
        <v>408</v>
      </c>
      <c r="X308" s="239" t="s">
        <v>408</v>
      </c>
    </row>
    <row r="309" spans="1:24" ht="20.100000000000001" customHeight="1" x14ac:dyDescent="0.25">
      <c r="A309" s="436"/>
      <c r="B309" s="437"/>
      <c r="D309" s="437"/>
      <c r="F309" s="437"/>
      <c r="Q309" s="232" t="s">
        <v>408</v>
      </c>
      <c r="R309" s="238" t="s">
        <v>408</v>
      </c>
      <c r="S309" s="244" t="s">
        <v>408</v>
      </c>
      <c r="T309" s="235" t="s">
        <v>845</v>
      </c>
      <c r="U309" s="236">
        <v>1</v>
      </c>
      <c r="V309" s="237" t="s">
        <v>408</v>
      </c>
      <c r="W309" s="238" t="s">
        <v>408</v>
      </c>
      <c r="X309" s="239" t="s">
        <v>408</v>
      </c>
    </row>
    <row r="310" spans="1:24" ht="20.100000000000001" customHeight="1" x14ac:dyDescent="0.25">
      <c r="A310" s="436"/>
      <c r="B310" s="437"/>
      <c r="D310" s="437"/>
      <c r="F310" s="437"/>
      <c r="Q310" s="232" t="s">
        <v>408</v>
      </c>
      <c r="R310" s="238" t="s">
        <v>408</v>
      </c>
      <c r="S310" s="244" t="s">
        <v>408</v>
      </c>
      <c r="T310" s="235" t="s">
        <v>846</v>
      </c>
      <c r="U310" s="236" t="s">
        <v>408</v>
      </c>
      <c r="V310" s="237" t="s">
        <v>408</v>
      </c>
      <c r="W310" s="238" t="s">
        <v>408</v>
      </c>
      <c r="X310" s="239" t="s">
        <v>408</v>
      </c>
    </row>
    <row r="311" spans="1:24" ht="20.100000000000001" customHeight="1" x14ac:dyDescent="0.25">
      <c r="A311" s="436"/>
      <c r="B311" s="437"/>
      <c r="D311" s="437"/>
      <c r="F311" s="437"/>
      <c r="Q311" s="247" t="s">
        <v>408</v>
      </c>
      <c r="R311" s="248" t="s">
        <v>408</v>
      </c>
      <c r="S311" s="249" t="s">
        <v>408</v>
      </c>
      <c r="T311" s="266" t="s">
        <v>408</v>
      </c>
      <c r="U311" s="251" t="s">
        <v>408</v>
      </c>
      <c r="V311" s="252" t="s">
        <v>408</v>
      </c>
      <c r="W311" s="248" t="s">
        <v>408</v>
      </c>
      <c r="X311" s="253" t="s">
        <v>408</v>
      </c>
    </row>
    <row r="312" spans="1:24" ht="20.100000000000001" customHeight="1" x14ac:dyDescent="0.25">
      <c r="A312" s="436"/>
      <c r="B312" s="437"/>
      <c r="D312" s="437"/>
      <c r="F312" s="437"/>
      <c r="Q312" s="224" t="s">
        <v>998</v>
      </c>
      <c r="R312" s="225"/>
      <c r="S312" s="261" t="s">
        <v>999</v>
      </c>
      <c r="T312" s="227" t="s">
        <v>746</v>
      </c>
      <c r="U312" s="228" t="s">
        <v>408</v>
      </c>
      <c r="V312" s="229" t="s">
        <v>747</v>
      </c>
      <c r="W312" s="230">
        <v>12</v>
      </c>
      <c r="X312" s="231" t="s">
        <v>1000</v>
      </c>
    </row>
    <row r="313" spans="1:24" ht="20.100000000000001" customHeight="1" x14ac:dyDescent="0.25">
      <c r="A313" s="436"/>
      <c r="B313" s="437"/>
      <c r="D313" s="437"/>
      <c r="F313" s="437"/>
      <c r="Q313" s="232" t="s">
        <v>408</v>
      </c>
      <c r="R313" s="225"/>
      <c r="S313" s="262" t="s">
        <v>1001</v>
      </c>
      <c r="T313" s="235" t="s">
        <v>750</v>
      </c>
      <c r="U313" s="236" t="s">
        <v>408</v>
      </c>
      <c r="V313" s="237" t="s">
        <v>751</v>
      </c>
      <c r="W313" s="238"/>
      <c r="X313" s="239" t="s">
        <v>1002</v>
      </c>
    </row>
    <row r="314" spans="1:24" ht="20.100000000000001" customHeight="1" x14ac:dyDescent="0.25">
      <c r="A314" s="436"/>
      <c r="B314" s="437"/>
      <c r="D314" s="437"/>
      <c r="F314" s="437"/>
      <c r="Q314" s="232" t="s">
        <v>408</v>
      </c>
      <c r="R314" s="225"/>
      <c r="S314" s="262" t="s">
        <v>1003</v>
      </c>
      <c r="T314" s="235" t="s">
        <v>754</v>
      </c>
      <c r="U314" s="236" t="s">
        <v>408</v>
      </c>
      <c r="V314" s="237" t="s">
        <v>896</v>
      </c>
      <c r="W314" s="238" t="s">
        <v>408</v>
      </c>
      <c r="X314" s="239" t="s">
        <v>1004</v>
      </c>
    </row>
    <row r="315" spans="1:24" ht="20.100000000000001" customHeight="1" x14ac:dyDescent="0.25">
      <c r="A315" s="436"/>
      <c r="B315" s="437"/>
      <c r="D315" s="437"/>
      <c r="F315" s="437"/>
      <c r="Q315" s="232" t="s">
        <v>408</v>
      </c>
      <c r="R315" s="268"/>
      <c r="S315" s="269" t="s">
        <v>1005</v>
      </c>
      <c r="T315" s="235" t="s">
        <v>1006</v>
      </c>
      <c r="U315" s="236">
        <v>2</v>
      </c>
      <c r="V315" s="237" t="s">
        <v>1007</v>
      </c>
      <c r="W315" s="238" t="s">
        <v>408</v>
      </c>
      <c r="X315" s="239" t="s">
        <v>760</v>
      </c>
    </row>
    <row r="316" spans="1:24" ht="20.100000000000001" customHeight="1" x14ac:dyDescent="0.25">
      <c r="A316" s="436"/>
      <c r="B316" s="437"/>
      <c r="D316" s="437"/>
      <c r="F316" s="437"/>
      <c r="Q316" s="232" t="s">
        <v>408</v>
      </c>
      <c r="R316" s="238" t="s">
        <v>1008</v>
      </c>
      <c r="S316" s="244" t="s">
        <v>1009</v>
      </c>
      <c r="T316" s="235" t="s">
        <v>781</v>
      </c>
      <c r="U316" s="236">
        <v>1</v>
      </c>
      <c r="V316" s="237" t="s">
        <v>1010</v>
      </c>
      <c r="W316" s="238" t="s">
        <v>408</v>
      </c>
      <c r="X316" s="239" t="s">
        <v>1011</v>
      </c>
    </row>
    <row r="317" spans="1:24" ht="20.100000000000001" customHeight="1" x14ac:dyDescent="0.25">
      <c r="A317" s="436"/>
      <c r="B317" s="437"/>
      <c r="D317" s="437"/>
      <c r="F317" s="437"/>
      <c r="Q317" s="232" t="s">
        <v>408</v>
      </c>
      <c r="R317" s="238" t="s">
        <v>408</v>
      </c>
      <c r="S317" s="244" t="s">
        <v>1012</v>
      </c>
      <c r="T317" s="235" t="s">
        <v>790</v>
      </c>
      <c r="U317" s="236">
        <v>1</v>
      </c>
      <c r="V317" s="237" t="s">
        <v>759</v>
      </c>
      <c r="W317" s="238" t="s">
        <v>408</v>
      </c>
      <c r="X317" s="239" t="s">
        <v>776</v>
      </c>
    </row>
    <row r="318" spans="1:24" ht="20.100000000000001" customHeight="1" x14ac:dyDescent="0.25">
      <c r="A318" s="436"/>
      <c r="B318" s="437"/>
      <c r="D318" s="437"/>
      <c r="F318" s="437"/>
      <c r="Q318" s="241" t="s">
        <v>408</v>
      </c>
      <c r="R318" s="264" t="s">
        <v>408</v>
      </c>
      <c r="S318" s="244" t="s">
        <v>1013</v>
      </c>
      <c r="T318" s="243" t="s">
        <v>784</v>
      </c>
      <c r="U318" s="236">
        <v>1</v>
      </c>
      <c r="V318" s="237" t="s">
        <v>767</v>
      </c>
      <c r="W318" s="238" t="s">
        <v>408</v>
      </c>
      <c r="X318" s="239" t="s">
        <v>779</v>
      </c>
    </row>
    <row r="319" spans="1:24" ht="20.100000000000001" customHeight="1" x14ac:dyDescent="0.25">
      <c r="A319" s="436"/>
      <c r="B319" s="437"/>
      <c r="D319" s="437"/>
      <c r="F319" s="437"/>
      <c r="Q319" s="232" t="s">
        <v>408</v>
      </c>
      <c r="R319" s="238" t="s">
        <v>1014</v>
      </c>
      <c r="S319" s="244" t="s">
        <v>1015</v>
      </c>
      <c r="T319" s="235" t="s">
        <v>787</v>
      </c>
      <c r="U319" s="236">
        <v>1</v>
      </c>
      <c r="V319" s="237" t="s">
        <v>1016</v>
      </c>
      <c r="W319" s="238" t="s">
        <v>408</v>
      </c>
      <c r="X319" s="239" t="s">
        <v>1000</v>
      </c>
    </row>
    <row r="320" spans="1:24" ht="20.100000000000001" customHeight="1" x14ac:dyDescent="0.25">
      <c r="A320" s="436"/>
      <c r="B320" s="437"/>
      <c r="D320" s="437"/>
      <c r="F320" s="437"/>
      <c r="Q320" s="232" t="s">
        <v>408</v>
      </c>
      <c r="R320" s="238" t="s">
        <v>1017</v>
      </c>
      <c r="S320" s="244" t="s">
        <v>1018</v>
      </c>
      <c r="T320" s="235" t="s">
        <v>793</v>
      </c>
      <c r="U320" s="236">
        <v>4</v>
      </c>
      <c r="V320" s="237" t="s">
        <v>890</v>
      </c>
      <c r="W320" s="238" t="s">
        <v>408</v>
      </c>
      <c r="X320" s="239" t="s">
        <v>1019</v>
      </c>
    </row>
    <row r="321" spans="1:24" ht="20.100000000000001" customHeight="1" x14ac:dyDescent="0.25">
      <c r="A321" s="436"/>
      <c r="B321" s="437"/>
      <c r="D321" s="437"/>
      <c r="F321" s="437"/>
      <c r="Q321" s="232" t="s">
        <v>408</v>
      </c>
      <c r="R321" s="238" t="s">
        <v>1020</v>
      </c>
      <c r="S321" s="244" t="s">
        <v>1021</v>
      </c>
      <c r="T321" s="235" t="s">
        <v>766</v>
      </c>
      <c r="U321" s="236">
        <v>1</v>
      </c>
      <c r="V321" s="237" t="s">
        <v>408</v>
      </c>
      <c r="W321" s="238" t="s">
        <v>408</v>
      </c>
      <c r="X321" s="239" t="s">
        <v>408</v>
      </c>
    </row>
    <row r="322" spans="1:24" ht="20.100000000000001" customHeight="1" x14ac:dyDescent="0.25">
      <c r="A322" s="436"/>
      <c r="B322" s="437"/>
      <c r="D322" s="437"/>
      <c r="F322" s="437"/>
      <c r="Q322" s="232" t="s">
        <v>408</v>
      </c>
      <c r="R322" s="238"/>
      <c r="S322" s="244" t="s">
        <v>1022</v>
      </c>
      <c r="T322" s="235" t="s">
        <v>956</v>
      </c>
      <c r="U322" s="236">
        <v>1</v>
      </c>
      <c r="V322" s="237" t="s">
        <v>1023</v>
      </c>
      <c r="W322" s="238" t="s">
        <v>408</v>
      </c>
      <c r="X322" s="239" t="s">
        <v>408</v>
      </c>
    </row>
    <row r="323" spans="1:24" ht="20.100000000000001" customHeight="1" x14ac:dyDescent="0.25">
      <c r="A323" s="436"/>
      <c r="B323" s="437"/>
      <c r="D323" s="437"/>
      <c r="F323" s="437"/>
      <c r="Q323" s="232" t="s">
        <v>408</v>
      </c>
      <c r="R323" s="238" t="s">
        <v>1024</v>
      </c>
      <c r="S323" s="244" t="s">
        <v>1025</v>
      </c>
      <c r="T323" s="235" t="s">
        <v>935</v>
      </c>
      <c r="U323" s="236">
        <v>1</v>
      </c>
      <c r="V323" s="237" t="s">
        <v>751</v>
      </c>
      <c r="W323" s="238" t="s">
        <v>408</v>
      </c>
      <c r="X323" s="239" t="s">
        <v>408</v>
      </c>
    </row>
    <row r="324" spans="1:24" ht="20.100000000000001" customHeight="1" x14ac:dyDescent="0.25">
      <c r="A324" s="436"/>
      <c r="B324" s="437"/>
      <c r="D324" s="437"/>
      <c r="F324" s="437"/>
      <c r="Q324" s="232" t="s">
        <v>408</v>
      </c>
      <c r="R324" s="238" t="s">
        <v>408</v>
      </c>
      <c r="S324" s="244" t="s">
        <v>1026</v>
      </c>
      <c r="T324" s="235" t="s">
        <v>805</v>
      </c>
      <c r="U324" s="236">
        <v>1</v>
      </c>
      <c r="V324" s="237" t="s">
        <v>1027</v>
      </c>
      <c r="W324" s="238" t="s">
        <v>408</v>
      </c>
      <c r="X324" s="239" t="s">
        <v>408</v>
      </c>
    </row>
    <row r="325" spans="1:24" ht="20.100000000000001" customHeight="1" x14ac:dyDescent="0.25">
      <c r="A325" s="436"/>
      <c r="B325" s="437"/>
      <c r="D325" s="437"/>
      <c r="F325" s="437"/>
      <c r="Q325" s="232" t="s">
        <v>408</v>
      </c>
      <c r="R325" s="238" t="s">
        <v>408</v>
      </c>
      <c r="S325" s="244" t="s">
        <v>1028</v>
      </c>
      <c r="T325" s="235" t="s">
        <v>936</v>
      </c>
      <c r="U325" s="236" t="s">
        <v>408</v>
      </c>
      <c r="V325" s="237" t="s">
        <v>1029</v>
      </c>
      <c r="W325" s="238" t="s">
        <v>408</v>
      </c>
      <c r="X325" s="239" t="s">
        <v>408</v>
      </c>
    </row>
    <row r="326" spans="1:24" ht="20.100000000000001" customHeight="1" x14ac:dyDescent="0.25">
      <c r="A326" s="436"/>
      <c r="B326" s="437"/>
      <c r="D326" s="437"/>
      <c r="F326" s="437"/>
      <c r="Q326" s="232" t="s">
        <v>408</v>
      </c>
      <c r="R326" s="238" t="s">
        <v>1030</v>
      </c>
      <c r="S326" s="244" t="s">
        <v>1025</v>
      </c>
      <c r="T326" s="235" t="s">
        <v>1031</v>
      </c>
      <c r="U326" s="236" t="s">
        <v>408</v>
      </c>
      <c r="V326" s="237" t="s">
        <v>1032</v>
      </c>
      <c r="W326" s="238" t="s">
        <v>408</v>
      </c>
      <c r="X326" s="239" t="s">
        <v>408</v>
      </c>
    </row>
    <row r="327" spans="1:24" ht="20.100000000000001" customHeight="1" x14ac:dyDescent="0.25">
      <c r="A327" s="436"/>
      <c r="B327" s="437"/>
      <c r="D327" s="437"/>
      <c r="F327" s="437"/>
      <c r="Q327" s="232" t="s">
        <v>408</v>
      </c>
      <c r="R327" s="238" t="s">
        <v>408</v>
      </c>
      <c r="S327" s="244" t="s">
        <v>1033</v>
      </c>
      <c r="T327" s="235" t="s">
        <v>1034</v>
      </c>
      <c r="U327" s="236" t="s">
        <v>408</v>
      </c>
      <c r="V327" s="237" t="s">
        <v>1035</v>
      </c>
      <c r="W327" s="238" t="s">
        <v>408</v>
      </c>
      <c r="X327" s="239" t="s">
        <v>408</v>
      </c>
    </row>
    <row r="328" spans="1:24" ht="20.100000000000001" customHeight="1" x14ac:dyDescent="0.25">
      <c r="A328" s="436"/>
      <c r="B328" s="437"/>
      <c r="D328" s="437"/>
      <c r="F328" s="437"/>
      <c r="Q328" s="232" t="s">
        <v>408</v>
      </c>
      <c r="R328" s="238" t="s">
        <v>408</v>
      </c>
      <c r="S328" s="244" t="s">
        <v>1036</v>
      </c>
      <c r="T328" s="235" t="s">
        <v>1037</v>
      </c>
      <c r="U328" s="236" t="s">
        <v>408</v>
      </c>
      <c r="V328" s="237" t="s">
        <v>1038</v>
      </c>
      <c r="W328" s="238" t="s">
        <v>408</v>
      </c>
      <c r="X328" s="239" t="s">
        <v>408</v>
      </c>
    </row>
    <row r="329" spans="1:24" ht="20.100000000000001" customHeight="1" x14ac:dyDescent="0.25">
      <c r="A329" s="436"/>
      <c r="B329" s="437"/>
      <c r="D329" s="437"/>
      <c r="F329" s="437"/>
      <c r="Q329" s="232" t="s">
        <v>408</v>
      </c>
      <c r="R329" s="238" t="s">
        <v>632</v>
      </c>
      <c r="S329" s="244" t="s">
        <v>1039</v>
      </c>
      <c r="T329" s="235" t="s">
        <v>1040</v>
      </c>
      <c r="U329" s="236" t="s">
        <v>408</v>
      </c>
      <c r="V329" s="237" t="s">
        <v>1041</v>
      </c>
      <c r="W329" s="238" t="s">
        <v>408</v>
      </c>
      <c r="X329" s="239" t="s">
        <v>408</v>
      </c>
    </row>
    <row r="330" spans="1:24" ht="20.100000000000001" customHeight="1" x14ac:dyDescent="0.25">
      <c r="A330" s="436"/>
      <c r="B330" s="437"/>
      <c r="D330" s="437"/>
      <c r="F330" s="437"/>
      <c r="Q330" s="232" t="s">
        <v>408</v>
      </c>
      <c r="R330" s="238" t="s">
        <v>1042</v>
      </c>
      <c r="S330" s="244" t="s">
        <v>1043</v>
      </c>
      <c r="T330" s="235" t="s">
        <v>1044</v>
      </c>
      <c r="U330" s="236">
        <v>2</v>
      </c>
      <c r="V330" s="237" t="s">
        <v>1045</v>
      </c>
      <c r="W330" s="238" t="s">
        <v>408</v>
      </c>
      <c r="X330" s="239" t="s">
        <v>408</v>
      </c>
    </row>
    <row r="331" spans="1:24" ht="20.100000000000001" customHeight="1" x14ac:dyDescent="0.25">
      <c r="A331" s="436"/>
      <c r="B331" s="437"/>
      <c r="D331" s="437"/>
      <c r="F331" s="437"/>
      <c r="Q331" s="232" t="s">
        <v>408</v>
      </c>
      <c r="R331" s="238" t="s">
        <v>408</v>
      </c>
      <c r="S331" s="244" t="s">
        <v>1046</v>
      </c>
      <c r="T331" s="235" t="s">
        <v>1047</v>
      </c>
      <c r="U331" s="236" t="s">
        <v>408</v>
      </c>
      <c r="V331" s="237" t="s">
        <v>1048</v>
      </c>
      <c r="W331" s="238" t="s">
        <v>408</v>
      </c>
      <c r="X331" s="239" t="s">
        <v>408</v>
      </c>
    </row>
    <row r="332" spans="1:24" ht="20.100000000000001" customHeight="1" x14ac:dyDescent="0.25">
      <c r="A332" s="436"/>
      <c r="B332" s="437"/>
      <c r="D332" s="437"/>
      <c r="F332" s="437"/>
      <c r="Q332" s="232" t="s">
        <v>408</v>
      </c>
      <c r="R332" s="238" t="s">
        <v>1049</v>
      </c>
      <c r="S332" s="244" t="s">
        <v>1050</v>
      </c>
      <c r="T332" s="235" t="s">
        <v>1051</v>
      </c>
      <c r="U332" s="236">
        <v>1</v>
      </c>
      <c r="V332" s="237" t="s">
        <v>1047</v>
      </c>
      <c r="W332" s="238" t="s">
        <v>408</v>
      </c>
      <c r="X332" s="239" t="s">
        <v>408</v>
      </c>
    </row>
    <row r="333" spans="1:24" ht="20.100000000000001" customHeight="1" x14ac:dyDescent="0.25">
      <c r="A333" s="436"/>
      <c r="B333" s="437"/>
      <c r="D333" s="437"/>
      <c r="F333" s="437"/>
      <c r="Q333" s="232" t="s">
        <v>408</v>
      </c>
      <c r="R333" s="238" t="s">
        <v>408</v>
      </c>
      <c r="S333" s="244" t="s">
        <v>1052</v>
      </c>
      <c r="T333" s="235" t="s">
        <v>1053</v>
      </c>
      <c r="U333" s="236" t="s">
        <v>408</v>
      </c>
      <c r="V333" s="237" t="s">
        <v>408</v>
      </c>
      <c r="W333" s="238" t="s">
        <v>408</v>
      </c>
      <c r="X333" s="239" t="s">
        <v>408</v>
      </c>
    </row>
    <row r="334" spans="1:24" ht="20.100000000000001" customHeight="1" x14ac:dyDescent="0.25">
      <c r="A334" s="436"/>
      <c r="B334" s="437"/>
      <c r="D334" s="437"/>
      <c r="F334" s="437"/>
      <c r="Q334" s="232" t="s">
        <v>408</v>
      </c>
      <c r="R334" s="238" t="s">
        <v>1054</v>
      </c>
      <c r="S334" s="244" t="s">
        <v>1055</v>
      </c>
      <c r="T334" s="235" t="s">
        <v>1056</v>
      </c>
      <c r="U334" s="236" t="s">
        <v>408</v>
      </c>
      <c r="V334" s="237" t="s">
        <v>408</v>
      </c>
      <c r="W334" s="238" t="s">
        <v>408</v>
      </c>
      <c r="X334" s="239" t="s">
        <v>408</v>
      </c>
    </row>
    <row r="335" spans="1:24" ht="20.100000000000001" customHeight="1" x14ac:dyDescent="0.25">
      <c r="A335" s="436"/>
      <c r="B335" s="437"/>
      <c r="D335" s="437"/>
      <c r="F335" s="437"/>
      <c r="Q335" s="232" t="s">
        <v>408</v>
      </c>
      <c r="R335" s="238"/>
      <c r="S335" s="244" t="s">
        <v>1057</v>
      </c>
      <c r="T335" s="235" t="s">
        <v>820</v>
      </c>
      <c r="U335" s="236">
        <v>1</v>
      </c>
      <c r="V335" s="237" t="s">
        <v>408</v>
      </c>
      <c r="W335" s="238" t="s">
        <v>408</v>
      </c>
      <c r="X335" s="239" t="s">
        <v>408</v>
      </c>
    </row>
    <row r="336" spans="1:24" ht="20.100000000000001" customHeight="1" x14ac:dyDescent="0.25">
      <c r="A336" s="436"/>
      <c r="B336" s="437"/>
      <c r="D336" s="437"/>
      <c r="F336" s="437"/>
      <c r="Q336" s="232" t="s">
        <v>408</v>
      </c>
      <c r="R336" s="238"/>
      <c r="S336" s="244"/>
      <c r="T336" s="235" t="s">
        <v>822</v>
      </c>
      <c r="U336" s="236" t="s">
        <v>408</v>
      </c>
      <c r="V336" s="237" t="s">
        <v>408</v>
      </c>
      <c r="W336" s="238" t="s">
        <v>408</v>
      </c>
      <c r="X336" s="239" t="s">
        <v>408</v>
      </c>
    </row>
    <row r="337" spans="1:24" ht="20.100000000000001" customHeight="1" x14ac:dyDescent="0.25">
      <c r="A337" s="436"/>
      <c r="B337" s="437"/>
      <c r="D337" s="437"/>
      <c r="F337" s="437"/>
      <c r="Q337" s="232" t="s">
        <v>408</v>
      </c>
      <c r="R337" s="238"/>
      <c r="S337" s="244"/>
      <c r="T337" s="235" t="s">
        <v>823</v>
      </c>
      <c r="U337" s="236" t="s">
        <v>408</v>
      </c>
      <c r="V337" s="237" t="s">
        <v>408</v>
      </c>
      <c r="W337" s="238" t="s">
        <v>408</v>
      </c>
      <c r="X337" s="239" t="s">
        <v>408</v>
      </c>
    </row>
    <row r="338" spans="1:24" ht="20.100000000000001" customHeight="1" x14ac:dyDescent="0.25">
      <c r="A338" s="436"/>
      <c r="B338" s="437"/>
      <c r="D338" s="437"/>
      <c r="F338" s="437"/>
      <c r="Q338" s="232" t="s">
        <v>408</v>
      </c>
      <c r="R338" s="238"/>
      <c r="S338" s="244"/>
      <c r="T338" s="235" t="s">
        <v>824</v>
      </c>
      <c r="U338" s="236" t="s">
        <v>408</v>
      </c>
      <c r="V338" s="237" t="s">
        <v>408</v>
      </c>
      <c r="W338" s="238" t="s">
        <v>408</v>
      </c>
      <c r="X338" s="239" t="s">
        <v>408</v>
      </c>
    </row>
    <row r="339" spans="1:24" ht="20.100000000000001" customHeight="1" x14ac:dyDescent="0.25">
      <c r="A339" s="436"/>
      <c r="B339" s="437"/>
      <c r="D339" s="437"/>
      <c r="F339" s="437"/>
      <c r="Q339" s="232" t="s">
        <v>408</v>
      </c>
      <c r="R339" s="238"/>
      <c r="S339" s="244"/>
      <c r="T339" s="235" t="s">
        <v>408</v>
      </c>
      <c r="U339" s="236" t="s">
        <v>408</v>
      </c>
      <c r="V339" s="237" t="s">
        <v>408</v>
      </c>
      <c r="W339" s="238" t="s">
        <v>408</v>
      </c>
      <c r="X339" s="239" t="s">
        <v>408</v>
      </c>
    </row>
    <row r="340" spans="1:24" ht="20.100000000000001" customHeight="1" x14ac:dyDescent="0.25">
      <c r="A340" s="436"/>
      <c r="B340" s="437"/>
      <c r="D340" s="437"/>
      <c r="F340" s="437"/>
      <c r="Q340" s="232" t="s">
        <v>408</v>
      </c>
      <c r="R340" s="238"/>
      <c r="S340" s="244"/>
      <c r="T340" s="235" t="s">
        <v>825</v>
      </c>
      <c r="U340" s="236" t="s">
        <v>408</v>
      </c>
      <c r="V340" s="237" t="s">
        <v>408</v>
      </c>
      <c r="W340" s="238" t="s">
        <v>408</v>
      </c>
      <c r="X340" s="239" t="s">
        <v>408</v>
      </c>
    </row>
    <row r="341" spans="1:24" ht="20.100000000000001" customHeight="1" x14ac:dyDescent="0.25">
      <c r="A341" s="436"/>
      <c r="B341" s="437"/>
      <c r="D341" s="437"/>
      <c r="F341" s="437"/>
      <c r="Q341" s="232" t="s">
        <v>408</v>
      </c>
      <c r="R341" s="238"/>
      <c r="S341" s="244"/>
      <c r="T341" s="235" t="s">
        <v>750</v>
      </c>
      <c r="U341" s="236" t="s">
        <v>408</v>
      </c>
      <c r="V341" s="237" t="s">
        <v>408</v>
      </c>
      <c r="W341" s="238" t="s">
        <v>408</v>
      </c>
      <c r="X341" s="239" t="s">
        <v>408</v>
      </c>
    </row>
    <row r="342" spans="1:24" ht="20.100000000000001" customHeight="1" x14ac:dyDescent="0.25">
      <c r="A342" s="436"/>
      <c r="B342" s="437"/>
      <c r="D342" s="437"/>
      <c r="F342" s="437"/>
      <c r="Q342" s="232" t="s">
        <v>408</v>
      </c>
      <c r="R342" s="238"/>
      <c r="S342" s="244"/>
      <c r="T342" s="235" t="s">
        <v>754</v>
      </c>
      <c r="U342" s="236" t="s">
        <v>408</v>
      </c>
      <c r="V342" s="237" t="s">
        <v>408</v>
      </c>
      <c r="W342" s="238" t="s">
        <v>408</v>
      </c>
      <c r="X342" s="239" t="s">
        <v>408</v>
      </c>
    </row>
    <row r="343" spans="1:24" ht="20.100000000000001" customHeight="1" x14ac:dyDescent="0.25">
      <c r="A343" s="436"/>
      <c r="B343" s="437"/>
      <c r="D343" s="437"/>
      <c r="F343" s="437"/>
      <c r="Q343" s="232" t="s">
        <v>408</v>
      </c>
      <c r="R343" s="238"/>
      <c r="S343" s="244"/>
      <c r="T343" s="235" t="s">
        <v>826</v>
      </c>
      <c r="U343" s="236">
        <v>1</v>
      </c>
      <c r="V343" s="237" t="s">
        <v>408</v>
      </c>
      <c r="W343" s="238" t="s">
        <v>408</v>
      </c>
      <c r="X343" s="239" t="s">
        <v>408</v>
      </c>
    </row>
    <row r="344" spans="1:24" ht="20.100000000000001" customHeight="1" x14ac:dyDescent="0.25">
      <c r="A344" s="436"/>
      <c r="B344" s="437"/>
      <c r="D344" s="437"/>
      <c r="F344" s="437"/>
      <c r="Q344" s="232" t="s">
        <v>408</v>
      </c>
      <c r="R344" s="238"/>
      <c r="S344" s="244"/>
      <c r="T344" s="235" t="s">
        <v>1058</v>
      </c>
      <c r="U344" s="236">
        <v>1</v>
      </c>
      <c r="V344" s="237" t="s">
        <v>408</v>
      </c>
      <c r="W344" s="238" t="s">
        <v>408</v>
      </c>
      <c r="X344" s="239" t="s">
        <v>408</v>
      </c>
    </row>
    <row r="345" spans="1:24" ht="20.100000000000001" customHeight="1" x14ac:dyDescent="0.25">
      <c r="A345" s="436"/>
      <c r="B345" s="437"/>
      <c r="D345" s="437"/>
      <c r="F345" s="437"/>
      <c r="Q345" s="232" t="s">
        <v>408</v>
      </c>
      <c r="R345" s="238" t="s">
        <v>408</v>
      </c>
      <c r="S345" s="244"/>
      <c r="T345" s="235" t="s">
        <v>1059</v>
      </c>
      <c r="U345" s="236">
        <v>1</v>
      </c>
      <c r="V345" s="237" t="s">
        <v>408</v>
      </c>
      <c r="W345" s="238" t="s">
        <v>408</v>
      </c>
      <c r="X345" s="239" t="s">
        <v>408</v>
      </c>
    </row>
    <row r="346" spans="1:24" ht="20.100000000000001" customHeight="1" x14ac:dyDescent="0.25">
      <c r="A346" s="436"/>
      <c r="B346" s="437"/>
      <c r="D346" s="437"/>
      <c r="F346" s="437"/>
      <c r="Q346" s="232" t="s">
        <v>408</v>
      </c>
      <c r="R346" s="238"/>
      <c r="S346" s="244"/>
      <c r="T346" s="235" t="s">
        <v>861</v>
      </c>
      <c r="U346" s="236">
        <v>1</v>
      </c>
      <c r="V346" s="237" t="s">
        <v>408</v>
      </c>
      <c r="W346" s="238" t="s">
        <v>408</v>
      </c>
      <c r="X346" s="239" t="s">
        <v>408</v>
      </c>
    </row>
    <row r="347" spans="1:24" ht="20.100000000000001" customHeight="1" x14ac:dyDescent="0.25">
      <c r="A347" s="436"/>
      <c r="B347" s="437"/>
      <c r="D347" s="437"/>
      <c r="F347" s="437"/>
      <c r="Q347" s="232" t="s">
        <v>408</v>
      </c>
      <c r="R347" s="238"/>
      <c r="S347" s="244"/>
      <c r="T347" s="235" t="s">
        <v>828</v>
      </c>
      <c r="U347" s="236" t="s">
        <v>408</v>
      </c>
      <c r="V347" s="237" t="s">
        <v>408</v>
      </c>
      <c r="W347" s="238" t="s">
        <v>408</v>
      </c>
      <c r="X347" s="239" t="s">
        <v>408</v>
      </c>
    </row>
    <row r="348" spans="1:24" ht="20.100000000000001" customHeight="1" x14ac:dyDescent="0.25">
      <c r="A348" s="436"/>
      <c r="B348" s="437"/>
      <c r="D348" s="437"/>
      <c r="F348" s="437"/>
      <c r="Q348" s="232" t="s">
        <v>408</v>
      </c>
      <c r="R348" s="238" t="s">
        <v>408</v>
      </c>
      <c r="S348" s="244"/>
      <c r="T348" s="235" t="s">
        <v>1060</v>
      </c>
      <c r="U348" s="236">
        <v>1</v>
      </c>
      <c r="V348" s="237" t="s">
        <v>408</v>
      </c>
      <c r="W348" s="238" t="s">
        <v>408</v>
      </c>
      <c r="X348" s="239" t="s">
        <v>408</v>
      </c>
    </row>
    <row r="349" spans="1:24" ht="20.100000000000001" customHeight="1" x14ac:dyDescent="0.25">
      <c r="A349" s="436"/>
      <c r="B349" s="437"/>
      <c r="D349" s="437"/>
      <c r="F349" s="437"/>
      <c r="Q349" s="232" t="s">
        <v>408</v>
      </c>
      <c r="R349" s="238" t="s">
        <v>408</v>
      </c>
      <c r="S349" s="244"/>
      <c r="T349" s="235" t="s">
        <v>1061</v>
      </c>
      <c r="U349" s="236" t="s">
        <v>408</v>
      </c>
      <c r="V349" s="237" t="s">
        <v>408</v>
      </c>
      <c r="W349" s="238" t="s">
        <v>408</v>
      </c>
      <c r="X349" s="239" t="s">
        <v>408</v>
      </c>
    </row>
    <row r="350" spans="1:24" ht="20.100000000000001" customHeight="1" x14ac:dyDescent="0.25">
      <c r="A350" s="436"/>
      <c r="B350" s="437"/>
      <c r="D350" s="437"/>
      <c r="F350" s="437"/>
      <c r="Q350" s="232" t="s">
        <v>408</v>
      </c>
      <c r="R350" s="238" t="s">
        <v>408</v>
      </c>
      <c r="S350" s="244" t="s">
        <v>408</v>
      </c>
      <c r="T350" s="235" t="s">
        <v>1062</v>
      </c>
      <c r="U350" s="236">
        <v>1</v>
      </c>
      <c r="V350" s="237" t="s">
        <v>408</v>
      </c>
      <c r="W350" s="238" t="s">
        <v>408</v>
      </c>
      <c r="X350" s="239" t="s">
        <v>408</v>
      </c>
    </row>
    <row r="351" spans="1:24" ht="20.100000000000001" customHeight="1" x14ac:dyDescent="0.25">
      <c r="A351" s="436"/>
      <c r="B351" s="437"/>
      <c r="D351" s="437"/>
      <c r="F351" s="437"/>
      <c r="Q351" s="247" t="s">
        <v>408</v>
      </c>
      <c r="R351" s="248" t="s">
        <v>408</v>
      </c>
      <c r="S351" s="249" t="s">
        <v>408</v>
      </c>
      <c r="T351" s="266" t="s">
        <v>408</v>
      </c>
      <c r="U351" s="251" t="s">
        <v>408</v>
      </c>
      <c r="V351" s="252" t="s">
        <v>408</v>
      </c>
      <c r="W351" s="248" t="s">
        <v>408</v>
      </c>
      <c r="X351" s="253" t="s">
        <v>408</v>
      </c>
    </row>
    <row r="352" spans="1:24" ht="20.100000000000001" customHeight="1" x14ac:dyDescent="0.25">
      <c r="A352" s="436"/>
      <c r="B352" s="437"/>
      <c r="D352" s="437"/>
      <c r="F352" s="437"/>
      <c r="Q352" s="224" t="s">
        <v>1063</v>
      </c>
      <c r="R352" s="270"/>
      <c r="S352" s="271" t="s">
        <v>1064</v>
      </c>
      <c r="T352" s="227" t="s">
        <v>746</v>
      </c>
      <c r="U352" s="228" t="s">
        <v>408</v>
      </c>
      <c r="V352" s="229" t="s">
        <v>747</v>
      </c>
      <c r="W352" s="230">
        <v>10</v>
      </c>
      <c r="X352" s="231" t="s">
        <v>1000</v>
      </c>
    </row>
    <row r="353" spans="1:24" ht="20.100000000000001" customHeight="1" x14ac:dyDescent="0.25">
      <c r="A353" s="436"/>
      <c r="B353" s="437"/>
      <c r="D353" s="437"/>
      <c r="F353" s="437"/>
      <c r="Q353" s="232" t="s">
        <v>408</v>
      </c>
      <c r="R353" s="238" t="s">
        <v>1065</v>
      </c>
      <c r="S353" s="244" t="s">
        <v>1066</v>
      </c>
      <c r="T353" s="235" t="s">
        <v>750</v>
      </c>
      <c r="U353" s="236" t="s">
        <v>408</v>
      </c>
      <c r="V353" s="237" t="s">
        <v>751</v>
      </c>
      <c r="W353" s="238" t="s">
        <v>408</v>
      </c>
      <c r="X353" s="239" t="s">
        <v>1002</v>
      </c>
    </row>
    <row r="354" spans="1:24" ht="20.100000000000001" customHeight="1" x14ac:dyDescent="0.25">
      <c r="A354" s="436"/>
      <c r="B354" s="437"/>
      <c r="D354" s="437"/>
      <c r="F354" s="437"/>
      <c r="Q354" s="232" t="s">
        <v>408</v>
      </c>
      <c r="R354" s="238" t="s">
        <v>408</v>
      </c>
      <c r="S354" s="244" t="s">
        <v>1067</v>
      </c>
      <c r="T354" s="235" t="s">
        <v>754</v>
      </c>
      <c r="U354" s="236" t="s">
        <v>408</v>
      </c>
      <c r="V354" s="237" t="s">
        <v>1068</v>
      </c>
      <c r="W354" s="238" t="s">
        <v>408</v>
      </c>
      <c r="X354" s="239" t="s">
        <v>1004</v>
      </c>
    </row>
    <row r="355" spans="1:24" ht="20.100000000000001" customHeight="1" x14ac:dyDescent="0.25">
      <c r="A355" s="436"/>
      <c r="B355" s="437"/>
      <c r="D355" s="437"/>
      <c r="F355" s="437"/>
      <c r="Q355" s="241" t="s">
        <v>408</v>
      </c>
      <c r="R355" s="238" t="s">
        <v>1069</v>
      </c>
      <c r="S355" s="256" t="s">
        <v>1070</v>
      </c>
      <c r="T355" s="243" t="s">
        <v>1006</v>
      </c>
      <c r="U355" s="236">
        <v>1</v>
      </c>
      <c r="V355" s="237" t="s">
        <v>1071</v>
      </c>
      <c r="W355" s="238" t="s">
        <v>408</v>
      </c>
      <c r="X355" s="239" t="s">
        <v>760</v>
      </c>
    </row>
    <row r="356" spans="1:24" ht="20.100000000000001" customHeight="1" x14ac:dyDescent="0.25">
      <c r="A356" s="436"/>
      <c r="B356" s="437"/>
      <c r="D356" s="437"/>
      <c r="F356" s="437"/>
      <c r="Q356" s="232" t="s">
        <v>408</v>
      </c>
      <c r="R356" s="238" t="s">
        <v>1072</v>
      </c>
      <c r="S356" s="244" t="s">
        <v>1073</v>
      </c>
      <c r="T356" s="235" t="s">
        <v>1074</v>
      </c>
      <c r="U356" s="236" t="s">
        <v>408</v>
      </c>
      <c r="V356" s="237" t="s">
        <v>763</v>
      </c>
      <c r="W356" s="238" t="s">
        <v>408</v>
      </c>
      <c r="X356" s="239" t="s">
        <v>1011</v>
      </c>
    </row>
    <row r="357" spans="1:24" ht="20.100000000000001" customHeight="1" x14ac:dyDescent="0.25">
      <c r="A357" s="436"/>
      <c r="B357" s="437"/>
      <c r="D357" s="437"/>
      <c r="F357" s="437"/>
      <c r="Q357" s="232" t="s">
        <v>408</v>
      </c>
      <c r="R357" s="238" t="s">
        <v>408</v>
      </c>
      <c r="S357" s="244" t="s">
        <v>1075</v>
      </c>
      <c r="T357" s="235" t="s">
        <v>781</v>
      </c>
      <c r="U357" s="236">
        <v>1</v>
      </c>
      <c r="V357" s="237" t="s">
        <v>767</v>
      </c>
      <c r="W357" s="238" t="s">
        <v>408</v>
      </c>
      <c r="X357" s="239" t="s">
        <v>776</v>
      </c>
    </row>
    <row r="358" spans="1:24" ht="20.100000000000001" customHeight="1" x14ac:dyDescent="0.25">
      <c r="A358" s="436"/>
      <c r="B358" s="437"/>
      <c r="D358" s="437"/>
      <c r="F358" s="437"/>
      <c r="Q358" s="232" t="s">
        <v>408</v>
      </c>
      <c r="R358" s="238" t="s">
        <v>1076</v>
      </c>
      <c r="S358" s="244" t="s">
        <v>1077</v>
      </c>
      <c r="T358" s="235" t="s">
        <v>793</v>
      </c>
      <c r="U358" s="236">
        <v>2</v>
      </c>
      <c r="V358" s="237" t="s">
        <v>1078</v>
      </c>
      <c r="W358" s="238" t="s">
        <v>408</v>
      </c>
      <c r="X358" s="239" t="s">
        <v>779</v>
      </c>
    </row>
    <row r="359" spans="1:24" ht="20.100000000000001" customHeight="1" x14ac:dyDescent="0.25">
      <c r="A359" s="436"/>
      <c r="B359" s="437"/>
      <c r="D359" s="437"/>
      <c r="F359" s="437"/>
      <c r="Q359" s="232" t="s">
        <v>408</v>
      </c>
      <c r="R359" s="238" t="s">
        <v>408</v>
      </c>
      <c r="S359" s="244" t="s">
        <v>1079</v>
      </c>
      <c r="T359" s="235" t="s">
        <v>854</v>
      </c>
      <c r="U359" s="236">
        <v>2</v>
      </c>
      <c r="V359" s="237" t="s">
        <v>759</v>
      </c>
      <c r="W359" s="238" t="s">
        <v>408</v>
      </c>
      <c r="X359" s="239" t="s">
        <v>1000</v>
      </c>
    </row>
    <row r="360" spans="1:24" ht="20.100000000000001" customHeight="1" x14ac:dyDescent="0.25">
      <c r="A360" s="436"/>
      <c r="B360" s="437"/>
      <c r="D360" s="437"/>
      <c r="F360" s="437"/>
      <c r="Q360" s="232" t="s">
        <v>408</v>
      </c>
      <c r="R360" s="238" t="s">
        <v>1080</v>
      </c>
      <c r="S360" s="244" t="s">
        <v>1081</v>
      </c>
      <c r="T360" s="235" t="s">
        <v>856</v>
      </c>
      <c r="U360" s="236" t="s">
        <v>408</v>
      </c>
      <c r="V360" s="237"/>
      <c r="W360" s="238" t="s">
        <v>408</v>
      </c>
      <c r="X360" s="239" t="s">
        <v>1019</v>
      </c>
    </row>
    <row r="361" spans="1:24" ht="20.100000000000001" customHeight="1" x14ac:dyDescent="0.25">
      <c r="A361" s="436"/>
      <c r="B361" s="437"/>
      <c r="D361" s="437"/>
      <c r="F361" s="437"/>
      <c r="Q361" s="232" t="s">
        <v>408</v>
      </c>
      <c r="R361" s="238" t="s">
        <v>1082</v>
      </c>
      <c r="S361" s="244" t="s">
        <v>1083</v>
      </c>
      <c r="T361" s="235" t="s">
        <v>766</v>
      </c>
      <c r="U361" s="236">
        <v>1</v>
      </c>
      <c r="V361" s="237" t="s">
        <v>785</v>
      </c>
      <c r="W361" s="238" t="s">
        <v>408</v>
      </c>
      <c r="X361" s="239" t="s">
        <v>408</v>
      </c>
    </row>
    <row r="362" spans="1:24" ht="20.100000000000001" customHeight="1" x14ac:dyDescent="0.25">
      <c r="A362" s="436"/>
      <c r="B362" s="437"/>
      <c r="D362" s="437"/>
      <c r="F362" s="437"/>
      <c r="Q362" s="232" t="s">
        <v>408</v>
      </c>
      <c r="R362" s="238" t="s">
        <v>1084</v>
      </c>
      <c r="S362" s="244" t="s">
        <v>1085</v>
      </c>
      <c r="T362" s="235" t="s">
        <v>805</v>
      </c>
      <c r="U362" s="236">
        <v>1</v>
      </c>
      <c r="V362" s="237" t="s">
        <v>788</v>
      </c>
      <c r="W362" s="238" t="s">
        <v>408</v>
      </c>
      <c r="X362" s="239" t="s">
        <v>408</v>
      </c>
    </row>
    <row r="363" spans="1:24" ht="20.100000000000001" customHeight="1" x14ac:dyDescent="0.25">
      <c r="A363" s="436"/>
      <c r="B363" s="437"/>
      <c r="D363" s="437"/>
      <c r="F363" s="437"/>
      <c r="Q363" s="232" t="s">
        <v>408</v>
      </c>
      <c r="R363" s="238" t="s">
        <v>1086</v>
      </c>
      <c r="S363" s="244" t="s">
        <v>1087</v>
      </c>
      <c r="T363" s="235" t="s">
        <v>807</v>
      </c>
      <c r="U363" s="236" t="s">
        <v>408</v>
      </c>
      <c r="V363" s="237" t="s">
        <v>791</v>
      </c>
      <c r="W363" s="238" t="s">
        <v>408</v>
      </c>
      <c r="X363" s="239" t="s">
        <v>408</v>
      </c>
    </row>
    <row r="364" spans="1:24" ht="20.100000000000001" customHeight="1" x14ac:dyDescent="0.25">
      <c r="A364" s="436"/>
      <c r="B364" s="437"/>
      <c r="D364" s="437"/>
      <c r="F364" s="437"/>
      <c r="Q364" s="232" t="s">
        <v>408</v>
      </c>
      <c r="R364" s="238" t="s">
        <v>667</v>
      </c>
      <c r="S364" s="244" t="s">
        <v>1088</v>
      </c>
      <c r="T364" s="235" t="s">
        <v>809</v>
      </c>
      <c r="U364" s="236" t="s">
        <v>408</v>
      </c>
      <c r="V364" s="237" t="s">
        <v>794</v>
      </c>
      <c r="W364" s="238" t="s">
        <v>408</v>
      </c>
      <c r="X364" s="239" t="s">
        <v>408</v>
      </c>
    </row>
    <row r="365" spans="1:24" ht="20.100000000000001" customHeight="1" x14ac:dyDescent="0.25">
      <c r="A365" s="436"/>
      <c r="B365" s="437"/>
      <c r="D365" s="437"/>
      <c r="F365" s="437"/>
      <c r="Q365" s="232" t="s">
        <v>408</v>
      </c>
      <c r="R365" s="238"/>
      <c r="S365" s="244" t="s">
        <v>1089</v>
      </c>
      <c r="T365" s="235" t="s">
        <v>811</v>
      </c>
      <c r="U365" s="236" t="s">
        <v>408</v>
      </c>
      <c r="V365" s="237" t="s">
        <v>1090</v>
      </c>
      <c r="W365" s="238" t="s">
        <v>408</v>
      </c>
      <c r="X365" s="239" t="s">
        <v>408</v>
      </c>
    </row>
    <row r="366" spans="1:24" ht="20.100000000000001" customHeight="1" x14ac:dyDescent="0.25">
      <c r="A366" s="436"/>
      <c r="B366" s="437"/>
      <c r="D366" s="437"/>
      <c r="F366" s="437"/>
      <c r="Q366" s="232" t="s">
        <v>408</v>
      </c>
      <c r="R366" s="238"/>
      <c r="S366" s="244"/>
      <c r="T366" s="235" t="s">
        <v>812</v>
      </c>
      <c r="U366" s="236" t="s">
        <v>408</v>
      </c>
      <c r="V366" s="237" t="s">
        <v>1091</v>
      </c>
      <c r="W366" s="238" t="s">
        <v>408</v>
      </c>
      <c r="X366" s="239" t="s">
        <v>408</v>
      </c>
    </row>
    <row r="367" spans="1:24" ht="20.100000000000001" customHeight="1" x14ac:dyDescent="0.25">
      <c r="A367" s="436"/>
      <c r="B367" s="437"/>
      <c r="D367" s="437"/>
      <c r="F367" s="437"/>
      <c r="Q367" s="232" t="s">
        <v>408</v>
      </c>
      <c r="R367" s="238"/>
      <c r="S367" s="244"/>
      <c r="T367" s="235" t="s">
        <v>1092</v>
      </c>
      <c r="U367" s="236">
        <v>1</v>
      </c>
      <c r="V367" s="237" t="s">
        <v>853</v>
      </c>
      <c r="W367" s="238" t="s">
        <v>408</v>
      </c>
      <c r="X367" s="239" t="s">
        <v>408</v>
      </c>
    </row>
    <row r="368" spans="1:24" ht="20.100000000000001" customHeight="1" x14ac:dyDescent="0.25">
      <c r="A368" s="436"/>
      <c r="B368" s="437"/>
      <c r="D368" s="437"/>
      <c r="F368" s="437"/>
      <c r="Q368" s="232" t="s">
        <v>408</v>
      </c>
      <c r="R368" s="238"/>
      <c r="S368" s="244"/>
      <c r="T368" s="235" t="s">
        <v>1093</v>
      </c>
      <c r="U368" s="236" t="s">
        <v>408</v>
      </c>
      <c r="V368" s="237" t="s">
        <v>408</v>
      </c>
      <c r="W368" s="238" t="s">
        <v>408</v>
      </c>
      <c r="X368" s="239" t="s">
        <v>408</v>
      </c>
    </row>
    <row r="369" spans="1:24" ht="20.100000000000001" customHeight="1" x14ac:dyDescent="0.25">
      <c r="A369" s="436"/>
      <c r="B369" s="437"/>
      <c r="D369" s="437"/>
      <c r="F369" s="437"/>
      <c r="Q369" s="232" t="s">
        <v>408</v>
      </c>
      <c r="R369" s="238" t="s">
        <v>408</v>
      </c>
      <c r="S369" s="244" t="s">
        <v>408</v>
      </c>
      <c r="T369" s="235" t="s">
        <v>1094</v>
      </c>
      <c r="U369" s="236">
        <v>1</v>
      </c>
      <c r="V369" s="237" t="s">
        <v>1095</v>
      </c>
      <c r="W369" s="238" t="s">
        <v>408</v>
      </c>
      <c r="X369" s="239" t="s">
        <v>408</v>
      </c>
    </row>
    <row r="370" spans="1:24" ht="20.100000000000001" customHeight="1" x14ac:dyDescent="0.25">
      <c r="A370" s="436"/>
      <c r="B370" s="437"/>
      <c r="D370" s="437"/>
      <c r="F370" s="437"/>
      <c r="Q370" s="232" t="s">
        <v>408</v>
      </c>
      <c r="R370" s="238" t="s">
        <v>408</v>
      </c>
      <c r="S370" s="244" t="s">
        <v>408</v>
      </c>
      <c r="T370" s="235" t="s">
        <v>956</v>
      </c>
      <c r="U370" s="236">
        <v>1</v>
      </c>
      <c r="V370" s="237" t="s">
        <v>1096</v>
      </c>
      <c r="W370" s="238" t="s">
        <v>408</v>
      </c>
      <c r="X370" s="239" t="s">
        <v>408</v>
      </c>
    </row>
    <row r="371" spans="1:24" ht="20.100000000000001" customHeight="1" x14ac:dyDescent="0.25">
      <c r="A371" s="436"/>
      <c r="B371" s="437"/>
      <c r="D371" s="437"/>
      <c r="F371" s="437"/>
      <c r="Q371" s="232" t="s">
        <v>408</v>
      </c>
      <c r="R371" s="238"/>
      <c r="S371" s="244"/>
      <c r="T371" s="235" t="s">
        <v>816</v>
      </c>
      <c r="U371" s="236">
        <v>1</v>
      </c>
      <c r="V371" s="237" t="s">
        <v>890</v>
      </c>
      <c r="W371" s="238" t="s">
        <v>408</v>
      </c>
      <c r="X371" s="239" t="s">
        <v>408</v>
      </c>
    </row>
    <row r="372" spans="1:24" ht="20.100000000000001" customHeight="1" x14ac:dyDescent="0.25">
      <c r="A372" s="436"/>
      <c r="B372" s="437"/>
      <c r="D372" s="437"/>
      <c r="F372" s="437"/>
      <c r="Q372" s="232" t="s">
        <v>408</v>
      </c>
      <c r="R372" s="238"/>
      <c r="S372" s="244"/>
      <c r="T372" s="235" t="s">
        <v>1097</v>
      </c>
      <c r="U372" s="236">
        <v>1</v>
      </c>
      <c r="V372" s="237" t="s">
        <v>408</v>
      </c>
      <c r="W372" s="238" t="s">
        <v>408</v>
      </c>
      <c r="X372" s="239" t="s">
        <v>408</v>
      </c>
    </row>
    <row r="373" spans="1:24" ht="20.100000000000001" customHeight="1" x14ac:dyDescent="0.25">
      <c r="A373" s="436"/>
      <c r="B373" s="437"/>
      <c r="D373" s="437"/>
      <c r="F373" s="437"/>
      <c r="Q373" s="232" t="s">
        <v>408</v>
      </c>
      <c r="R373" s="238"/>
      <c r="S373" s="244"/>
      <c r="T373" s="235" t="s">
        <v>1098</v>
      </c>
      <c r="U373" s="236">
        <v>1</v>
      </c>
      <c r="V373" s="237" t="s">
        <v>408</v>
      </c>
      <c r="W373" s="238" t="s">
        <v>408</v>
      </c>
      <c r="X373" s="239" t="s">
        <v>408</v>
      </c>
    </row>
    <row r="374" spans="1:24" ht="20.100000000000001" customHeight="1" x14ac:dyDescent="0.25">
      <c r="A374" s="436"/>
      <c r="B374" s="437"/>
      <c r="D374" s="437"/>
      <c r="F374" s="437"/>
      <c r="Q374" s="232" t="s">
        <v>408</v>
      </c>
      <c r="R374" s="238"/>
      <c r="S374" s="244"/>
      <c r="T374" s="235" t="s">
        <v>408</v>
      </c>
      <c r="U374" s="236" t="s">
        <v>408</v>
      </c>
      <c r="V374" s="237" t="s">
        <v>408</v>
      </c>
      <c r="W374" s="238" t="s">
        <v>408</v>
      </c>
      <c r="X374" s="239" t="s">
        <v>408</v>
      </c>
    </row>
    <row r="375" spans="1:24" ht="20.100000000000001" customHeight="1" x14ac:dyDescent="0.25">
      <c r="A375" s="436"/>
      <c r="B375" s="437"/>
      <c r="D375" s="437"/>
      <c r="F375" s="437"/>
      <c r="Q375" s="232" t="s">
        <v>408</v>
      </c>
      <c r="R375" s="238"/>
      <c r="S375" s="244"/>
      <c r="T375" s="235" t="s">
        <v>825</v>
      </c>
      <c r="U375" s="236" t="s">
        <v>408</v>
      </c>
      <c r="V375" s="237" t="s">
        <v>408</v>
      </c>
      <c r="W375" s="238" t="s">
        <v>408</v>
      </c>
      <c r="X375" s="239" t="s">
        <v>408</v>
      </c>
    </row>
    <row r="376" spans="1:24" ht="20.100000000000001" customHeight="1" x14ac:dyDescent="0.25">
      <c r="A376" s="436"/>
      <c r="B376" s="437"/>
      <c r="D376" s="437"/>
      <c r="F376" s="437"/>
      <c r="Q376" s="232" t="s">
        <v>408</v>
      </c>
      <c r="R376" s="238"/>
      <c r="S376" s="244"/>
      <c r="T376" s="235" t="s">
        <v>750</v>
      </c>
      <c r="U376" s="236" t="s">
        <v>408</v>
      </c>
      <c r="V376" s="237" t="s">
        <v>408</v>
      </c>
      <c r="W376" s="238" t="s">
        <v>408</v>
      </c>
      <c r="X376" s="239" t="s">
        <v>408</v>
      </c>
    </row>
    <row r="377" spans="1:24" ht="20.100000000000001" customHeight="1" x14ac:dyDescent="0.25">
      <c r="A377" s="436"/>
      <c r="B377" s="437"/>
      <c r="D377" s="437"/>
      <c r="F377" s="437"/>
      <c r="Q377" s="232" t="s">
        <v>408</v>
      </c>
      <c r="R377" s="238"/>
      <c r="S377" s="244"/>
      <c r="T377" s="235" t="s">
        <v>754</v>
      </c>
      <c r="U377" s="236" t="s">
        <v>408</v>
      </c>
      <c r="V377" s="237" t="s">
        <v>408</v>
      </c>
      <c r="W377" s="238" t="s">
        <v>408</v>
      </c>
      <c r="X377" s="239" t="s">
        <v>408</v>
      </c>
    </row>
    <row r="378" spans="1:24" ht="20.100000000000001" customHeight="1" x14ac:dyDescent="0.25">
      <c r="A378" s="436"/>
      <c r="B378" s="437"/>
      <c r="D378" s="437"/>
      <c r="F378" s="437"/>
      <c r="Q378" s="232" t="s">
        <v>408</v>
      </c>
      <c r="R378" s="238" t="s">
        <v>408</v>
      </c>
      <c r="S378" s="244"/>
      <c r="T378" s="235" t="s">
        <v>826</v>
      </c>
      <c r="U378" s="236">
        <v>1</v>
      </c>
      <c r="V378" s="237" t="s">
        <v>408</v>
      </c>
      <c r="W378" s="238" t="s">
        <v>408</v>
      </c>
      <c r="X378" s="239" t="s">
        <v>408</v>
      </c>
    </row>
    <row r="379" spans="1:24" ht="20.100000000000001" customHeight="1" x14ac:dyDescent="0.25">
      <c r="A379" s="436"/>
      <c r="B379" s="437"/>
      <c r="D379" s="437"/>
      <c r="F379" s="437"/>
      <c r="Q379" s="232" t="s">
        <v>408</v>
      </c>
      <c r="R379" s="238"/>
      <c r="S379" s="244"/>
      <c r="T379" s="235" t="s">
        <v>903</v>
      </c>
      <c r="U379" s="236">
        <v>1</v>
      </c>
      <c r="V379" s="237" t="s">
        <v>408</v>
      </c>
      <c r="W379" s="238" t="s">
        <v>408</v>
      </c>
      <c r="X379" s="239" t="s">
        <v>408</v>
      </c>
    </row>
    <row r="380" spans="1:24" ht="20.100000000000001" customHeight="1" x14ac:dyDescent="0.25">
      <c r="A380" s="436"/>
      <c r="B380" s="437"/>
      <c r="D380" s="437"/>
      <c r="F380" s="437"/>
      <c r="Q380" s="232" t="s">
        <v>408</v>
      </c>
      <c r="R380" s="238"/>
      <c r="S380" s="244"/>
      <c r="T380" s="235" t="s">
        <v>833</v>
      </c>
      <c r="U380" s="236" t="s">
        <v>408</v>
      </c>
      <c r="V380" s="237" t="s">
        <v>408</v>
      </c>
      <c r="W380" s="238" t="s">
        <v>408</v>
      </c>
      <c r="X380" s="239" t="s">
        <v>408</v>
      </c>
    </row>
    <row r="381" spans="1:24" ht="20.100000000000001" customHeight="1" x14ac:dyDescent="0.25">
      <c r="A381" s="436"/>
      <c r="B381" s="437"/>
      <c r="D381" s="437"/>
      <c r="F381" s="437"/>
      <c r="Q381" s="232" t="s">
        <v>408</v>
      </c>
      <c r="R381" s="238"/>
      <c r="S381" s="244"/>
      <c r="T381" s="235" t="s">
        <v>1099</v>
      </c>
      <c r="U381" s="236">
        <v>1</v>
      </c>
      <c r="V381" s="237" t="s">
        <v>408</v>
      </c>
      <c r="W381" s="238" t="s">
        <v>408</v>
      </c>
      <c r="X381" s="239" t="s">
        <v>408</v>
      </c>
    </row>
    <row r="382" spans="1:24" ht="20.100000000000001" customHeight="1" x14ac:dyDescent="0.25">
      <c r="A382" s="436"/>
      <c r="B382" s="437"/>
      <c r="D382" s="437"/>
      <c r="F382" s="437"/>
      <c r="Q382" s="232" t="s">
        <v>408</v>
      </c>
      <c r="R382" s="238"/>
      <c r="S382" s="244"/>
      <c r="T382" s="235" t="s">
        <v>1100</v>
      </c>
      <c r="U382" s="236" t="s">
        <v>408</v>
      </c>
      <c r="V382" s="237" t="s">
        <v>408</v>
      </c>
      <c r="W382" s="238" t="s">
        <v>408</v>
      </c>
      <c r="X382" s="239" t="s">
        <v>408</v>
      </c>
    </row>
    <row r="383" spans="1:24" ht="20.100000000000001" customHeight="1" x14ac:dyDescent="0.25">
      <c r="A383" s="436"/>
      <c r="B383" s="437"/>
      <c r="D383" s="437"/>
      <c r="F383" s="437"/>
      <c r="Q383" s="232" t="s">
        <v>408</v>
      </c>
      <c r="R383" s="238"/>
      <c r="S383" s="244"/>
      <c r="T383" s="235" t="s">
        <v>862</v>
      </c>
      <c r="U383" s="236">
        <v>1</v>
      </c>
      <c r="V383" s="237" t="s">
        <v>408</v>
      </c>
      <c r="W383" s="238" t="s">
        <v>408</v>
      </c>
      <c r="X383" s="239" t="s">
        <v>408</v>
      </c>
    </row>
    <row r="384" spans="1:24" ht="20.100000000000001" customHeight="1" x14ac:dyDescent="0.25">
      <c r="A384" s="436"/>
      <c r="B384" s="437"/>
      <c r="D384" s="437"/>
      <c r="F384" s="437"/>
      <c r="Q384" s="232" t="s">
        <v>408</v>
      </c>
      <c r="R384" s="238"/>
      <c r="S384" s="244"/>
      <c r="T384" s="235" t="s">
        <v>831</v>
      </c>
      <c r="U384" s="236" t="s">
        <v>408</v>
      </c>
      <c r="V384" s="237" t="s">
        <v>408</v>
      </c>
      <c r="W384" s="238" t="s">
        <v>408</v>
      </c>
      <c r="X384" s="239" t="s">
        <v>408</v>
      </c>
    </row>
    <row r="385" spans="1:24" ht="20.100000000000001" customHeight="1" x14ac:dyDescent="0.25">
      <c r="A385" s="436"/>
      <c r="B385" s="437"/>
      <c r="D385" s="437"/>
      <c r="F385" s="437"/>
      <c r="Q385" s="232" t="s">
        <v>408</v>
      </c>
      <c r="R385" s="238"/>
      <c r="S385" s="244"/>
      <c r="T385" s="235" t="s">
        <v>827</v>
      </c>
      <c r="U385" s="236">
        <v>1</v>
      </c>
      <c r="V385" s="237" t="s">
        <v>408</v>
      </c>
      <c r="W385" s="238" t="s">
        <v>408</v>
      </c>
      <c r="X385" s="239" t="s">
        <v>408</v>
      </c>
    </row>
    <row r="386" spans="1:24" ht="20.100000000000001" customHeight="1" x14ac:dyDescent="0.25">
      <c r="A386" s="436"/>
      <c r="B386" s="437"/>
      <c r="D386" s="437"/>
      <c r="F386" s="437"/>
      <c r="Q386" s="232" t="s">
        <v>408</v>
      </c>
      <c r="R386" s="238"/>
      <c r="S386" s="244"/>
      <c r="T386" s="235" t="s">
        <v>828</v>
      </c>
      <c r="U386" s="236" t="s">
        <v>408</v>
      </c>
      <c r="V386" s="237" t="s">
        <v>408</v>
      </c>
      <c r="W386" s="238" t="s">
        <v>408</v>
      </c>
      <c r="X386" s="239" t="s">
        <v>408</v>
      </c>
    </row>
    <row r="387" spans="1:24" ht="20.100000000000001" customHeight="1" x14ac:dyDescent="0.25">
      <c r="A387" s="436"/>
      <c r="B387" s="437"/>
      <c r="D387" s="437"/>
      <c r="F387" s="437"/>
      <c r="Q387" s="232" t="s">
        <v>408</v>
      </c>
      <c r="R387" s="238"/>
      <c r="S387" s="244"/>
      <c r="T387" s="235" t="s">
        <v>408</v>
      </c>
      <c r="U387" s="236" t="s">
        <v>408</v>
      </c>
      <c r="V387" s="237" t="s">
        <v>408</v>
      </c>
      <c r="W387" s="238" t="s">
        <v>408</v>
      </c>
      <c r="X387" s="239" t="s">
        <v>408</v>
      </c>
    </row>
    <row r="388" spans="1:24" ht="20.100000000000001" customHeight="1" x14ac:dyDescent="0.25">
      <c r="A388" s="436"/>
      <c r="B388" s="437"/>
      <c r="D388" s="437"/>
      <c r="F388" s="437"/>
      <c r="Q388" s="232" t="s">
        <v>408</v>
      </c>
      <c r="R388" s="238" t="s">
        <v>408</v>
      </c>
      <c r="S388" s="244" t="s">
        <v>408</v>
      </c>
      <c r="T388" s="235" t="s">
        <v>840</v>
      </c>
      <c r="U388" s="236" t="s">
        <v>408</v>
      </c>
      <c r="V388" s="237" t="s">
        <v>408</v>
      </c>
      <c r="W388" s="238" t="s">
        <v>408</v>
      </c>
      <c r="X388" s="239" t="s">
        <v>408</v>
      </c>
    </row>
    <row r="389" spans="1:24" ht="20.100000000000001" customHeight="1" x14ac:dyDescent="0.25">
      <c r="A389" s="436"/>
      <c r="B389" s="437"/>
      <c r="D389" s="437"/>
      <c r="F389" s="437"/>
      <c r="Q389" s="232" t="s">
        <v>408</v>
      </c>
      <c r="R389" s="238" t="s">
        <v>408</v>
      </c>
      <c r="S389" s="244" t="s">
        <v>408</v>
      </c>
      <c r="T389" s="235" t="s">
        <v>841</v>
      </c>
      <c r="U389" s="236" t="s">
        <v>408</v>
      </c>
      <c r="V389" s="237" t="s">
        <v>408</v>
      </c>
      <c r="W389" s="238" t="s">
        <v>408</v>
      </c>
      <c r="X389" s="239" t="s">
        <v>408</v>
      </c>
    </row>
    <row r="390" spans="1:24" ht="20.100000000000001" customHeight="1" x14ac:dyDescent="0.25">
      <c r="A390" s="436"/>
      <c r="B390" s="437"/>
      <c r="D390" s="437"/>
      <c r="F390" s="437"/>
      <c r="Q390" s="232" t="s">
        <v>408</v>
      </c>
      <c r="R390" s="238" t="s">
        <v>408</v>
      </c>
      <c r="S390" s="244" t="s">
        <v>408</v>
      </c>
      <c r="T390" s="235" t="s">
        <v>794</v>
      </c>
      <c r="U390" s="236" t="s">
        <v>408</v>
      </c>
      <c r="V390" s="237" t="s">
        <v>408</v>
      </c>
      <c r="W390" s="238" t="s">
        <v>408</v>
      </c>
      <c r="X390" s="239" t="s">
        <v>408</v>
      </c>
    </row>
    <row r="391" spans="1:24" ht="20.100000000000001" customHeight="1" x14ac:dyDescent="0.25">
      <c r="A391" s="436"/>
      <c r="B391" s="437"/>
      <c r="D391" s="437"/>
      <c r="F391" s="437"/>
      <c r="Q391" s="232" t="s">
        <v>408</v>
      </c>
      <c r="R391" s="238" t="s">
        <v>408</v>
      </c>
      <c r="S391" s="244" t="s">
        <v>408</v>
      </c>
      <c r="T391" s="235" t="s">
        <v>997</v>
      </c>
      <c r="U391" s="236">
        <v>1</v>
      </c>
      <c r="V391" s="237" t="s">
        <v>408</v>
      </c>
      <c r="W391" s="238" t="s">
        <v>408</v>
      </c>
      <c r="X391" s="239" t="s">
        <v>408</v>
      </c>
    </row>
    <row r="392" spans="1:24" ht="20.100000000000001" customHeight="1" x14ac:dyDescent="0.25">
      <c r="A392" s="436"/>
      <c r="B392" s="437"/>
      <c r="D392" s="437"/>
      <c r="F392" s="437"/>
      <c r="Q392" s="232" t="s">
        <v>408</v>
      </c>
      <c r="R392" s="238" t="s">
        <v>408</v>
      </c>
      <c r="S392" s="244" t="s">
        <v>408</v>
      </c>
      <c r="T392" s="235" t="s">
        <v>844</v>
      </c>
      <c r="U392" s="236">
        <v>1</v>
      </c>
      <c r="V392" s="237" t="s">
        <v>408</v>
      </c>
      <c r="W392" s="238" t="s">
        <v>408</v>
      </c>
      <c r="X392" s="239" t="s">
        <v>408</v>
      </c>
    </row>
    <row r="393" spans="1:24" ht="20.100000000000001" customHeight="1" x14ac:dyDescent="0.25">
      <c r="A393" s="436"/>
      <c r="B393" s="437"/>
      <c r="D393" s="437"/>
      <c r="F393" s="437"/>
      <c r="Q393" s="232" t="s">
        <v>408</v>
      </c>
      <c r="R393" s="238" t="s">
        <v>408</v>
      </c>
      <c r="S393" s="244" t="s">
        <v>408</v>
      </c>
      <c r="T393" s="235" t="s">
        <v>845</v>
      </c>
      <c r="U393" s="236">
        <v>1</v>
      </c>
      <c r="V393" s="237" t="s">
        <v>408</v>
      </c>
      <c r="W393" s="238" t="s">
        <v>408</v>
      </c>
      <c r="X393" s="239" t="s">
        <v>408</v>
      </c>
    </row>
    <row r="394" spans="1:24" ht="20.100000000000001" customHeight="1" x14ac:dyDescent="0.25">
      <c r="A394" s="436"/>
      <c r="B394" s="437"/>
      <c r="D394" s="437"/>
      <c r="F394" s="437"/>
      <c r="Q394" s="232" t="s">
        <v>408</v>
      </c>
      <c r="R394" s="238" t="s">
        <v>408</v>
      </c>
      <c r="S394" s="244" t="s">
        <v>408</v>
      </c>
      <c r="T394" s="235" t="s">
        <v>846</v>
      </c>
      <c r="U394" s="236" t="s">
        <v>408</v>
      </c>
      <c r="V394" s="237" t="s">
        <v>408</v>
      </c>
      <c r="W394" s="238" t="s">
        <v>408</v>
      </c>
      <c r="X394" s="239" t="s">
        <v>408</v>
      </c>
    </row>
    <row r="395" spans="1:24" ht="20.100000000000001" customHeight="1" x14ac:dyDescent="0.25">
      <c r="A395" s="436"/>
      <c r="B395" s="437"/>
      <c r="D395" s="437"/>
      <c r="F395" s="437"/>
      <c r="Q395" s="232"/>
      <c r="R395" s="238"/>
      <c r="S395" s="244"/>
      <c r="T395" s="235"/>
      <c r="U395" s="236"/>
      <c r="V395" s="237"/>
      <c r="W395" s="238"/>
      <c r="X395" s="239"/>
    </row>
    <row r="396" spans="1:24" ht="20.100000000000001" customHeight="1" x14ac:dyDescent="0.25">
      <c r="A396" s="436"/>
      <c r="B396" s="437"/>
      <c r="D396" s="437"/>
      <c r="F396" s="437"/>
      <c r="Q396" s="232" t="s">
        <v>408</v>
      </c>
      <c r="R396" s="238" t="s">
        <v>408</v>
      </c>
      <c r="S396" s="244" t="s">
        <v>408</v>
      </c>
      <c r="T396" s="235" t="s">
        <v>1095</v>
      </c>
      <c r="U396" s="236" t="s">
        <v>408</v>
      </c>
      <c r="V396" s="237" t="s">
        <v>408</v>
      </c>
      <c r="W396" s="238" t="s">
        <v>408</v>
      </c>
      <c r="X396" s="239" t="s">
        <v>408</v>
      </c>
    </row>
    <row r="397" spans="1:24" ht="20.100000000000001" customHeight="1" x14ac:dyDescent="0.25">
      <c r="A397" s="436"/>
      <c r="B397" s="437"/>
      <c r="D397" s="437"/>
      <c r="F397" s="437"/>
      <c r="Q397" s="232" t="s">
        <v>408</v>
      </c>
      <c r="R397" s="238" t="s">
        <v>408</v>
      </c>
      <c r="S397" s="244" t="s">
        <v>408</v>
      </c>
      <c r="T397" s="235" t="s">
        <v>1101</v>
      </c>
      <c r="U397" s="236">
        <v>1</v>
      </c>
      <c r="V397" s="237" t="s">
        <v>408</v>
      </c>
      <c r="W397" s="238" t="s">
        <v>408</v>
      </c>
      <c r="X397" s="239" t="s">
        <v>408</v>
      </c>
    </row>
    <row r="398" spans="1:24" ht="20.100000000000001" customHeight="1" x14ac:dyDescent="0.25">
      <c r="A398" s="436"/>
      <c r="B398" s="437"/>
      <c r="D398" s="437"/>
      <c r="F398" s="437"/>
      <c r="Q398" s="247" t="s">
        <v>408</v>
      </c>
      <c r="R398" s="248" t="s">
        <v>408</v>
      </c>
      <c r="S398" s="249" t="s">
        <v>408</v>
      </c>
      <c r="T398" s="266" t="s">
        <v>408</v>
      </c>
      <c r="U398" s="251" t="s">
        <v>408</v>
      </c>
      <c r="V398" s="252" t="s">
        <v>408</v>
      </c>
      <c r="W398" s="248" t="s">
        <v>408</v>
      </c>
      <c r="X398" s="253" t="s">
        <v>408</v>
      </c>
    </row>
    <row r="399" spans="1:24" ht="20.100000000000001" customHeight="1" x14ac:dyDescent="0.25">
      <c r="A399" s="436"/>
      <c r="B399" s="437"/>
      <c r="D399" s="437"/>
      <c r="F399" s="437"/>
      <c r="Q399" s="224" t="s">
        <v>1102</v>
      </c>
      <c r="R399" s="225"/>
      <c r="S399" s="262" t="s">
        <v>1103</v>
      </c>
      <c r="T399" s="227" t="s">
        <v>746</v>
      </c>
      <c r="U399" s="228" t="s">
        <v>408</v>
      </c>
      <c r="V399" s="229" t="s">
        <v>747</v>
      </c>
      <c r="W399" s="230">
        <v>13</v>
      </c>
      <c r="X399" s="231" t="s">
        <v>760</v>
      </c>
    </row>
    <row r="400" spans="1:24" ht="20.100000000000001" customHeight="1" x14ac:dyDescent="0.25">
      <c r="A400" s="436"/>
      <c r="B400" s="437"/>
      <c r="D400" s="437"/>
      <c r="F400" s="437"/>
      <c r="Q400" s="232" t="s">
        <v>408</v>
      </c>
      <c r="R400" s="268"/>
      <c r="S400" s="269" t="s">
        <v>1104</v>
      </c>
      <c r="T400" s="235" t="s">
        <v>750</v>
      </c>
      <c r="U400" s="236" t="s">
        <v>408</v>
      </c>
      <c r="V400" s="237" t="s">
        <v>751</v>
      </c>
      <c r="W400" s="238"/>
      <c r="X400" s="239" t="s">
        <v>764</v>
      </c>
    </row>
    <row r="401" spans="1:24" ht="20.100000000000001" customHeight="1" x14ac:dyDescent="0.25">
      <c r="A401" s="436"/>
      <c r="B401" s="437"/>
      <c r="D401" s="437"/>
      <c r="F401" s="437"/>
      <c r="Q401" s="232" t="s">
        <v>408</v>
      </c>
      <c r="R401" s="238" t="s">
        <v>1105</v>
      </c>
      <c r="S401" s="244" t="s">
        <v>1009</v>
      </c>
      <c r="T401" s="235" t="s">
        <v>754</v>
      </c>
      <c r="U401" s="236" t="s">
        <v>408</v>
      </c>
      <c r="V401" s="237" t="s">
        <v>1106</v>
      </c>
      <c r="W401" s="238" t="s">
        <v>408</v>
      </c>
      <c r="X401" s="239" t="s">
        <v>876</v>
      </c>
    </row>
    <row r="402" spans="1:24" ht="20.100000000000001" customHeight="1" x14ac:dyDescent="0.25">
      <c r="A402" s="436"/>
      <c r="B402" s="437"/>
      <c r="D402" s="437"/>
      <c r="F402" s="437"/>
      <c r="Q402" s="232" t="s">
        <v>408</v>
      </c>
      <c r="R402" s="238" t="s">
        <v>408</v>
      </c>
      <c r="S402" s="244" t="s">
        <v>1012</v>
      </c>
      <c r="T402" s="235" t="s">
        <v>758</v>
      </c>
      <c r="U402" s="236">
        <v>2</v>
      </c>
      <c r="V402" s="237" t="s">
        <v>1107</v>
      </c>
      <c r="W402" s="238" t="s">
        <v>408</v>
      </c>
      <c r="X402" s="239" t="s">
        <v>1011</v>
      </c>
    </row>
    <row r="403" spans="1:24" ht="20.100000000000001" customHeight="1" x14ac:dyDescent="0.25">
      <c r="A403" s="436"/>
      <c r="B403" s="437"/>
      <c r="D403" s="437"/>
      <c r="F403" s="437"/>
      <c r="Q403" s="232" t="s">
        <v>408</v>
      </c>
      <c r="R403" s="238" t="s">
        <v>408</v>
      </c>
      <c r="S403" s="244" t="s">
        <v>953</v>
      </c>
      <c r="T403" s="235" t="s">
        <v>762</v>
      </c>
      <c r="U403" s="236">
        <v>1</v>
      </c>
      <c r="V403" s="237" t="s">
        <v>1108</v>
      </c>
      <c r="W403" s="238" t="s">
        <v>408</v>
      </c>
      <c r="X403" s="239" t="s">
        <v>776</v>
      </c>
    </row>
    <row r="404" spans="1:24" ht="20.100000000000001" customHeight="1" x14ac:dyDescent="0.25">
      <c r="A404" s="436"/>
      <c r="B404" s="437"/>
      <c r="D404" s="437"/>
      <c r="F404" s="437"/>
      <c r="Q404" s="232" t="s">
        <v>408</v>
      </c>
      <c r="R404" s="238" t="s">
        <v>1109</v>
      </c>
      <c r="S404" s="244" t="s">
        <v>1110</v>
      </c>
      <c r="T404" s="235" t="s">
        <v>766</v>
      </c>
      <c r="U404" s="236">
        <v>1</v>
      </c>
      <c r="V404" s="237" t="s">
        <v>1111</v>
      </c>
      <c r="W404" s="238" t="s">
        <v>408</v>
      </c>
      <c r="X404" s="239" t="s">
        <v>779</v>
      </c>
    </row>
    <row r="405" spans="1:24" ht="20.100000000000001" customHeight="1" x14ac:dyDescent="0.25">
      <c r="A405" s="436"/>
      <c r="B405" s="437"/>
      <c r="D405" s="437"/>
      <c r="F405" s="437"/>
      <c r="Q405" s="232" t="s">
        <v>408</v>
      </c>
      <c r="R405" s="238"/>
      <c r="S405" s="244" t="s">
        <v>1112</v>
      </c>
      <c r="T405" s="235" t="s">
        <v>956</v>
      </c>
      <c r="U405" s="236">
        <v>1</v>
      </c>
      <c r="V405" s="237" t="s">
        <v>771</v>
      </c>
      <c r="W405" s="238" t="s">
        <v>408</v>
      </c>
      <c r="X405" s="239" t="s">
        <v>408</v>
      </c>
    </row>
    <row r="406" spans="1:24" ht="20.100000000000001" customHeight="1" x14ac:dyDescent="0.25">
      <c r="A406" s="436"/>
      <c r="B406" s="437"/>
      <c r="D406" s="437"/>
      <c r="F406" s="437"/>
      <c r="Q406" s="232" t="s">
        <v>408</v>
      </c>
      <c r="R406" s="238"/>
      <c r="S406" s="244" t="s">
        <v>1113</v>
      </c>
      <c r="T406" s="235" t="s">
        <v>1094</v>
      </c>
      <c r="U406" s="236">
        <v>1</v>
      </c>
      <c r="V406" s="237" t="s">
        <v>767</v>
      </c>
      <c r="W406" s="238" t="s">
        <v>408</v>
      </c>
      <c r="X406" s="239" t="s">
        <v>408</v>
      </c>
    </row>
    <row r="407" spans="1:24" ht="20.100000000000001" customHeight="1" x14ac:dyDescent="0.25">
      <c r="A407" s="436"/>
      <c r="B407" s="437"/>
      <c r="D407" s="437"/>
      <c r="F407" s="437"/>
      <c r="Q407" s="232" t="s">
        <v>408</v>
      </c>
      <c r="R407" s="238" t="s">
        <v>951</v>
      </c>
      <c r="S407" s="244" t="s">
        <v>952</v>
      </c>
      <c r="T407" s="235" t="s">
        <v>1114</v>
      </c>
      <c r="U407" s="236" t="s">
        <v>408</v>
      </c>
      <c r="V407" s="237"/>
      <c r="W407" s="238" t="s">
        <v>408</v>
      </c>
      <c r="X407" s="239" t="s">
        <v>408</v>
      </c>
    </row>
    <row r="408" spans="1:24" ht="20.100000000000001" customHeight="1" x14ac:dyDescent="0.25">
      <c r="A408" s="436"/>
      <c r="B408" s="437"/>
      <c r="D408" s="437"/>
      <c r="F408" s="437"/>
      <c r="Q408" s="241" t="s">
        <v>408</v>
      </c>
      <c r="R408" s="238" t="s">
        <v>408</v>
      </c>
      <c r="S408" s="256" t="s">
        <v>953</v>
      </c>
      <c r="T408" s="243" t="s">
        <v>781</v>
      </c>
      <c r="U408" s="236">
        <v>1</v>
      </c>
      <c r="V408" s="237" t="s">
        <v>785</v>
      </c>
      <c r="W408" s="238" t="s">
        <v>408</v>
      </c>
      <c r="X408" s="239" t="s">
        <v>408</v>
      </c>
    </row>
    <row r="409" spans="1:24" ht="20.100000000000001" customHeight="1" x14ac:dyDescent="0.25">
      <c r="A409" s="436"/>
      <c r="B409" s="437"/>
      <c r="D409" s="437"/>
      <c r="F409" s="437"/>
      <c r="Q409" s="232" t="s">
        <v>408</v>
      </c>
      <c r="R409" s="238" t="s">
        <v>1115</v>
      </c>
      <c r="S409" s="244" t="s">
        <v>1116</v>
      </c>
      <c r="T409" s="235" t="s">
        <v>790</v>
      </c>
      <c r="U409" s="236">
        <v>1</v>
      </c>
      <c r="V409" s="237" t="s">
        <v>788</v>
      </c>
      <c r="W409" s="238" t="s">
        <v>408</v>
      </c>
      <c r="X409" s="239" t="s">
        <v>408</v>
      </c>
    </row>
    <row r="410" spans="1:24" ht="20.100000000000001" customHeight="1" x14ac:dyDescent="0.25">
      <c r="A410" s="436"/>
      <c r="B410" s="437"/>
      <c r="D410" s="437"/>
      <c r="F410" s="437"/>
      <c r="Q410" s="232" t="s">
        <v>408</v>
      </c>
      <c r="R410" s="238" t="s">
        <v>408</v>
      </c>
      <c r="S410" s="244" t="s">
        <v>1117</v>
      </c>
      <c r="T410" s="235" t="s">
        <v>784</v>
      </c>
      <c r="U410" s="236">
        <v>1</v>
      </c>
      <c r="V410" s="237" t="s">
        <v>791</v>
      </c>
      <c r="W410" s="238" t="s">
        <v>408</v>
      </c>
      <c r="X410" s="239" t="s">
        <v>408</v>
      </c>
    </row>
    <row r="411" spans="1:24" ht="20.100000000000001" customHeight="1" x14ac:dyDescent="0.25">
      <c r="A411" s="436"/>
      <c r="B411" s="437"/>
      <c r="D411" s="437"/>
      <c r="F411" s="437"/>
      <c r="Q411" s="232" t="s">
        <v>408</v>
      </c>
      <c r="R411" s="238" t="s">
        <v>1118</v>
      </c>
      <c r="S411" s="244" t="s">
        <v>1119</v>
      </c>
      <c r="T411" s="235" t="s">
        <v>787</v>
      </c>
      <c r="U411" s="236">
        <v>1</v>
      </c>
      <c r="V411" s="237" t="s">
        <v>794</v>
      </c>
      <c r="W411" s="238" t="s">
        <v>408</v>
      </c>
      <c r="X411" s="239" t="s">
        <v>408</v>
      </c>
    </row>
    <row r="412" spans="1:24" ht="20.100000000000001" customHeight="1" x14ac:dyDescent="0.25">
      <c r="A412" s="436"/>
      <c r="B412" s="437"/>
      <c r="D412" s="437"/>
      <c r="F412" s="437"/>
      <c r="Q412" s="232" t="s">
        <v>408</v>
      </c>
      <c r="R412" s="238" t="s">
        <v>408</v>
      </c>
      <c r="S412" s="244" t="s">
        <v>1117</v>
      </c>
      <c r="T412" s="235" t="s">
        <v>793</v>
      </c>
      <c r="U412" s="236">
        <v>2</v>
      </c>
      <c r="V412" s="237" t="s">
        <v>853</v>
      </c>
      <c r="W412" s="238" t="s">
        <v>408</v>
      </c>
      <c r="X412" s="239" t="s">
        <v>408</v>
      </c>
    </row>
    <row r="413" spans="1:24" ht="20.100000000000001" customHeight="1" x14ac:dyDescent="0.25">
      <c r="A413" s="436"/>
      <c r="B413" s="437"/>
      <c r="D413" s="437"/>
      <c r="F413" s="437"/>
      <c r="Q413" s="232" t="s">
        <v>408</v>
      </c>
      <c r="R413" s="238" t="s">
        <v>408</v>
      </c>
      <c r="S413" s="244" t="s">
        <v>1120</v>
      </c>
      <c r="T413" s="235" t="s">
        <v>1092</v>
      </c>
      <c r="U413" s="236">
        <v>1</v>
      </c>
      <c r="V413" s="237"/>
      <c r="W413" s="238" t="s">
        <v>408</v>
      </c>
      <c r="X413" s="239" t="s">
        <v>408</v>
      </c>
    </row>
    <row r="414" spans="1:24" ht="20.100000000000001" customHeight="1" x14ac:dyDescent="0.25">
      <c r="A414" s="436"/>
      <c r="B414" s="437"/>
      <c r="D414" s="437"/>
      <c r="F414" s="437"/>
      <c r="Q414" s="232" t="s">
        <v>408</v>
      </c>
      <c r="R414" s="238" t="s">
        <v>1121</v>
      </c>
      <c r="S414" s="244" t="s">
        <v>1122</v>
      </c>
      <c r="T414" s="235" t="s">
        <v>1093</v>
      </c>
      <c r="U414" s="236" t="s">
        <v>408</v>
      </c>
      <c r="V414" s="237" t="s">
        <v>813</v>
      </c>
      <c r="W414" s="238" t="s">
        <v>408</v>
      </c>
      <c r="X414" s="239" t="s">
        <v>408</v>
      </c>
    </row>
    <row r="415" spans="1:24" ht="20.100000000000001" customHeight="1" x14ac:dyDescent="0.25">
      <c r="A415" s="436"/>
      <c r="B415" s="437"/>
      <c r="D415" s="437"/>
      <c r="F415" s="437"/>
      <c r="Q415" s="232" t="s">
        <v>408</v>
      </c>
      <c r="R415" s="238" t="s">
        <v>408</v>
      </c>
      <c r="S415" s="244" t="s">
        <v>1117</v>
      </c>
      <c r="T415" s="235" t="s">
        <v>1092</v>
      </c>
      <c r="U415" s="236">
        <v>1</v>
      </c>
      <c r="V415" s="237" t="s">
        <v>815</v>
      </c>
      <c r="W415" s="238" t="s">
        <v>408</v>
      </c>
      <c r="X415" s="239" t="s">
        <v>408</v>
      </c>
    </row>
    <row r="416" spans="1:24" ht="20.100000000000001" customHeight="1" x14ac:dyDescent="0.25">
      <c r="A416" s="436"/>
      <c r="B416" s="437"/>
      <c r="D416" s="437"/>
      <c r="F416" s="437"/>
      <c r="Q416" s="232" t="s">
        <v>408</v>
      </c>
      <c r="R416" s="238" t="s">
        <v>1123</v>
      </c>
      <c r="S416" s="244" t="s">
        <v>1124</v>
      </c>
      <c r="T416" s="235" t="s">
        <v>823</v>
      </c>
      <c r="U416" s="236" t="s">
        <v>408</v>
      </c>
      <c r="V416" s="237" t="s">
        <v>817</v>
      </c>
      <c r="W416" s="238" t="s">
        <v>408</v>
      </c>
      <c r="X416" s="239" t="s">
        <v>408</v>
      </c>
    </row>
    <row r="417" spans="1:24" ht="20.100000000000001" customHeight="1" x14ac:dyDescent="0.25">
      <c r="A417" s="436"/>
      <c r="B417" s="437"/>
      <c r="D417" s="437"/>
      <c r="F417" s="437"/>
      <c r="Q417" s="232" t="s">
        <v>408</v>
      </c>
      <c r="R417" s="238" t="s">
        <v>408</v>
      </c>
      <c r="S417" s="244" t="s">
        <v>981</v>
      </c>
      <c r="T417" s="235" t="s">
        <v>824</v>
      </c>
      <c r="U417" s="236" t="s">
        <v>408</v>
      </c>
      <c r="V417" s="237" t="s">
        <v>819</v>
      </c>
      <c r="W417" s="238" t="s">
        <v>408</v>
      </c>
      <c r="X417" s="239" t="s">
        <v>408</v>
      </c>
    </row>
    <row r="418" spans="1:24" ht="20.100000000000001" customHeight="1" x14ac:dyDescent="0.25">
      <c r="A418" s="436"/>
      <c r="B418" s="437"/>
      <c r="D418" s="437"/>
      <c r="F418" s="437"/>
      <c r="Q418" s="232" t="s">
        <v>408</v>
      </c>
      <c r="R418" s="238"/>
      <c r="S418" s="244" t="s">
        <v>982</v>
      </c>
      <c r="T418" s="235" t="s">
        <v>408</v>
      </c>
      <c r="U418" s="236" t="s">
        <v>408</v>
      </c>
      <c r="V418" s="237" t="s">
        <v>821</v>
      </c>
      <c r="W418" s="238" t="s">
        <v>408</v>
      </c>
      <c r="X418" s="239" t="s">
        <v>408</v>
      </c>
    </row>
    <row r="419" spans="1:24" ht="20.100000000000001" customHeight="1" x14ac:dyDescent="0.25">
      <c r="A419" s="436"/>
      <c r="B419" s="437"/>
      <c r="D419" s="437"/>
      <c r="F419" s="437"/>
      <c r="Q419" s="232" t="s">
        <v>408</v>
      </c>
      <c r="R419" s="238" t="s">
        <v>1125</v>
      </c>
      <c r="S419" s="244" t="s">
        <v>1124</v>
      </c>
      <c r="T419" s="235" t="s">
        <v>825</v>
      </c>
      <c r="U419" s="236" t="s">
        <v>408</v>
      </c>
      <c r="V419" s="237" t="s">
        <v>890</v>
      </c>
      <c r="W419" s="238" t="s">
        <v>408</v>
      </c>
      <c r="X419" s="239" t="s">
        <v>408</v>
      </c>
    </row>
    <row r="420" spans="1:24" ht="20.100000000000001" customHeight="1" x14ac:dyDescent="0.25">
      <c r="A420" s="436"/>
      <c r="B420" s="437"/>
      <c r="D420" s="437"/>
      <c r="F420" s="437"/>
      <c r="Q420" s="232" t="s">
        <v>408</v>
      </c>
      <c r="R420" s="238" t="s">
        <v>408</v>
      </c>
      <c r="S420" s="244" t="s">
        <v>984</v>
      </c>
      <c r="T420" s="235" t="s">
        <v>1126</v>
      </c>
      <c r="U420" s="236" t="s">
        <v>408</v>
      </c>
      <c r="V420" s="237" t="s">
        <v>408</v>
      </c>
      <c r="W420" s="238" t="s">
        <v>408</v>
      </c>
      <c r="X420" s="239" t="s">
        <v>408</v>
      </c>
    </row>
    <row r="421" spans="1:24" ht="20.100000000000001" customHeight="1" x14ac:dyDescent="0.25">
      <c r="A421" s="436"/>
      <c r="B421" s="437"/>
      <c r="D421" s="437"/>
      <c r="F421" s="437"/>
      <c r="Q421" s="232" t="s">
        <v>408</v>
      </c>
      <c r="R421" s="238"/>
      <c r="S421" s="244" t="s">
        <v>982</v>
      </c>
      <c r="T421" s="235" t="s">
        <v>754</v>
      </c>
      <c r="U421" s="236" t="s">
        <v>408</v>
      </c>
      <c r="V421" s="237" t="s">
        <v>408</v>
      </c>
      <c r="W421" s="238" t="s">
        <v>408</v>
      </c>
      <c r="X421" s="239" t="s">
        <v>408</v>
      </c>
    </row>
    <row r="422" spans="1:24" ht="20.100000000000001" customHeight="1" x14ac:dyDescent="0.25">
      <c r="A422" s="436"/>
      <c r="B422" s="437"/>
      <c r="D422" s="437"/>
      <c r="F422" s="437"/>
      <c r="Q422" s="232" t="s">
        <v>408</v>
      </c>
      <c r="R422" s="238" t="s">
        <v>1127</v>
      </c>
      <c r="S422" s="244" t="s">
        <v>1128</v>
      </c>
      <c r="T422" s="235" t="s">
        <v>826</v>
      </c>
      <c r="U422" s="236">
        <v>1</v>
      </c>
      <c r="V422" s="237" t="s">
        <v>408</v>
      </c>
      <c r="W422" s="238" t="s">
        <v>408</v>
      </c>
      <c r="X422" s="239" t="s">
        <v>408</v>
      </c>
    </row>
    <row r="423" spans="1:24" ht="20.100000000000001" customHeight="1" x14ac:dyDescent="0.25">
      <c r="A423" s="436"/>
      <c r="B423" s="437"/>
      <c r="D423" s="437"/>
      <c r="F423" s="437"/>
      <c r="Q423" s="232" t="s">
        <v>408</v>
      </c>
      <c r="R423" s="238" t="s">
        <v>408</v>
      </c>
      <c r="S423" s="244" t="s">
        <v>1129</v>
      </c>
      <c r="T423" s="235" t="s">
        <v>1130</v>
      </c>
      <c r="U423" s="236">
        <v>1</v>
      </c>
      <c r="V423" s="237" t="s">
        <v>408</v>
      </c>
      <c r="W423" s="238" t="s">
        <v>408</v>
      </c>
      <c r="X423" s="239" t="s">
        <v>408</v>
      </c>
    </row>
    <row r="424" spans="1:24" ht="20.100000000000001" customHeight="1" x14ac:dyDescent="0.25">
      <c r="A424" s="436"/>
      <c r="B424" s="437"/>
      <c r="D424" s="437"/>
      <c r="F424" s="437"/>
      <c r="Q424" s="232" t="s">
        <v>408</v>
      </c>
      <c r="R424" s="238" t="s">
        <v>408</v>
      </c>
      <c r="S424" s="244" t="s">
        <v>1131</v>
      </c>
      <c r="T424" s="235" t="s">
        <v>1132</v>
      </c>
      <c r="U424" s="236" t="s">
        <v>408</v>
      </c>
      <c r="V424" s="237" t="s">
        <v>408</v>
      </c>
      <c r="W424" s="238" t="s">
        <v>408</v>
      </c>
      <c r="X424" s="239" t="s">
        <v>408</v>
      </c>
    </row>
    <row r="425" spans="1:24" ht="20.100000000000001" customHeight="1" x14ac:dyDescent="0.25">
      <c r="A425" s="436"/>
      <c r="B425" s="437"/>
      <c r="D425" s="437"/>
      <c r="F425" s="437"/>
      <c r="Q425" s="232" t="s">
        <v>408</v>
      </c>
      <c r="R425" s="238"/>
      <c r="S425" s="244" t="s">
        <v>981</v>
      </c>
      <c r="T425" s="235" t="s">
        <v>1133</v>
      </c>
      <c r="U425" s="236">
        <v>1</v>
      </c>
      <c r="V425" s="237" t="s">
        <v>408</v>
      </c>
      <c r="W425" s="238" t="s">
        <v>408</v>
      </c>
      <c r="X425" s="239" t="s">
        <v>408</v>
      </c>
    </row>
    <row r="426" spans="1:24" ht="20.100000000000001" customHeight="1" x14ac:dyDescent="0.25">
      <c r="A426" s="436"/>
      <c r="B426" s="437"/>
      <c r="D426" s="437"/>
      <c r="F426" s="437"/>
      <c r="Q426" s="232" t="s">
        <v>408</v>
      </c>
      <c r="R426" s="238"/>
      <c r="S426" s="244" t="s">
        <v>982</v>
      </c>
      <c r="T426" s="235" t="s">
        <v>1134</v>
      </c>
      <c r="U426" s="236" t="s">
        <v>408</v>
      </c>
      <c r="V426" s="237" t="s">
        <v>408</v>
      </c>
      <c r="W426" s="238" t="s">
        <v>408</v>
      </c>
      <c r="X426" s="239" t="s">
        <v>408</v>
      </c>
    </row>
    <row r="427" spans="1:24" ht="20.100000000000001" customHeight="1" x14ac:dyDescent="0.25">
      <c r="A427" s="436"/>
      <c r="B427" s="437"/>
      <c r="D427" s="437"/>
      <c r="F427" s="437"/>
      <c r="Q427" s="232" t="s">
        <v>408</v>
      </c>
      <c r="R427" s="238" t="s">
        <v>1135</v>
      </c>
      <c r="S427" s="244" t="s">
        <v>1128</v>
      </c>
      <c r="T427" s="235" t="s">
        <v>912</v>
      </c>
      <c r="U427" s="236">
        <v>1</v>
      </c>
      <c r="V427" s="237" t="s">
        <v>408</v>
      </c>
      <c r="W427" s="238" t="s">
        <v>408</v>
      </c>
      <c r="X427" s="239" t="s">
        <v>408</v>
      </c>
    </row>
    <row r="428" spans="1:24" ht="20.100000000000001" customHeight="1" x14ac:dyDescent="0.25">
      <c r="A428" s="436"/>
      <c r="B428" s="437"/>
      <c r="D428" s="437"/>
      <c r="F428" s="437"/>
      <c r="Q428" s="232" t="s">
        <v>408</v>
      </c>
      <c r="R428" s="238" t="s">
        <v>408</v>
      </c>
      <c r="S428" s="244" t="s">
        <v>1129</v>
      </c>
      <c r="T428" s="235" t="s">
        <v>1136</v>
      </c>
      <c r="U428" s="236" t="s">
        <v>408</v>
      </c>
      <c r="V428" s="237" t="s">
        <v>408</v>
      </c>
      <c r="W428" s="238" t="s">
        <v>408</v>
      </c>
      <c r="X428" s="239" t="s">
        <v>408</v>
      </c>
    </row>
    <row r="429" spans="1:24" ht="20.100000000000001" customHeight="1" x14ac:dyDescent="0.25">
      <c r="A429" s="436"/>
      <c r="B429" s="437"/>
      <c r="D429" s="437"/>
      <c r="F429" s="437"/>
      <c r="Q429" s="232" t="s">
        <v>408</v>
      </c>
      <c r="R429" s="238" t="s">
        <v>408</v>
      </c>
      <c r="S429" s="244" t="s">
        <v>1131</v>
      </c>
      <c r="T429" s="235" t="s">
        <v>832</v>
      </c>
      <c r="U429" s="236">
        <v>1</v>
      </c>
      <c r="V429" s="237" t="s">
        <v>408</v>
      </c>
      <c r="W429" s="238" t="s">
        <v>408</v>
      </c>
      <c r="X429" s="239" t="s">
        <v>408</v>
      </c>
    </row>
    <row r="430" spans="1:24" ht="20.100000000000001" customHeight="1" x14ac:dyDescent="0.25">
      <c r="A430" s="436"/>
      <c r="B430" s="437"/>
      <c r="D430" s="437"/>
      <c r="F430" s="437"/>
      <c r="Q430" s="232" t="s">
        <v>408</v>
      </c>
      <c r="R430" s="238"/>
      <c r="S430" s="244" t="s">
        <v>984</v>
      </c>
      <c r="T430" s="235" t="s">
        <v>833</v>
      </c>
      <c r="U430" s="236" t="s">
        <v>408</v>
      </c>
      <c r="V430" s="237" t="s">
        <v>408</v>
      </c>
      <c r="W430" s="238" t="s">
        <v>408</v>
      </c>
      <c r="X430" s="239" t="s">
        <v>408</v>
      </c>
    </row>
    <row r="431" spans="1:24" ht="20.100000000000001" customHeight="1" x14ac:dyDescent="0.25">
      <c r="A431" s="436"/>
      <c r="B431" s="437"/>
      <c r="D431" s="437"/>
      <c r="F431" s="437"/>
      <c r="Q431" s="232" t="s">
        <v>408</v>
      </c>
      <c r="R431" s="238"/>
      <c r="S431" s="244" t="s">
        <v>982</v>
      </c>
      <c r="T431" s="235" t="s">
        <v>861</v>
      </c>
      <c r="U431" s="236">
        <v>1</v>
      </c>
      <c r="V431" s="237" t="s">
        <v>408</v>
      </c>
      <c r="W431" s="238" t="s">
        <v>408</v>
      </c>
      <c r="X431" s="239" t="s">
        <v>408</v>
      </c>
    </row>
    <row r="432" spans="1:24" ht="20.100000000000001" customHeight="1" x14ac:dyDescent="0.25">
      <c r="A432" s="436"/>
      <c r="B432" s="437"/>
      <c r="D432" s="437"/>
      <c r="F432" s="437"/>
      <c r="Q432" s="232" t="s">
        <v>408</v>
      </c>
      <c r="R432" s="238"/>
      <c r="S432" s="244"/>
      <c r="T432" s="235" t="s">
        <v>828</v>
      </c>
      <c r="U432" s="236" t="s">
        <v>408</v>
      </c>
      <c r="V432" s="237" t="s">
        <v>408</v>
      </c>
      <c r="W432" s="238" t="s">
        <v>408</v>
      </c>
      <c r="X432" s="239" t="s">
        <v>408</v>
      </c>
    </row>
    <row r="433" spans="1:24" ht="20.100000000000001" customHeight="1" x14ac:dyDescent="0.25">
      <c r="A433" s="436"/>
      <c r="B433" s="437"/>
      <c r="D433" s="437"/>
      <c r="F433" s="437"/>
      <c r="Q433" s="232" t="s">
        <v>408</v>
      </c>
      <c r="R433" s="238"/>
      <c r="S433" s="244"/>
      <c r="T433" s="235" t="s">
        <v>1137</v>
      </c>
      <c r="U433" s="236">
        <v>1</v>
      </c>
      <c r="V433" s="237" t="s">
        <v>408</v>
      </c>
      <c r="W433" s="238" t="s">
        <v>408</v>
      </c>
      <c r="X433" s="239" t="s">
        <v>408</v>
      </c>
    </row>
    <row r="434" spans="1:24" ht="20.100000000000001" customHeight="1" x14ac:dyDescent="0.25">
      <c r="A434" s="436"/>
      <c r="B434" s="437"/>
      <c r="D434" s="437"/>
      <c r="F434" s="437"/>
      <c r="Q434" s="232" t="s">
        <v>408</v>
      </c>
      <c r="R434" s="238"/>
      <c r="S434" s="244"/>
      <c r="T434" s="235" t="s">
        <v>904</v>
      </c>
      <c r="U434" s="236">
        <v>1</v>
      </c>
      <c r="V434" s="237" t="s">
        <v>408</v>
      </c>
      <c r="W434" s="238" t="s">
        <v>408</v>
      </c>
      <c r="X434" s="239" t="s">
        <v>408</v>
      </c>
    </row>
    <row r="435" spans="1:24" ht="20.100000000000001" customHeight="1" x14ac:dyDescent="0.25">
      <c r="A435" s="436"/>
      <c r="B435" s="437"/>
      <c r="D435" s="437"/>
      <c r="F435" s="437"/>
      <c r="Q435" s="232" t="s">
        <v>408</v>
      </c>
      <c r="R435" s="238"/>
      <c r="S435" s="244"/>
      <c r="T435" s="235" t="s">
        <v>408</v>
      </c>
      <c r="U435" s="236" t="s">
        <v>408</v>
      </c>
      <c r="V435" s="237" t="s">
        <v>408</v>
      </c>
      <c r="W435" s="238" t="s">
        <v>408</v>
      </c>
      <c r="X435" s="239" t="s">
        <v>408</v>
      </c>
    </row>
    <row r="436" spans="1:24" ht="20.100000000000001" customHeight="1" x14ac:dyDescent="0.25">
      <c r="A436" s="436"/>
      <c r="B436" s="437"/>
      <c r="D436" s="437"/>
      <c r="F436" s="437"/>
      <c r="Q436" s="232" t="s">
        <v>408</v>
      </c>
      <c r="R436" s="238"/>
      <c r="S436" s="244"/>
      <c r="T436" s="235" t="s">
        <v>840</v>
      </c>
      <c r="U436" s="236" t="s">
        <v>408</v>
      </c>
      <c r="V436" s="237" t="s">
        <v>408</v>
      </c>
      <c r="W436" s="238" t="s">
        <v>408</v>
      </c>
      <c r="X436" s="239" t="s">
        <v>408</v>
      </c>
    </row>
    <row r="437" spans="1:24" ht="20.100000000000001" customHeight="1" x14ac:dyDescent="0.25">
      <c r="A437" s="436"/>
      <c r="B437" s="437"/>
      <c r="D437" s="437"/>
      <c r="F437" s="437"/>
      <c r="Q437" s="232" t="s">
        <v>408</v>
      </c>
      <c r="R437" s="238" t="s">
        <v>408</v>
      </c>
      <c r="S437" s="244" t="s">
        <v>408</v>
      </c>
      <c r="T437" s="235" t="s">
        <v>841</v>
      </c>
      <c r="U437" s="236" t="s">
        <v>408</v>
      </c>
      <c r="V437" s="237" t="s">
        <v>408</v>
      </c>
      <c r="W437" s="238" t="s">
        <v>408</v>
      </c>
      <c r="X437" s="239" t="s">
        <v>408</v>
      </c>
    </row>
    <row r="438" spans="1:24" ht="20.100000000000001" customHeight="1" x14ac:dyDescent="0.25">
      <c r="A438" s="436"/>
      <c r="B438" s="437"/>
      <c r="D438" s="437"/>
      <c r="F438" s="437"/>
      <c r="Q438" s="232" t="s">
        <v>408</v>
      </c>
      <c r="R438" s="238" t="s">
        <v>408</v>
      </c>
      <c r="S438" s="244" t="s">
        <v>408</v>
      </c>
      <c r="T438" s="235" t="s">
        <v>794</v>
      </c>
      <c r="U438" s="236" t="s">
        <v>408</v>
      </c>
      <c r="V438" s="237" t="s">
        <v>408</v>
      </c>
      <c r="W438" s="238" t="s">
        <v>408</v>
      </c>
      <c r="X438" s="239" t="s">
        <v>408</v>
      </c>
    </row>
    <row r="439" spans="1:24" ht="20.100000000000001" customHeight="1" x14ac:dyDescent="0.25">
      <c r="A439" s="436"/>
      <c r="B439" s="437"/>
      <c r="D439" s="437"/>
      <c r="F439" s="437"/>
      <c r="Q439" s="232" t="s">
        <v>408</v>
      </c>
      <c r="R439" s="238" t="s">
        <v>408</v>
      </c>
      <c r="S439" s="244" t="s">
        <v>408</v>
      </c>
      <c r="T439" s="235" t="s">
        <v>844</v>
      </c>
      <c r="U439" s="236">
        <v>1</v>
      </c>
      <c r="V439" s="237" t="s">
        <v>408</v>
      </c>
      <c r="W439" s="238" t="s">
        <v>408</v>
      </c>
      <c r="X439" s="239" t="s">
        <v>408</v>
      </c>
    </row>
    <row r="440" spans="1:24" ht="20.100000000000001" customHeight="1" x14ac:dyDescent="0.25">
      <c r="A440" s="436"/>
      <c r="B440" s="437"/>
      <c r="D440" s="437"/>
      <c r="F440" s="437"/>
      <c r="Q440" s="232" t="s">
        <v>408</v>
      </c>
      <c r="R440" s="238"/>
      <c r="S440" s="244"/>
      <c r="T440" s="235" t="s">
        <v>845</v>
      </c>
      <c r="U440" s="236">
        <v>1</v>
      </c>
      <c r="V440" s="237" t="s">
        <v>408</v>
      </c>
      <c r="W440" s="238" t="s">
        <v>408</v>
      </c>
      <c r="X440" s="239" t="s">
        <v>408</v>
      </c>
    </row>
    <row r="441" spans="1:24" ht="20.100000000000001" customHeight="1" x14ac:dyDescent="0.25">
      <c r="A441" s="436"/>
      <c r="B441" s="437"/>
      <c r="D441" s="437"/>
      <c r="F441" s="437"/>
      <c r="Q441" s="232" t="s">
        <v>408</v>
      </c>
      <c r="R441" s="238"/>
      <c r="S441" s="244"/>
      <c r="T441" s="235" t="s">
        <v>846</v>
      </c>
      <c r="U441" s="236" t="s">
        <v>408</v>
      </c>
      <c r="V441" s="237" t="s">
        <v>408</v>
      </c>
      <c r="W441" s="238" t="s">
        <v>408</v>
      </c>
      <c r="X441" s="239" t="s">
        <v>408</v>
      </c>
    </row>
    <row r="442" spans="1:24" ht="20.100000000000001" customHeight="1" x14ac:dyDescent="0.25">
      <c r="A442" s="436"/>
      <c r="B442" s="437"/>
      <c r="D442" s="437"/>
      <c r="F442" s="437"/>
      <c r="Q442" s="232"/>
      <c r="R442" s="238"/>
      <c r="S442" s="244"/>
      <c r="T442" s="235"/>
      <c r="U442" s="236"/>
      <c r="V442" s="237"/>
      <c r="W442" s="238"/>
      <c r="X442" s="239"/>
    </row>
    <row r="443" spans="1:24" ht="20.100000000000001" customHeight="1" x14ac:dyDescent="0.25">
      <c r="A443" s="436"/>
      <c r="B443" s="437"/>
      <c r="D443" s="437"/>
      <c r="F443" s="437"/>
      <c r="Q443" s="232" t="s">
        <v>408</v>
      </c>
      <c r="R443" s="238"/>
      <c r="S443" s="244"/>
      <c r="T443" s="235" t="s">
        <v>834</v>
      </c>
      <c r="U443" s="236" t="s">
        <v>408</v>
      </c>
      <c r="V443" s="237" t="s">
        <v>408</v>
      </c>
      <c r="W443" s="238" t="s">
        <v>408</v>
      </c>
      <c r="X443" s="239" t="s">
        <v>408</v>
      </c>
    </row>
    <row r="444" spans="1:24" ht="20.100000000000001" customHeight="1" x14ac:dyDescent="0.25">
      <c r="A444" s="436"/>
      <c r="B444" s="437"/>
      <c r="D444" s="437"/>
      <c r="F444" s="437"/>
      <c r="Q444" s="232" t="s">
        <v>408</v>
      </c>
      <c r="R444" s="238"/>
      <c r="S444" s="244"/>
      <c r="T444" s="235" t="s">
        <v>1138</v>
      </c>
      <c r="U444" s="236">
        <v>1</v>
      </c>
      <c r="V444" s="237" t="s">
        <v>408</v>
      </c>
      <c r="W444" s="238" t="s">
        <v>408</v>
      </c>
      <c r="X444" s="239" t="s">
        <v>408</v>
      </c>
    </row>
    <row r="445" spans="1:24" ht="20.100000000000001" customHeight="1" x14ac:dyDescent="0.25">
      <c r="A445" s="436"/>
      <c r="B445" s="437"/>
      <c r="D445" s="437"/>
      <c r="F445" s="437"/>
      <c r="Q445" s="232" t="s">
        <v>408</v>
      </c>
      <c r="R445" s="238" t="s">
        <v>408</v>
      </c>
      <c r="S445" s="244" t="s">
        <v>408</v>
      </c>
      <c r="T445" s="235" t="s">
        <v>1139</v>
      </c>
      <c r="U445" s="236">
        <v>1</v>
      </c>
      <c r="V445" s="237" t="s">
        <v>408</v>
      </c>
      <c r="W445" s="238" t="s">
        <v>408</v>
      </c>
      <c r="X445" s="239" t="s">
        <v>408</v>
      </c>
    </row>
    <row r="446" spans="1:24" ht="20.100000000000001" customHeight="1" x14ac:dyDescent="0.25">
      <c r="A446" s="436"/>
      <c r="B446" s="437"/>
      <c r="D446" s="437"/>
      <c r="F446" s="437"/>
      <c r="Q446" s="232" t="s">
        <v>408</v>
      </c>
      <c r="R446" s="238" t="s">
        <v>408</v>
      </c>
      <c r="S446" s="244" t="s">
        <v>408</v>
      </c>
      <c r="T446" s="235" t="s">
        <v>1140</v>
      </c>
      <c r="U446" s="236">
        <v>1</v>
      </c>
      <c r="V446" s="237" t="s">
        <v>408</v>
      </c>
      <c r="W446" s="238" t="s">
        <v>408</v>
      </c>
      <c r="X446" s="239" t="s">
        <v>408</v>
      </c>
    </row>
    <row r="447" spans="1:24" ht="20.100000000000001" customHeight="1" x14ac:dyDescent="0.25">
      <c r="A447" s="436"/>
      <c r="B447" s="437"/>
      <c r="D447" s="437"/>
      <c r="F447" s="437"/>
      <c r="Q447" s="247" t="s">
        <v>408</v>
      </c>
      <c r="R447" s="248" t="s">
        <v>408</v>
      </c>
      <c r="S447" s="249" t="s">
        <v>408</v>
      </c>
      <c r="T447" s="266" t="s">
        <v>408</v>
      </c>
      <c r="U447" s="251" t="s">
        <v>408</v>
      </c>
      <c r="V447" s="252" t="s">
        <v>408</v>
      </c>
      <c r="W447" s="248" t="s">
        <v>408</v>
      </c>
      <c r="X447" s="253" t="s">
        <v>408</v>
      </c>
    </row>
    <row r="448" spans="1:24" ht="20.100000000000001" customHeight="1" x14ac:dyDescent="0.25">
      <c r="A448" s="436"/>
      <c r="B448" s="437"/>
      <c r="D448" s="437"/>
      <c r="F448" s="437"/>
      <c r="Q448" s="224" t="s">
        <v>1141</v>
      </c>
      <c r="R448" s="225"/>
      <c r="S448" s="262" t="s">
        <v>1142</v>
      </c>
      <c r="T448" s="227" t="s">
        <v>746</v>
      </c>
      <c r="U448" s="228" t="s">
        <v>408</v>
      </c>
      <c r="V448" s="229" t="s">
        <v>747</v>
      </c>
      <c r="W448" s="230">
        <v>10</v>
      </c>
      <c r="X448" s="231" t="s">
        <v>1143</v>
      </c>
    </row>
    <row r="449" spans="1:24" ht="20.100000000000001" customHeight="1" x14ac:dyDescent="0.25">
      <c r="A449" s="436"/>
      <c r="B449" s="437"/>
      <c r="D449" s="437"/>
      <c r="F449" s="437"/>
      <c r="Q449" s="232" t="s">
        <v>408</v>
      </c>
      <c r="R449" s="225"/>
      <c r="S449" s="262" t="s">
        <v>1144</v>
      </c>
      <c r="T449" s="235" t="s">
        <v>750</v>
      </c>
      <c r="U449" s="236" t="s">
        <v>408</v>
      </c>
      <c r="V449" s="237" t="s">
        <v>751</v>
      </c>
      <c r="W449" s="238" t="s">
        <v>408</v>
      </c>
      <c r="X449" s="239" t="s">
        <v>1145</v>
      </c>
    </row>
    <row r="450" spans="1:24" ht="20.100000000000001" customHeight="1" x14ac:dyDescent="0.25">
      <c r="A450" s="436"/>
      <c r="B450" s="437"/>
      <c r="D450" s="437"/>
      <c r="F450" s="437"/>
      <c r="Q450" s="232" t="s">
        <v>408</v>
      </c>
      <c r="R450" s="225"/>
      <c r="S450" s="262" t="s">
        <v>1146</v>
      </c>
      <c r="T450" s="235" t="s">
        <v>754</v>
      </c>
      <c r="U450" s="236" t="s">
        <v>408</v>
      </c>
      <c r="V450" s="237" t="s">
        <v>767</v>
      </c>
      <c r="W450" s="238" t="s">
        <v>408</v>
      </c>
      <c r="X450" s="239" t="s">
        <v>1147</v>
      </c>
    </row>
    <row r="451" spans="1:24" ht="20.100000000000001" customHeight="1" x14ac:dyDescent="0.25">
      <c r="A451" s="436"/>
      <c r="B451" s="437"/>
      <c r="D451" s="437"/>
      <c r="F451" s="437"/>
      <c r="Q451" s="232" t="s">
        <v>408</v>
      </c>
      <c r="R451" s="225"/>
      <c r="S451" s="262" t="s">
        <v>1148</v>
      </c>
      <c r="T451" s="235" t="s">
        <v>758</v>
      </c>
      <c r="U451" s="236">
        <v>1</v>
      </c>
      <c r="V451" s="237"/>
      <c r="W451" s="238" t="s">
        <v>408</v>
      </c>
      <c r="X451" s="239" t="s">
        <v>1149</v>
      </c>
    </row>
    <row r="452" spans="1:24" ht="20.100000000000001" customHeight="1" x14ac:dyDescent="0.25">
      <c r="A452" s="436"/>
      <c r="B452" s="437"/>
      <c r="D452" s="437"/>
      <c r="F452" s="437"/>
      <c r="Q452" s="232" t="s">
        <v>408</v>
      </c>
      <c r="R452" s="230" t="s">
        <v>1150</v>
      </c>
      <c r="S452" s="263" t="s">
        <v>1151</v>
      </c>
      <c r="T452" s="235" t="s">
        <v>766</v>
      </c>
      <c r="U452" s="236">
        <v>1</v>
      </c>
      <c r="V452" s="237" t="s">
        <v>785</v>
      </c>
      <c r="W452" s="238" t="s">
        <v>408</v>
      </c>
      <c r="X452" s="239" t="s">
        <v>1152</v>
      </c>
    </row>
    <row r="453" spans="1:24" ht="20.100000000000001" customHeight="1" x14ac:dyDescent="0.25">
      <c r="A453" s="436"/>
      <c r="B453" s="437"/>
      <c r="D453" s="437"/>
      <c r="F453" s="437"/>
      <c r="Q453" s="232" t="s">
        <v>408</v>
      </c>
      <c r="R453" s="238" t="s">
        <v>408</v>
      </c>
      <c r="S453" s="244" t="s">
        <v>1153</v>
      </c>
      <c r="T453" s="235" t="s">
        <v>762</v>
      </c>
      <c r="U453" s="236">
        <v>1</v>
      </c>
      <c r="V453" s="237" t="s">
        <v>788</v>
      </c>
      <c r="W453" s="238" t="s">
        <v>408</v>
      </c>
      <c r="X453" s="239" t="s">
        <v>408</v>
      </c>
    </row>
    <row r="454" spans="1:24" ht="20.100000000000001" customHeight="1" x14ac:dyDescent="0.25">
      <c r="A454" s="436"/>
      <c r="B454" s="437"/>
      <c r="D454" s="437"/>
      <c r="F454" s="437"/>
      <c r="Q454" s="232" t="s">
        <v>408</v>
      </c>
      <c r="R454" s="238" t="s">
        <v>1154</v>
      </c>
      <c r="S454" s="244" t="s">
        <v>1155</v>
      </c>
      <c r="T454" s="235" t="s">
        <v>781</v>
      </c>
      <c r="U454" s="236">
        <v>1</v>
      </c>
      <c r="V454" s="237" t="s">
        <v>791</v>
      </c>
      <c r="W454" s="238" t="s">
        <v>408</v>
      </c>
      <c r="X454" s="239" t="s">
        <v>408</v>
      </c>
    </row>
    <row r="455" spans="1:24" ht="20.100000000000001" customHeight="1" x14ac:dyDescent="0.25">
      <c r="A455" s="436"/>
      <c r="B455" s="437"/>
      <c r="D455" s="437"/>
      <c r="F455" s="437"/>
      <c r="Q455" s="232" t="s">
        <v>408</v>
      </c>
      <c r="R455" s="238" t="s">
        <v>1156</v>
      </c>
      <c r="S455" s="244" t="s">
        <v>1157</v>
      </c>
      <c r="T455" s="235" t="s">
        <v>784</v>
      </c>
      <c r="U455" s="236">
        <v>1</v>
      </c>
      <c r="V455" s="237" t="s">
        <v>794</v>
      </c>
      <c r="W455" s="238" t="s">
        <v>408</v>
      </c>
      <c r="X455" s="239" t="s">
        <v>408</v>
      </c>
    </row>
    <row r="456" spans="1:24" ht="20.100000000000001" customHeight="1" x14ac:dyDescent="0.25">
      <c r="A456" s="436"/>
      <c r="B456" s="437"/>
      <c r="D456" s="437"/>
      <c r="F456" s="437"/>
      <c r="Q456" s="232" t="s">
        <v>408</v>
      </c>
      <c r="R456" s="238"/>
      <c r="S456" s="244" t="s">
        <v>1158</v>
      </c>
      <c r="T456" s="235" t="s">
        <v>787</v>
      </c>
      <c r="U456" s="236">
        <v>1</v>
      </c>
      <c r="V456" s="237" t="s">
        <v>853</v>
      </c>
      <c r="W456" s="238" t="s">
        <v>408</v>
      </c>
      <c r="X456" s="239" t="s">
        <v>408</v>
      </c>
    </row>
    <row r="457" spans="1:24" ht="20.100000000000001" customHeight="1" x14ac:dyDescent="0.25">
      <c r="A457" s="436"/>
      <c r="B457" s="437"/>
      <c r="D457" s="437"/>
      <c r="F457" s="437"/>
      <c r="Q457" s="232" t="s">
        <v>408</v>
      </c>
      <c r="R457" s="238" t="s">
        <v>1159</v>
      </c>
      <c r="S457" s="244" t="s">
        <v>1160</v>
      </c>
      <c r="T457" s="235" t="s">
        <v>1161</v>
      </c>
      <c r="U457" s="236">
        <v>1</v>
      </c>
      <c r="V457" s="237"/>
      <c r="W457" s="238" t="s">
        <v>408</v>
      </c>
      <c r="X457" s="239" t="s">
        <v>408</v>
      </c>
    </row>
    <row r="458" spans="1:24" ht="20.100000000000001" customHeight="1" x14ac:dyDescent="0.25">
      <c r="A458" s="436"/>
      <c r="B458" s="437"/>
      <c r="D458" s="437"/>
      <c r="F458" s="437"/>
      <c r="Q458" s="232" t="s">
        <v>408</v>
      </c>
      <c r="R458" s="238"/>
      <c r="S458" s="244" t="s">
        <v>1162</v>
      </c>
      <c r="T458" s="235" t="s">
        <v>1163</v>
      </c>
      <c r="U458" s="236">
        <v>1</v>
      </c>
      <c r="V458" s="237" t="s">
        <v>813</v>
      </c>
      <c r="W458" s="238" t="s">
        <v>408</v>
      </c>
      <c r="X458" s="239" t="s">
        <v>408</v>
      </c>
    </row>
    <row r="459" spans="1:24" ht="20.100000000000001" customHeight="1" x14ac:dyDescent="0.25">
      <c r="A459" s="436"/>
      <c r="B459" s="437"/>
      <c r="D459" s="437"/>
      <c r="F459" s="437"/>
      <c r="Q459" s="232" t="s">
        <v>408</v>
      </c>
      <c r="R459" s="238" t="s">
        <v>1164</v>
      </c>
      <c r="S459" s="244" t="s">
        <v>1165</v>
      </c>
      <c r="T459" s="235" t="s">
        <v>1166</v>
      </c>
      <c r="U459" s="236" t="s">
        <v>408</v>
      </c>
      <c r="V459" s="237" t="s">
        <v>815</v>
      </c>
      <c r="W459" s="238" t="s">
        <v>408</v>
      </c>
      <c r="X459" s="239" t="s">
        <v>408</v>
      </c>
    </row>
    <row r="460" spans="1:24" ht="20.100000000000001" customHeight="1" x14ac:dyDescent="0.25">
      <c r="A460" s="436"/>
      <c r="B460" s="437"/>
      <c r="D460" s="437"/>
      <c r="F460" s="437"/>
      <c r="Q460" s="232" t="s">
        <v>408</v>
      </c>
      <c r="R460" s="238"/>
      <c r="S460" s="244" t="s">
        <v>1162</v>
      </c>
      <c r="T460" s="235" t="s">
        <v>1167</v>
      </c>
      <c r="U460" s="236">
        <v>1</v>
      </c>
      <c r="V460" s="237" t="s">
        <v>817</v>
      </c>
      <c r="W460" s="238" t="s">
        <v>408</v>
      </c>
      <c r="X460" s="239" t="s">
        <v>408</v>
      </c>
    </row>
    <row r="461" spans="1:24" ht="20.100000000000001" customHeight="1" x14ac:dyDescent="0.25">
      <c r="A461" s="436"/>
      <c r="B461" s="437"/>
      <c r="D461" s="437"/>
      <c r="F461" s="437"/>
      <c r="Q461" s="232" t="s">
        <v>408</v>
      </c>
      <c r="R461" s="238" t="s">
        <v>1168</v>
      </c>
      <c r="S461" s="244" t="s">
        <v>1169</v>
      </c>
      <c r="T461" s="235" t="s">
        <v>816</v>
      </c>
      <c r="U461" s="236" t="s">
        <v>408</v>
      </c>
      <c r="V461" s="237" t="s">
        <v>1170</v>
      </c>
      <c r="W461" s="238" t="s">
        <v>408</v>
      </c>
      <c r="X461" s="239" t="s">
        <v>408</v>
      </c>
    </row>
    <row r="462" spans="1:24" ht="20.100000000000001" customHeight="1" x14ac:dyDescent="0.25">
      <c r="A462" s="436"/>
      <c r="B462" s="437"/>
      <c r="D462" s="437"/>
      <c r="F462" s="437"/>
      <c r="Q462" s="232" t="s">
        <v>408</v>
      </c>
      <c r="R462" s="238" t="s">
        <v>408</v>
      </c>
      <c r="S462" s="244" t="s">
        <v>1171</v>
      </c>
      <c r="T462" s="235" t="s">
        <v>852</v>
      </c>
      <c r="U462" s="236">
        <v>1</v>
      </c>
      <c r="V462" s="237" t="s">
        <v>821</v>
      </c>
      <c r="W462" s="238" t="s">
        <v>408</v>
      </c>
      <c r="X462" s="239" t="s">
        <v>408</v>
      </c>
    </row>
    <row r="463" spans="1:24" ht="20.100000000000001" customHeight="1" x14ac:dyDescent="0.25">
      <c r="A463" s="436"/>
      <c r="B463" s="437"/>
      <c r="D463" s="437"/>
      <c r="F463" s="437"/>
      <c r="Q463" s="232" t="s">
        <v>408</v>
      </c>
      <c r="R463" s="238" t="s">
        <v>1172</v>
      </c>
      <c r="S463" s="244" t="s">
        <v>1173</v>
      </c>
      <c r="T463" s="235" t="s">
        <v>790</v>
      </c>
      <c r="U463" s="236">
        <v>1</v>
      </c>
      <c r="V463" s="237" t="s">
        <v>408</v>
      </c>
      <c r="W463" s="238" t="s">
        <v>408</v>
      </c>
      <c r="X463" s="239" t="s">
        <v>408</v>
      </c>
    </row>
    <row r="464" spans="1:24" ht="20.100000000000001" customHeight="1" x14ac:dyDescent="0.25">
      <c r="A464" s="436"/>
      <c r="B464" s="437"/>
      <c r="D464" s="437"/>
      <c r="F464" s="437"/>
      <c r="Q464" s="232" t="s">
        <v>408</v>
      </c>
      <c r="R464" s="238" t="s">
        <v>408</v>
      </c>
      <c r="S464" s="244" t="s">
        <v>1174</v>
      </c>
      <c r="T464" s="235" t="s">
        <v>1044</v>
      </c>
      <c r="U464" s="236">
        <v>1</v>
      </c>
      <c r="V464" s="237" t="s">
        <v>408</v>
      </c>
      <c r="W464" s="238" t="s">
        <v>408</v>
      </c>
      <c r="X464" s="239" t="s">
        <v>408</v>
      </c>
    </row>
    <row r="465" spans="1:24" ht="20.100000000000001" customHeight="1" x14ac:dyDescent="0.25">
      <c r="A465" s="436"/>
      <c r="B465" s="437"/>
      <c r="D465" s="437"/>
      <c r="F465" s="437"/>
      <c r="Q465" s="232" t="s">
        <v>408</v>
      </c>
      <c r="R465" s="238"/>
      <c r="S465" s="244" t="s">
        <v>1175</v>
      </c>
      <c r="T465" s="235" t="s">
        <v>1047</v>
      </c>
      <c r="U465" s="236" t="s">
        <v>408</v>
      </c>
      <c r="V465" s="237" t="s">
        <v>408</v>
      </c>
      <c r="W465" s="238" t="s">
        <v>408</v>
      </c>
      <c r="X465" s="239" t="s">
        <v>408</v>
      </c>
    </row>
    <row r="466" spans="1:24" ht="20.100000000000001" customHeight="1" x14ac:dyDescent="0.25">
      <c r="A466" s="436"/>
      <c r="B466" s="437"/>
      <c r="D466" s="437"/>
      <c r="F466" s="437"/>
      <c r="Q466" s="232" t="s">
        <v>408</v>
      </c>
      <c r="R466" s="238" t="s">
        <v>1176</v>
      </c>
      <c r="S466" s="244" t="s">
        <v>1177</v>
      </c>
      <c r="T466" s="235" t="s">
        <v>408</v>
      </c>
      <c r="U466" s="236"/>
      <c r="V466" s="237"/>
      <c r="W466" s="238" t="s">
        <v>408</v>
      </c>
      <c r="X466" s="239" t="s">
        <v>408</v>
      </c>
    </row>
    <row r="467" spans="1:24" ht="20.100000000000001" customHeight="1" x14ac:dyDescent="0.25">
      <c r="A467" s="436"/>
      <c r="B467" s="437"/>
      <c r="D467" s="437"/>
      <c r="F467" s="437"/>
      <c r="Q467" s="232" t="s">
        <v>408</v>
      </c>
      <c r="R467" s="238"/>
      <c r="S467" s="244" t="s">
        <v>1178</v>
      </c>
      <c r="T467" s="235" t="s">
        <v>825</v>
      </c>
      <c r="U467" s="236"/>
      <c r="V467" s="237"/>
      <c r="W467" s="238" t="s">
        <v>408</v>
      </c>
      <c r="X467" s="239" t="s">
        <v>408</v>
      </c>
    </row>
    <row r="468" spans="1:24" ht="20.100000000000001" customHeight="1" x14ac:dyDescent="0.25">
      <c r="A468" s="436"/>
      <c r="B468" s="437"/>
      <c r="D468" s="437"/>
      <c r="F468" s="437"/>
      <c r="Q468" s="232" t="s">
        <v>408</v>
      </c>
      <c r="R468" s="238"/>
      <c r="S468" s="244" t="s">
        <v>1179</v>
      </c>
      <c r="T468" s="235" t="s">
        <v>1126</v>
      </c>
      <c r="U468" s="236"/>
      <c r="V468" s="237"/>
      <c r="W468" s="238" t="s">
        <v>408</v>
      </c>
      <c r="X468" s="239" t="s">
        <v>408</v>
      </c>
    </row>
    <row r="469" spans="1:24" ht="20.100000000000001" customHeight="1" x14ac:dyDescent="0.25">
      <c r="A469" s="436"/>
      <c r="B469" s="437"/>
      <c r="D469" s="437"/>
      <c r="F469" s="437"/>
      <c r="Q469" s="232" t="s">
        <v>408</v>
      </c>
      <c r="R469" s="238" t="s">
        <v>1180</v>
      </c>
      <c r="S469" s="244" t="s">
        <v>1181</v>
      </c>
      <c r="T469" s="235" t="s">
        <v>754</v>
      </c>
      <c r="U469" s="236"/>
      <c r="V469" s="237"/>
      <c r="W469" s="238" t="s">
        <v>408</v>
      </c>
      <c r="X469" s="239" t="s">
        <v>408</v>
      </c>
    </row>
    <row r="470" spans="1:24" ht="20.100000000000001" customHeight="1" x14ac:dyDescent="0.25">
      <c r="A470" s="436"/>
      <c r="B470" s="437"/>
      <c r="D470" s="437"/>
      <c r="F470" s="437"/>
      <c r="Q470" s="232" t="s">
        <v>408</v>
      </c>
      <c r="R470" s="238" t="s">
        <v>1182</v>
      </c>
      <c r="S470" s="244" t="s">
        <v>1183</v>
      </c>
      <c r="T470" s="235" t="s">
        <v>826</v>
      </c>
      <c r="U470" s="236">
        <v>1</v>
      </c>
      <c r="V470" s="237" t="s">
        <v>408</v>
      </c>
      <c r="W470" s="238" t="s">
        <v>408</v>
      </c>
      <c r="X470" s="239" t="s">
        <v>408</v>
      </c>
    </row>
    <row r="471" spans="1:24" ht="20.100000000000001" customHeight="1" x14ac:dyDescent="0.25">
      <c r="A471" s="436"/>
      <c r="B471" s="437"/>
      <c r="D471" s="437"/>
      <c r="F471" s="437"/>
      <c r="Q471" s="232" t="s">
        <v>408</v>
      </c>
      <c r="R471" s="238" t="s">
        <v>1184</v>
      </c>
      <c r="S471" s="244" t="s">
        <v>1185</v>
      </c>
      <c r="T471" s="235" t="s">
        <v>1186</v>
      </c>
      <c r="U471" s="236">
        <v>1</v>
      </c>
      <c r="V471" s="237" t="s">
        <v>408</v>
      </c>
      <c r="W471" s="238" t="s">
        <v>408</v>
      </c>
      <c r="X471" s="239" t="s">
        <v>408</v>
      </c>
    </row>
    <row r="472" spans="1:24" ht="20.100000000000001" customHeight="1" x14ac:dyDescent="0.25">
      <c r="A472" s="436"/>
      <c r="B472" s="437"/>
      <c r="D472" s="437"/>
      <c r="F472" s="437"/>
      <c r="Q472" s="232" t="s">
        <v>408</v>
      </c>
      <c r="R472" s="238" t="s">
        <v>408</v>
      </c>
      <c r="S472" s="244" t="s">
        <v>1187</v>
      </c>
      <c r="T472" s="235" t="s">
        <v>1188</v>
      </c>
      <c r="U472" s="236" t="s">
        <v>408</v>
      </c>
      <c r="V472" s="237" t="s">
        <v>408</v>
      </c>
      <c r="W472" s="238" t="s">
        <v>408</v>
      </c>
      <c r="X472" s="239" t="s">
        <v>408</v>
      </c>
    </row>
    <row r="473" spans="1:24" ht="20.100000000000001" customHeight="1" x14ac:dyDescent="0.25">
      <c r="A473" s="436"/>
      <c r="B473" s="437"/>
      <c r="D473" s="437"/>
      <c r="F473" s="437"/>
      <c r="Q473" s="232" t="s">
        <v>408</v>
      </c>
      <c r="R473" s="238" t="s">
        <v>408</v>
      </c>
      <c r="S473" s="244" t="s">
        <v>1171</v>
      </c>
      <c r="T473" s="235" t="s">
        <v>832</v>
      </c>
      <c r="U473" s="236">
        <v>1</v>
      </c>
      <c r="V473" s="237" t="s">
        <v>408</v>
      </c>
      <c r="W473" s="238" t="s">
        <v>408</v>
      </c>
      <c r="X473" s="239" t="s">
        <v>408</v>
      </c>
    </row>
    <row r="474" spans="1:24" ht="20.100000000000001" customHeight="1" x14ac:dyDescent="0.25">
      <c r="A474" s="436"/>
      <c r="B474" s="437"/>
      <c r="D474" s="437"/>
      <c r="F474" s="437"/>
      <c r="Q474" s="232" t="s">
        <v>408</v>
      </c>
      <c r="R474" s="238" t="s">
        <v>1189</v>
      </c>
      <c r="S474" s="244" t="s">
        <v>1190</v>
      </c>
      <c r="T474" s="235" t="s">
        <v>833</v>
      </c>
      <c r="U474" s="236" t="s">
        <v>408</v>
      </c>
      <c r="V474" s="237" t="s">
        <v>408</v>
      </c>
      <c r="W474" s="238" t="s">
        <v>408</v>
      </c>
      <c r="X474" s="239" t="s">
        <v>408</v>
      </c>
    </row>
    <row r="475" spans="1:24" ht="20.100000000000001" customHeight="1" x14ac:dyDescent="0.25">
      <c r="A475" s="436"/>
      <c r="B475" s="437"/>
      <c r="D475" s="437"/>
      <c r="F475" s="437"/>
      <c r="Q475" s="232" t="s">
        <v>408</v>
      </c>
      <c r="R475" s="238"/>
      <c r="S475" s="244" t="s">
        <v>1191</v>
      </c>
      <c r="T475" s="235" t="s">
        <v>1192</v>
      </c>
      <c r="U475" s="236">
        <v>1</v>
      </c>
      <c r="V475" s="237" t="s">
        <v>408</v>
      </c>
      <c r="W475" s="238" t="s">
        <v>408</v>
      </c>
      <c r="X475" s="239" t="s">
        <v>408</v>
      </c>
    </row>
    <row r="476" spans="1:24" ht="20.100000000000001" customHeight="1" x14ac:dyDescent="0.25">
      <c r="A476" s="436"/>
      <c r="B476" s="437"/>
      <c r="D476" s="437"/>
      <c r="F476" s="437"/>
      <c r="Q476" s="232" t="s">
        <v>408</v>
      </c>
      <c r="R476" s="238" t="s">
        <v>1193</v>
      </c>
      <c r="S476" s="244" t="s">
        <v>1194</v>
      </c>
      <c r="T476" s="235" t="s">
        <v>1195</v>
      </c>
      <c r="U476" s="236" t="s">
        <v>408</v>
      </c>
      <c r="V476" s="237" t="s">
        <v>408</v>
      </c>
      <c r="W476" s="238" t="s">
        <v>408</v>
      </c>
      <c r="X476" s="239" t="s">
        <v>408</v>
      </c>
    </row>
    <row r="477" spans="1:24" ht="20.100000000000001" customHeight="1" x14ac:dyDescent="0.25">
      <c r="A477" s="436"/>
      <c r="B477" s="437"/>
      <c r="D477" s="437"/>
      <c r="F477" s="437"/>
      <c r="Q477" s="232" t="s">
        <v>408</v>
      </c>
      <c r="R477" s="238" t="s">
        <v>408</v>
      </c>
      <c r="S477" s="244" t="s">
        <v>1196</v>
      </c>
      <c r="T477" s="235" t="s">
        <v>408</v>
      </c>
      <c r="U477" s="236" t="s">
        <v>408</v>
      </c>
      <c r="V477" s="237" t="s">
        <v>408</v>
      </c>
      <c r="W477" s="238" t="s">
        <v>408</v>
      </c>
      <c r="X477" s="239" t="s">
        <v>408</v>
      </c>
    </row>
    <row r="478" spans="1:24" ht="20.100000000000001" customHeight="1" x14ac:dyDescent="0.25">
      <c r="A478" s="436"/>
      <c r="B478" s="437"/>
      <c r="D478" s="437"/>
      <c r="F478" s="437"/>
      <c r="Q478" s="232" t="s">
        <v>408</v>
      </c>
      <c r="R478" s="238" t="s">
        <v>1197</v>
      </c>
      <c r="S478" s="244" t="s">
        <v>1198</v>
      </c>
      <c r="T478" s="235" t="s">
        <v>834</v>
      </c>
      <c r="U478" s="236" t="s">
        <v>408</v>
      </c>
      <c r="V478" s="237" t="s">
        <v>408</v>
      </c>
      <c r="W478" s="238" t="s">
        <v>408</v>
      </c>
      <c r="X478" s="239" t="s">
        <v>408</v>
      </c>
    </row>
    <row r="479" spans="1:24" ht="20.100000000000001" customHeight="1" x14ac:dyDescent="0.25">
      <c r="A479" s="436"/>
      <c r="B479" s="437"/>
      <c r="D479" s="437"/>
      <c r="F479" s="437"/>
      <c r="Q479" s="232" t="s">
        <v>408</v>
      </c>
      <c r="R479" s="238" t="s">
        <v>1199</v>
      </c>
      <c r="S479" s="244" t="s">
        <v>1200</v>
      </c>
      <c r="T479" s="235" t="s">
        <v>1201</v>
      </c>
      <c r="U479" s="236">
        <v>1</v>
      </c>
      <c r="V479" s="237" t="s">
        <v>408</v>
      </c>
      <c r="W479" s="238" t="s">
        <v>408</v>
      </c>
      <c r="X479" s="239" t="s">
        <v>408</v>
      </c>
    </row>
    <row r="480" spans="1:24" ht="20.100000000000001" customHeight="1" x14ac:dyDescent="0.25">
      <c r="A480" s="436"/>
      <c r="B480" s="437"/>
      <c r="D480" s="437"/>
      <c r="F480" s="437"/>
      <c r="Q480" s="232" t="s">
        <v>408</v>
      </c>
      <c r="R480" s="238" t="s">
        <v>1202</v>
      </c>
      <c r="S480" s="244" t="s">
        <v>1203</v>
      </c>
      <c r="T480" s="235" t="s">
        <v>862</v>
      </c>
      <c r="U480" s="236">
        <v>1</v>
      </c>
      <c r="V480" s="237" t="s">
        <v>408</v>
      </c>
      <c r="W480" s="238" t="s">
        <v>408</v>
      </c>
      <c r="X480" s="239" t="s">
        <v>408</v>
      </c>
    </row>
    <row r="481" spans="1:24" ht="20.100000000000001" customHeight="1" x14ac:dyDescent="0.25">
      <c r="A481" s="436"/>
      <c r="B481" s="437"/>
      <c r="D481" s="437"/>
      <c r="F481" s="437"/>
      <c r="Q481" s="232" t="s">
        <v>408</v>
      </c>
      <c r="R481" s="238" t="s">
        <v>408</v>
      </c>
      <c r="S481" s="244" t="s">
        <v>1204</v>
      </c>
      <c r="T481" s="235" t="s">
        <v>831</v>
      </c>
      <c r="U481" s="236" t="s">
        <v>408</v>
      </c>
      <c r="V481" s="237" t="s">
        <v>408</v>
      </c>
      <c r="W481" s="238" t="s">
        <v>408</v>
      </c>
      <c r="X481" s="239" t="s">
        <v>408</v>
      </c>
    </row>
    <row r="482" spans="1:24" ht="20.100000000000001" customHeight="1" x14ac:dyDescent="0.25">
      <c r="A482" s="436"/>
      <c r="B482" s="437"/>
      <c r="D482" s="437"/>
      <c r="F482" s="437"/>
      <c r="Q482" s="232" t="s">
        <v>408</v>
      </c>
      <c r="R482" s="238"/>
      <c r="S482" s="244" t="s">
        <v>1205</v>
      </c>
      <c r="T482" s="235" t="s">
        <v>408</v>
      </c>
      <c r="U482" s="272"/>
      <c r="V482" s="237"/>
      <c r="W482" s="238" t="s">
        <v>408</v>
      </c>
      <c r="X482" s="239" t="s">
        <v>408</v>
      </c>
    </row>
    <row r="483" spans="1:24" ht="20.100000000000001" customHeight="1" x14ac:dyDescent="0.25">
      <c r="A483" s="436"/>
      <c r="B483" s="437"/>
      <c r="D483" s="437"/>
      <c r="F483" s="437"/>
      <c r="Q483" s="232" t="s">
        <v>408</v>
      </c>
      <c r="R483" s="238" t="s">
        <v>1206</v>
      </c>
      <c r="S483" s="244" t="s">
        <v>1207</v>
      </c>
      <c r="T483" s="235" t="s">
        <v>840</v>
      </c>
      <c r="U483" s="272"/>
      <c r="V483" s="237"/>
      <c r="W483" s="238" t="s">
        <v>408</v>
      </c>
      <c r="X483" s="239" t="s">
        <v>408</v>
      </c>
    </row>
    <row r="484" spans="1:24" ht="20.100000000000001" customHeight="1" x14ac:dyDescent="0.25">
      <c r="A484" s="436"/>
      <c r="B484" s="437"/>
      <c r="D484" s="437"/>
      <c r="F484" s="437"/>
      <c r="Q484" s="232" t="s">
        <v>408</v>
      </c>
      <c r="R484" s="238" t="s">
        <v>408</v>
      </c>
      <c r="S484" s="244" t="s">
        <v>1208</v>
      </c>
      <c r="T484" s="235" t="s">
        <v>841</v>
      </c>
      <c r="U484" s="272"/>
      <c r="V484" s="237"/>
      <c r="W484" s="238" t="s">
        <v>408</v>
      </c>
      <c r="X484" s="239" t="s">
        <v>408</v>
      </c>
    </row>
    <row r="485" spans="1:24" ht="20.100000000000001" customHeight="1" x14ac:dyDescent="0.25">
      <c r="A485" s="436"/>
      <c r="B485" s="437"/>
      <c r="D485" s="437"/>
      <c r="F485" s="437"/>
      <c r="Q485" s="232" t="s">
        <v>408</v>
      </c>
      <c r="R485" s="238" t="s">
        <v>667</v>
      </c>
      <c r="S485" s="244" t="s">
        <v>1088</v>
      </c>
      <c r="T485" s="235" t="s">
        <v>794</v>
      </c>
      <c r="U485" s="272"/>
      <c r="V485" s="237"/>
      <c r="W485" s="238" t="s">
        <v>408</v>
      </c>
      <c r="X485" s="239" t="s">
        <v>408</v>
      </c>
    </row>
    <row r="486" spans="1:24" ht="20.100000000000001" customHeight="1" x14ac:dyDescent="0.25">
      <c r="A486" s="436"/>
      <c r="B486" s="437"/>
      <c r="D486" s="437"/>
      <c r="F486" s="437"/>
      <c r="Q486" s="232" t="s">
        <v>408</v>
      </c>
      <c r="R486" s="238"/>
      <c r="S486" s="244" t="s">
        <v>1089</v>
      </c>
      <c r="T486" s="235" t="s">
        <v>844</v>
      </c>
      <c r="U486" s="236">
        <v>1</v>
      </c>
      <c r="V486" s="237" t="s">
        <v>408</v>
      </c>
      <c r="W486" s="238" t="s">
        <v>408</v>
      </c>
      <c r="X486" s="239" t="s">
        <v>408</v>
      </c>
    </row>
    <row r="487" spans="1:24" ht="20.100000000000001" customHeight="1" x14ac:dyDescent="0.25">
      <c r="A487" s="436"/>
      <c r="B487" s="437"/>
      <c r="D487" s="437"/>
      <c r="F487" s="437"/>
      <c r="Q487" s="232" t="s">
        <v>408</v>
      </c>
      <c r="R487" s="238"/>
      <c r="S487" s="244"/>
      <c r="T487" s="235" t="s">
        <v>845</v>
      </c>
      <c r="U487" s="236">
        <v>1</v>
      </c>
      <c r="V487" s="237" t="s">
        <v>408</v>
      </c>
      <c r="W487" s="238" t="s">
        <v>408</v>
      </c>
      <c r="X487" s="239" t="s">
        <v>408</v>
      </c>
    </row>
    <row r="488" spans="1:24" ht="20.100000000000001" customHeight="1" x14ac:dyDescent="0.25">
      <c r="A488" s="436"/>
      <c r="B488" s="437"/>
      <c r="D488" s="437"/>
      <c r="F488" s="437"/>
      <c r="Q488" s="232" t="s">
        <v>408</v>
      </c>
      <c r="R488" s="238"/>
      <c r="S488" s="244"/>
      <c r="T488" s="235" t="s">
        <v>846</v>
      </c>
      <c r="U488" s="236" t="s">
        <v>408</v>
      </c>
      <c r="V488" s="237" t="s">
        <v>408</v>
      </c>
      <c r="W488" s="238" t="s">
        <v>408</v>
      </c>
      <c r="X488" s="239" t="s">
        <v>408</v>
      </c>
    </row>
    <row r="489" spans="1:24" ht="20.100000000000001" customHeight="1" x14ac:dyDescent="0.25">
      <c r="A489" s="436"/>
      <c r="B489" s="437"/>
      <c r="D489" s="437"/>
      <c r="F489" s="437"/>
      <c r="Q489" s="247" t="s">
        <v>408</v>
      </c>
      <c r="R489" s="248" t="s">
        <v>408</v>
      </c>
      <c r="S489" s="249" t="s">
        <v>408</v>
      </c>
      <c r="T489" s="266" t="s">
        <v>408</v>
      </c>
      <c r="U489" s="251" t="s">
        <v>408</v>
      </c>
      <c r="V489" s="252" t="s">
        <v>408</v>
      </c>
      <c r="W489" s="248" t="s">
        <v>408</v>
      </c>
      <c r="X489" s="253" t="s">
        <v>408</v>
      </c>
    </row>
    <row r="490" spans="1:24" ht="20.100000000000001" customHeight="1" x14ac:dyDescent="0.25">
      <c r="A490" s="436"/>
      <c r="B490" s="437"/>
      <c r="D490" s="437"/>
      <c r="F490" s="437"/>
      <c r="Q490" s="224" t="s">
        <v>1209</v>
      </c>
      <c r="R490" s="225"/>
      <c r="S490" s="262" t="s">
        <v>1210</v>
      </c>
      <c r="T490" s="227" t="s">
        <v>746</v>
      </c>
      <c r="U490" s="228" t="s">
        <v>408</v>
      </c>
      <c r="V490" s="229" t="s">
        <v>747</v>
      </c>
      <c r="W490" s="230">
        <v>7</v>
      </c>
      <c r="X490" s="231" t="s">
        <v>1211</v>
      </c>
    </row>
    <row r="491" spans="1:24" ht="20.100000000000001" customHeight="1" x14ac:dyDescent="0.25">
      <c r="A491" s="436"/>
      <c r="B491" s="437"/>
      <c r="D491" s="437"/>
      <c r="F491" s="437"/>
      <c r="Q491" s="232" t="s">
        <v>408</v>
      </c>
      <c r="R491" s="268"/>
      <c r="S491" s="269" t="s">
        <v>1212</v>
      </c>
      <c r="T491" s="235" t="s">
        <v>750</v>
      </c>
      <c r="U491" s="236" t="s">
        <v>408</v>
      </c>
      <c r="V491" s="237" t="s">
        <v>751</v>
      </c>
      <c r="W491" s="264" t="s">
        <v>408</v>
      </c>
      <c r="X491" s="239" t="s">
        <v>1213</v>
      </c>
    </row>
    <row r="492" spans="1:24" ht="20.100000000000001" customHeight="1" x14ac:dyDescent="0.25">
      <c r="A492" s="436"/>
      <c r="B492" s="437"/>
      <c r="D492" s="437"/>
      <c r="F492" s="437"/>
      <c r="Q492" s="232" t="s">
        <v>408</v>
      </c>
      <c r="R492" s="238" t="s">
        <v>1214</v>
      </c>
      <c r="S492" s="244" t="s">
        <v>1215</v>
      </c>
      <c r="T492" s="235" t="s">
        <v>754</v>
      </c>
      <c r="U492" s="236" t="s">
        <v>408</v>
      </c>
      <c r="V492" s="237" t="s">
        <v>767</v>
      </c>
      <c r="W492" s="238" t="s">
        <v>408</v>
      </c>
      <c r="X492" s="239" t="s">
        <v>1216</v>
      </c>
    </row>
    <row r="493" spans="1:24" ht="20.100000000000001" customHeight="1" x14ac:dyDescent="0.25">
      <c r="A493" s="436"/>
      <c r="B493" s="437"/>
      <c r="D493" s="437"/>
      <c r="F493" s="437"/>
      <c r="Q493" s="232" t="s">
        <v>408</v>
      </c>
      <c r="R493" s="238"/>
      <c r="S493" s="244" t="s">
        <v>1217</v>
      </c>
      <c r="T493" s="235" t="s">
        <v>766</v>
      </c>
      <c r="U493" s="236">
        <v>1</v>
      </c>
      <c r="V493" s="237" t="s">
        <v>763</v>
      </c>
      <c r="W493" s="238" t="s">
        <v>408</v>
      </c>
      <c r="X493" s="239" t="s">
        <v>1218</v>
      </c>
    </row>
    <row r="494" spans="1:24" ht="20.100000000000001" customHeight="1" x14ac:dyDescent="0.25">
      <c r="A494" s="436"/>
      <c r="B494" s="437"/>
      <c r="D494" s="437"/>
      <c r="F494" s="437"/>
      <c r="Q494" s="232" t="s">
        <v>408</v>
      </c>
      <c r="R494" s="238"/>
      <c r="S494" s="244" t="s">
        <v>1219</v>
      </c>
      <c r="T494" s="235" t="s">
        <v>762</v>
      </c>
      <c r="U494" s="236">
        <v>1</v>
      </c>
      <c r="V494" s="237" t="s">
        <v>408</v>
      </c>
      <c r="W494" s="238" t="s">
        <v>408</v>
      </c>
      <c r="X494" s="239" t="s">
        <v>408</v>
      </c>
    </row>
    <row r="495" spans="1:24" ht="20.100000000000001" customHeight="1" x14ac:dyDescent="0.25">
      <c r="A495" s="436"/>
      <c r="B495" s="437"/>
      <c r="D495" s="437"/>
      <c r="F495" s="437"/>
      <c r="Q495" s="232" t="s">
        <v>408</v>
      </c>
      <c r="R495" s="238" t="s">
        <v>1220</v>
      </c>
      <c r="S495" s="244" t="s">
        <v>1009</v>
      </c>
      <c r="T495" s="235" t="s">
        <v>781</v>
      </c>
      <c r="U495" s="236">
        <v>1</v>
      </c>
      <c r="V495" s="237" t="s">
        <v>785</v>
      </c>
      <c r="W495" s="238" t="s">
        <v>408</v>
      </c>
      <c r="X495" s="239" t="s">
        <v>408</v>
      </c>
    </row>
    <row r="496" spans="1:24" ht="20.100000000000001" customHeight="1" x14ac:dyDescent="0.25">
      <c r="A496" s="436"/>
      <c r="B496" s="437"/>
      <c r="D496" s="437"/>
      <c r="F496" s="437"/>
      <c r="Q496" s="232" t="s">
        <v>408</v>
      </c>
      <c r="R496" s="238" t="s">
        <v>408</v>
      </c>
      <c r="S496" s="244" t="s">
        <v>1012</v>
      </c>
      <c r="T496" s="235" t="s">
        <v>818</v>
      </c>
      <c r="U496" s="236">
        <v>1</v>
      </c>
      <c r="V496" s="237" t="s">
        <v>788</v>
      </c>
      <c r="W496" s="238" t="s">
        <v>408</v>
      </c>
      <c r="X496" s="239" t="s">
        <v>408</v>
      </c>
    </row>
    <row r="497" spans="1:24" ht="20.100000000000001" customHeight="1" x14ac:dyDescent="0.25">
      <c r="A497" s="436"/>
      <c r="B497" s="437"/>
      <c r="D497" s="437"/>
      <c r="F497" s="437"/>
      <c r="Q497" s="232" t="s">
        <v>408</v>
      </c>
      <c r="R497" s="238" t="s">
        <v>408</v>
      </c>
      <c r="S497" s="244" t="s">
        <v>1046</v>
      </c>
      <c r="T497" s="235" t="s">
        <v>1114</v>
      </c>
      <c r="U497" s="236" t="s">
        <v>408</v>
      </c>
      <c r="V497" s="237" t="s">
        <v>791</v>
      </c>
      <c r="W497" s="238" t="s">
        <v>408</v>
      </c>
      <c r="X497" s="239" t="s">
        <v>408</v>
      </c>
    </row>
    <row r="498" spans="1:24" ht="20.100000000000001" customHeight="1" x14ac:dyDescent="0.25">
      <c r="A498" s="436"/>
      <c r="B498" s="437"/>
      <c r="D498" s="437"/>
      <c r="F498" s="437"/>
      <c r="Q498" s="232" t="s">
        <v>408</v>
      </c>
      <c r="R498" s="238" t="s">
        <v>1221</v>
      </c>
      <c r="S498" s="244" t="s">
        <v>1009</v>
      </c>
      <c r="T498" s="235" t="s">
        <v>956</v>
      </c>
      <c r="U498" s="236">
        <v>1</v>
      </c>
      <c r="V498" s="237" t="s">
        <v>794</v>
      </c>
      <c r="W498" s="238" t="s">
        <v>408</v>
      </c>
      <c r="X498" s="239" t="s">
        <v>408</v>
      </c>
    </row>
    <row r="499" spans="1:24" ht="20.100000000000001" customHeight="1" x14ac:dyDescent="0.25">
      <c r="A499" s="436"/>
      <c r="B499" s="437"/>
      <c r="D499" s="437"/>
      <c r="F499" s="437"/>
      <c r="Q499" s="232" t="s">
        <v>408</v>
      </c>
      <c r="R499" s="238" t="s">
        <v>408</v>
      </c>
      <c r="S499" s="244" t="s">
        <v>1012</v>
      </c>
      <c r="T499" s="235" t="s">
        <v>799</v>
      </c>
      <c r="U499" s="236">
        <v>1</v>
      </c>
      <c r="V499" s="237" t="s">
        <v>853</v>
      </c>
      <c r="W499" s="238" t="s">
        <v>408</v>
      </c>
      <c r="X499" s="239" t="s">
        <v>408</v>
      </c>
    </row>
    <row r="500" spans="1:24" ht="20.100000000000001" customHeight="1" x14ac:dyDescent="0.25">
      <c r="A500" s="436"/>
      <c r="B500" s="437"/>
      <c r="D500" s="437"/>
      <c r="F500" s="437"/>
      <c r="Q500" s="232" t="s">
        <v>408</v>
      </c>
      <c r="R500" s="238" t="s">
        <v>408</v>
      </c>
      <c r="S500" s="244" t="s">
        <v>1222</v>
      </c>
      <c r="T500" s="235" t="s">
        <v>784</v>
      </c>
      <c r="U500" s="236">
        <v>1</v>
      </c>
      <c r="V500" s="237"/>
      <c r="W500" s="238" t="s">
        <v>408</v>
      </c>
      <c r="X500" s="239" t="s">
        <v>408</v>
      </c>
    </row>
    <row r="501" spans="1:24" ht="20.100000000000001" customHeight="1" x14ac:dyDescent="0.25">
      <c r="A501" s="436"/>
      <c r="B501" s="437"/>
      <c r="D501" s="437"/>
      <c r="F501" s="437"/>
      <c r="Q501" s="232" t="s">
        <v>408</v>
      </c>
      <c r="R501" s="238" t="s">
        <v>1223</v>
      </c>
      <c r="S501" s="244" t="s">
        <v>1009</v>
      </c>
      <c r="T501" s="235" t="s">
        <v>787</v>
      </c>
      <c r="U501" s="236">
        <v>1</v>
      </c>
      <c r="V501" s="237" t="s">
        <v>813</v>
      </c>
      <c r="W501" s="238" t="s">
        <v>408</v>
      </c>
      <c r="X501" s="239" t="s">
        <v>408</v>
      </c>
    </row>
    <row r="502" spans="1:24" ht="20.100000000000001" customHeight="1" x14ac:dyDescent="0.25">
      <c r="A502" s="436"/>
      <c r="B502" s="437"/>
      <c r="D502" s="437"/>
      <c r="F502" s="437"/>
      <c r="Q502" s="232" t="s">
        <v>408</v>
      </c>
      <c r="R502" s="238"/>
      <c r="S502" s="244" t="s">
        <v>1224</v>
      </c>
      <c r="T502" s="235" t="s">
        <v>1225</v>
      </c>
      <c r="U502" s="236">
        <v>1</v>
      </c>
      <c r="V502" s="237" t="s">
        <v>815</v>
      </c>
      <c r="W502" s="238" t="s">
        <v>408</v>
      </c>
      <c r="X502" s="239" t="s">
        <v>408</v>
      </c>
    </row>
    <row r="503" spans="1:24" ht="20.100000000000001" customHeight="1" x14ac:dyDescent="0.25">
      <c r="A503" s="436"/>
      <c r="B503" s="437"/>
      <c r="D503" s="437"/>
      <c r="F503" s="437"/>
      <c r="Q503" s="241" t="s">
        <v>408</v>
      </c>
      <c r="R503" s="238"/>
      <c r="S503" s="256" t="s">
        <v>1158</v>
      </c>
      <c r="T503" s="235" t="s">
        <v>1226</v>
      </c>
      <c r="U503" s="236" t="s">
        <v>408</v>
      </c>
      <c r="V503" s="237" t="s">
        <v>817</v>
      </c>
      <c r="W503" s="238" t="s">
        <v>408</v>
      </c>
      <c r="X503" s="239" t="s">
        <v>408</v>
      </c>
    </row>
    <row r="504" spans="1:24" ht="20.100000000000001" customHeight="1" x14ac:dyDescent="0.25">
      <c r="A504" s="436"/>
      <c r="B504" s="437"/>
      <c r="D504" s="437"/>
      <c r="F504" s="437"/>
      <c r="Q504" s="232" t="s">
        <v>408</v>
      </c>
      <c r="R504" s="238" t="s">
        <v>1227</v>
      </c>
      <c r="S504" s="244" t="s">
        <v>1228</v>
      </c>
      <c r="T504" s="235" t="s">
        <v>822</v>
      </c>
      <c r="U504" s="236" t="s">
        <v>408</v>
      </c>
      <c r="V504" s="237" t="s">
        <v>819</v>
      </c>
      <c r="W504" s="238" t="s">
        <v>408</v>
      </c>
      <c r="X504" s="239" t="s">
        <v>408</v>
      </c>
    </row>
    <row r="505" spans="1:24" ht="20.100000000000001" customHeight="1" x14ac:dyDescent="0.25">
      <c r="A505" s="436"/>
      <c r="B505" s="437"/>
      <c r="D505" s="437"/>
      <c r="F505" s="437"/>
      <c r="Q505" s="232" t="s">
        <v>408</v>
      </c>
      <c r="R505" s="238" t="s">
        <v>1229</v>
      </c>
      <c r="S505" s="244" t="s">
        <v>1230</v>
      </c>
      <c r="T505" s="235" t="s">
        <v>823</v>
      </c>
      <c r="U505" s="236" t="s">
        <v>408</v>
      </c>
      <c r="V505" s="237" t="s">
        <v>821</v>
      </c>
      <c r="W505" s="238" t="s">
        <v>408</v>
      </c>
      <c r="X505" s="239" t="s">
        <v>408</v>
      </c>
    </row>
    <row r="506" spans="1:24" ht="20.100000000000001" customHeight="1" x14ac:dyDescent="0.25">
      <c r="A506" s="436"/>
      <c r="B506" s="437"/>
      <c r="D506" s="437"/>
      <c r="F506" s="437"/>
      <c r="Q506" s="232" t="s">
        <v>408</v>
      </c>
      <c r="R506" s="238" t="s">
        <v>408</v>
      </c>
      <c r="S506" s="244" t="s">
        <v>1231</v>
      </c>
      <c r="T506" s="235" t="s">
        <v>824</v>
      </c>
      <c r="U506" s="236" t="s">
        <v>408</v>
      </c>
      <c r="V506" s="237" t="s">
        <v>408</v>
      </c>
      <c r="W506" s="238" t="s">
        <v>408</v>
      </c>
      <c r="X506" s="239" t="s">
        <v>408</v>
      </c>
    </row>
    <row r="507" spans="1:24" ht="20.100000000000001" customHeight="1" x14ac:dyDescent="0.25">
      <c r="A507" s="436"/>
      <c r="B507" s="437"/>
      <c r="D507" s="437"/>
      <c r="F507" s="437"/>
      <c r="Q507" s="232" t="s">
        <v>408</v>
      </c>
      <c r="R507" s="238" t="s">
        <v>1042</v>
      </c>
      <c r="S507" s="244" t="s">
        <v>1043</v>
      </c>
      <c r="T507" s="235" t="s">
        <v>1092</v>
      </c>
      <c r="U507" s="236">
        <v>1</v>
      </c>
      <c r="V507" s="237" t="s">
        <v>408</v>
      </c>
      <c r="W507" s="238" t="s">
        <v>408</v>
      </c>
      <c r="X507" s="239" t="s">
        <v>408</v>
      </c>
    </row>
    <row r="508" spans="1:24" ht="20.100000000000001" customHeight="1" x14ac:dyDescent="0.25">
      <c r="A508" s="436"/>
      <c r="B508" s="437"/>
      <c r="D508" s="437"/>
      <c r="F508" s="437"/>
      <c r="Q508" s="232" t="s">
        <v>408</v>
      </c>
      <c r="R508" s="238" t="s">
        <v>408</v>
      </c>
      <c r="S508" s="244" t="s">
        <v>1046</v>
      </c>
      <c r="T508" s="235" t="s">
        <v>1093</v>
      </c>
      <c r="U508" s="236" t="s">
        <v>408</v>
      </c>
      <c r="V508" s="237" t="s">
        <v>408</v>
      </c>
      <c r="W508" s="238" t="s">
        <v>408</v>
      </c>
      <c r="X508" s="239" t="s">
        <v>408</v>
      </c>
    </row>
    <row r="509" spans="1:24" ht="20.100000000000001" customHeight="1" x14ac:dyDescent="0.25">
      <c r="A509" s="436"/>
      <c r="B509" s="437"/>
      <c r="D509" s="437"/>
      <c r="F509" s="437"/>
      <c r="Q509" s="232" t="s">
        <v>408</v>
      </c>
      <c r="R509" s="238"/>
      <c r="S509" s="244"/>
      <c r="T509" s="273" t="s">
        <v>978</v>
      </c>
      <c r="U509" s="274">
        <v>1</v>
      </c>
      <c r="V509" s="237" t="s">
        <v>408</v>
      </c>
      <c r="W509" s="275" t="s">
        <v>408</v>
      </c>
      <c r="X509" s="239" t="s">
        <v>408</v>
      </c>
    </row>
    <row r="510" spans="1:24" ht="20.100000000000001" customHeight="1" x14ac:dyDescent="0.25">
      <c r="A510" s="436"/>
      <c r="B510" s="437"/>
      <c r="D510" s="437"/>
      <c r="F510" s="437"/>
      <c r="Q510" s="232" t="s">
        <v>408</v>
      </c>
      <c r="R510" s="238" t="s">
        <v>408</v>
      </c>
      <c r="S510" s="244" t="s">
        <v>408</v>
      </c>
      <c r="T510" s="235" t="s">
        <v>807</v>
      </c>
      <c r="U510" s="272"/>
      <c r="V510" s="237"/>
      <c r="W510" s="238" t="s">
        <v>408</v>
      </c>
      <c r="X510" s="239" t="s">
        <v>408</v>
      </c>
    </row>
    <row r="511" spans="1:24" ht="20.100000000000001" customHeight="1" x14ac:dyDescent="0.25">
      <c r="A511" s="436"/>
      <c r="B511" s="437"/>
      <c r="D511" s="437"/>
      <c r="F511" s="437"/>
      <c r="Q511" s="232" t="s">
        <v>408</v>
      </c>
      <c r="R511" s="238" t="s">
        <v>408</v>
      </c>
      <c r="S511" s="244" t="s">
        <v>408</v>
      </c>
      <c r="T511" s="235" t="s">
        <v>809</v>
      </c>
      <c r="U511" s="272"/>
      <c r="V511" s="237"/>
      <c r="W511" s="238" t="s">
        <v>408</v>
      </c>
      <c r="X511" s="239" t="s">
        <v>408</v>
      </c>
    </row>
    <row r="512" spans="1:24" ht="20.100000000000001" customHeight="1" x14ac:dyDescent="0.25">
      <c r="A512" s="436"/>
      <c r="B512" s="437"/>
      <c r="D512" s="437"/>
      <c r="F512" s="437"/>
      <c r="Q512" s="232" t="s">
        <v>408</v>
      </c>
      <c r="R512" s="238"/>
      <c r="S512" s="244"/>
      <c r="T512" s="235" t="s">
        <v>811</v>
      </c>
      <c r="U512" s="272"/>
      <c r="V512" s="237"/>
      <c r="W512" s="238" t="s">
        <v>408</v>
      </c>
      <c r="X512" s="239" t="s">
        <v>408</v>
      </c>
    </row>
    <row r="513" spans="1:24" ht="20.100000000000001" customHeight="1" x14ac:dyDescent="0.25">
      <c r="A513" s="436"/>
      <c r="B513" s="437"/>
      <c r="D513" s="437"/>
      <c r="F513" s="437"/>
      <c r="Q513" s="232" t="s">
        <v>408</v>
      </c>
      <c r="R513" s="238"/>
      <c r="S513" s="244"/>
      <c r="T513" s="235" t="s">
        <v>812</v>
      </c>
      <c r="U513" s="236"/>
      <c r="V513" s="237"/>
      <c r="W513" s="238" t="s">
        <v>408</v>
      </c>
      <c r="X513" s="239" t="s">
        <v>408</v>
      </c>
    </row>
    <row r="514" spans="1:24" ht="20.100000000000001" customHeight="1" x14ac:dyDescent="0.25">
      <c r="A514" s="436"/>
      <c r="B514" s="437"/>
      <c r="D514" s="437"/>
      <c r="F514" s="437"/>
      <c r="Q514" s="232" t="s">
        <v>408</v>
      </c>
      <c r="R514" s="238"/>
      <c r="S514" s="244"/>
      <c r="T514" s="235" t="s">
        <v>408</v>
      </c>
      <c r="U514" s="236"/>
      <c r="V514" s="237"/>
      <c r="W514" s="238" t="s">
        <v>408</v>
      </c>
      <c r="X514" s="239" t="s">
        <v>408</v>
      </c>
    </row>
    <row r="515" spans="1:24" ht="20.100000000000001" customHeight="1" x14ac:dyDescent="0.25">
      <c r="A515" s="436"/>
      <c r="B515" s="437"/>
      <c r="D515" s="437"/>
      <c r="F515" s="437"/>
      <c r="Q515" s="232" t="s">
        <v>408</v>
      </c>
      <c r="R515" s="238"/>
      <c r="S515" s="244"/>
      <c r="T515" s="235" t="s">
        <v>825</v>
      </c>
      <c r="U515" s="236"/>
      <c r="V515" s="237"/>
      <c r="W515" s="238" t="s">
        <v>408</v>
      </c>
      <c r="X515" s="239" t="s">
        <v>408</v>
      </c>
    </row>
    <row r="516" spans="1:24" ht="20.100000000000001" customHeight="1" x14ac:dyDescent="0.25">
      <c r="A516" s="436"/>
      <c r="B516" s="437"/>
      <c r="D516" s="437"/>
      <c r="F516" s="437"/>
      <c r="Q516" s="232" t="s">
        <v>408</v>
      </c>
      <c r="R516" s="238"/>
      <c r="S516" s="244"/>
      <c r="T516" s="235" t="s">
        <v>750</v>
      </c>
      <c r="U516" s="236"/>
      <c r="V516" s="237"/>
      <c r="W516" s="238" t="s">
        <v>408</v>
      </c>
      <c r="X516" s="239" t="s">
        <v>408</v>
      </c>
    </row>
    <row r="517" spans="1:24" ht="20.100000000000001" customHeight="1" x14ac:dyDescent="0.25">
      <c r="A517" s="436"/>
      <c r="B517" s="437"/>
      <c r="D517" s="437"/>
      <c r="F517" s="437"/>
      <c r="Q517" s="232" t="s">
        <v>408</v>
      </c>
      <c r="R517" s="238"/>
      <c r="S517" s="244"/>
      <c r="T517" s="235" t="s">
        <v>754</v>
      </c>
      <c r="U517" s="236" t="s">
        <v>408</v>
      </c>
      <c r="V517" s="237" t="s">
        <v>408</v>
      </c>
      <c r="W517" s="238" t="s">
        <v>408</v>
      </c>
      <c r="X517" s="239" t="s">
        <v>408</v>
      </c>
    </row>
    <row r="518" spans="1:24" ht="20.100000000000001" customHeight="1" x14ac:dyDescent="0.25">
      <c r="A518" s="436"/>
      <c r="B518" s="437"/>
      <c r="D518" s="437"/>
      <c r="F518" s="437"/>
      <c r="Q518" s="232" t="s">
        <v>408</v>
      </c>
      <c r="R518" s="238"/>
      <c r="S518" s="244"/>
      <c r="T518" s="235" t="s">
        <v>826</v>
      </c>
      <c r="U518" s="236">
        <v>1</v>
      </c>
      <c r="V518" s="237" t="s">
        <v>408</v>
      </c>
      <c r="W518" s="238" t="s">
        <v>408</v>
      </c>
      <c r="X518" s="239" t="s">
        <v>408</v>
      </c>
    </row>
    <row r="519" spans="1:24" ht="20.100000000000001" customHeight="1" x14ac:dyDescent="0.25">
      <c r="A519" s="436"/>
      <c r="B519" s="437"/>
      <c r="D519" s="437"/>
      <c r="F519" s="437"/>
      <c r="Q519" s="232" t="s">
        <v>408</v>
      </c>
      <c r="R519" s="238"/>
      <c r="S519" s="244"/>
      <c r="T519" s="235" t="s">
        <v>832</v>
      </c>
      <c r="U519" s="236">
        <v>1</v>
      </c>
      <c r="V519" s="237" t="s">
        <v>408</v>
      </c>
      <c r="W519" s="238" t="s">
        <v>408</v>
      </c>
      <c r="X519" s="239" t="s">
        <v>408</v>
      </c>
    </row>
    <row r="520" spans="1:24" ht="20.100000000000001" customHeight="1" x14ac:dyDescent="0.25">
      <c r="A520" s="436"/>
      <c r="B520" s="437"/>
      <c r="D520" s="437"/>
      <c r="F520" s="437"/>
      <c r="Q520" s="232" t="s">
        <v>408</v>
      </c>
      <c r="R520" s="238"/>
      <c r="S520" s="244"/>
      <c r="T520" s="235" t="s">
        <v>833</v>
      </c>
      <c r="U520" s="236" t="s">
        <v>408</v>
      </c>
      <c r="V520" s="237" t="s">
        <v>408</v>
      </c>
      <c r="W520" s="238" t="s">
        <v>408</v>
      </c>
      <c r="X520" s="239" t="s">
        <v>408</v>
      </c>
    </row>
    <row r="521" spans="1:24" ht="20.100000000000001" customHeight="1" x14ac:dyDescent="0.25">
      <c r="A521" s="436"/>
      <c r="B521" s="437"/>
      <c r="D521" s="437"/>
      <c r="F521" s="437"/>
      <c r="Q521" s="232" t="s">
        <v>408</v>
      </c>
      <c r="R521" s="238"/>
      <c r="S521" s="244"/>
      <c r="T521" s="235" t="s">
        <v>1232</v>
      </c>
      <c r="U521" s="236">
        <v>1</v>
      </c>
      <c r="V521" s="237" t="s">
        <v>408</v>
      </c>
      <c r="W521" s="238" t="s">
        <v>408</v>
      </c>
      <c r="X521" s="239" t="s">
        <v>408</v>
      </c>
    </row>
    <row r="522" spans="1:24" ht="20.100000000000001" customHeight="1" x14ac:dyDescent="0.25">
      <c r="A522" s="436"/>
      <c r="B522" s="437"/>
      <c r="D522" s="437"/>
      <c r="F522" s="437"/>
      <c r="Q522" s="232" t="s">
        <v>408</v>
      </c>
      <c r="R522" s="238"/>
      <c r="S522" s="244"/>
      <c r="T522" s="235" t="s">
        <v>1233</v>
      </c>
      <c r="U522" s="236" t="s">
        <v>408</v>
      </c>
      <c r="V522" s="237" t="s">
        <v>408</v>
      </c>
      <c r="W522" s="238" t="s">
        <v>408</v>
      </c>
      <c r="X522" s="239" t="s">
        <v>408</v>
      </c>
    </row>
    <row r="523" spans="1:24" ht="20.100000000000001" customHeight="1" x14ac:dyDescent="0.25">
      <c r="A523" s="436"/>
      <c r="B523" s="437"/>
      <c r="D523" s="437"/>
      <c r="F523" s="437"/>
      <c r="Q523" s="232" t="s">
        <v>408</v>
      </c>
      <c r="R523" s="238"/>
      <c r="S523" s="244"/>
      <c r="T523" s="235" t="s">
        <v>940</v>
      </c>
      <c r="U523" s="236">
        <v>1</v>
      </c>
      <c r="V523" s="237" t="s">
        <v>408</v>
      </c>
      <c r="W523" s="238" t="s">
        <v>408</v>
      </c>
      <c r="X523" s="239" t="s">
        <v>408</v>
      </c>
    </row>
    <row r="524" spans="1:24" ht="20.100000000000001" customHeight="1" x14ac:dyDescent="0.25">
      <c r="A524" s="436"/>
      <c r="B524" s="437"/>
      <c r="D524" s="437"/>
      <c r="F524" s="437"/>
      <c r="Q524" s="232" t="s">
        <v>408</v>
      </c>
      <c r="R524" s="238"/>
      <c r="S524" s="244"/>
      <c r="T524" s="235" t="s">
        <v>408</v>
      </c>
      <c r="U524" s="236" t="s">
        <v>408</v>
      </c>
      <c r="V524" s="237" t="s">
        <v>408</v>
      </c>
      <c r="W524" s="238" t="s">
        <v>408</v>
      </c>
      <c r="X524" s="239" t="s">
        <v>408</v>
      </c>
    </row>
    <row r="525" spans="1:24" ht="20.100000000000001" customHeight="1" x14ac:dyDescent="0.25">
      <c r="A525" s="436"/>
      <c r="B525" s="437"/>
      <c r="D525" s="437"/>
      <c r="F525" s="437"/>
      <c r="Q525" s="232" t="s">
        <v>408</v>
      </c>
      <c r="R525" s="238" t="s">
        <v>408</v>
      </c>
      <c r="S525" s="244" t="s">
        <v>408</v>
      </c>
      <c r="T525" s="235" t="s">
        <v>840</v>
      </c>
      <c r="U525" s="236" t="s">
        <v>408</v>
      </c>
      <c r="V525" s="237" t="s">
        <v>408</v>
      </c>
      <c r="W525" s="238" t="s">
        <v>408</v>
      </c>
      <c r="X525" s="239" t="s">
        <v>408</v>
      </c>
    </row>
    <row r="526" spans="1:24" ht="20.100000000000001" customHeight="1" x14ac:dyDescent="0.25">
      <c r="A526" s="436"/>
      <c r="B526" s="437"/>
      <c r="D526" s="437"/>
      <c r="F526" s="437"/>
      <c r="Q526" s="232" t="s">
        <v>408</v>
      </c>
      <c r="R526" s="238" t="s">
        <v>408</v>
      </c>
      <c r="S526" s="244" t="s">
        <v>408</v>
      </c>
      <c r="T526" s="235" t="s">
        <v>841</v>
      </c>
      <c r="U526" s="236" t="s">
        <v>408</v>
      </c>
      <c r="V526" s="237" t="s">
        <v>408</v>
      </c>
      <c r="W526" s="238" t="s">
        <v>408</v>
      </c>
      <c r="X526" s="239" t="s">
        <v>408</v>
      </c>
    </row>
    <row r="527" spans="1:24" ht="20.100000000000001" customHeight="1" x14ac:dyDescent="0.25">
      <c r="A527" s="436"/>
      <c r="B527" s="437"/>
      <c r="D527" s="437"/>
      <c r="F527" s="437"/>
      <c r="Q527" s="232" t="s">
        <v>408</v>
      </c>
      <c r="R527" s="238" t="s">
        <v>408</v>
      </c>
      <c r="S527" s="244" t="s">
        <v>408</v>
      </c>
      <c r="T527" s="235" t="s">
        <v>794</v>
      </c>
      <c r="U527" s="236" t="s">
        <v>408</v>
      </c>
      <c r="V527" s="237" t="s">
        <v>408</v>
      </c>
      <c r="W527" s="238" t="s">
        <v>408</v>
      </c>
      <c r="X527" s="239" t="s">
        <v>408</v>
      </c>
    </row>
    <row r="528" spans="1:24" ht="20.100000000000001" customHeight="1" x14ac:dyDescent="0.25">
      <c r="A528" s="436"/>
      <c r="B528" s="437"/>
      <c r="D528" s="437"/>
      <c r="F528" s="437"/>
      <c r="Q528" s="232" t="s">
        <v>408</v>
      </c>
      <c r="R528" s="238" t="s">
        <v>408</v>
      </c>
      <c r="S528" s="244" t="s">
        <v>408</v>
      </c>
      <c r="T528" s="235" t="s">
        <v>844</v>
      </c>
      <c r="U528" s="236">
        <v>1</v>
      </c>
      <c r="V528" s="237" t="s">
        <v>408</v>
      </c>
      <c r="W528" s="238" t="s">
        <v>408</v>
      </c>
      <c r="X528" s="239" t="s">
        <v>408</v>
      </c>
    </row>
    <row r="529" spans="1:24" ht="20.100000000000001" customHeight="1" x14ac:dyDescent="0.25">
      <c r="A529" s="436"/>
      <c r="B529" s="437"/>
      <c r="D529" s="437"/>
      <c r="F529" s="437"/>
      <c r="Q529" s="232" t="s">
        <v>408</v>
      </c>
      <c r="R529" s="238" t="s">
        <v>408</v>
      </c>
      <c r="S529" s="244" t="s">
        <v>408</v>
      </c>
      <c r="T529" s="235" t="s">
        <v>845</v>
      </c>
      <c r="U529" s="236">
        <v>1</v>
      </c>
      <c r="V529" s="237" t="s">
        <v>408</v>
      </c>
      <c r="W529" s="238" t="s">
        <v>408</v>
      </c>
      <c r="X529" s="239" t="s">
        <v>408</v>
      </c>
    </row>
    <row r="530" spans="1:24" ht="20.100000000000001" customHeight="1" x14ac:dyDescent="0.25">
      <c r="A530" s="436"/>
      <c r="B530" s="437"/>
      <c r="D530" s="437"/>
      <c r="F530" s="437"/>
      <c r="Q530" s="232" t="s">
        <v>408</v>
      </c>
      <c r="R530" s="238" t="s">
        <v>408</v>
      </c>
      <c r="S530" s="244" t="s">
        <v>408</v>
      </c>
      <c r="T530" s="235" t="s">
        <v>846</v>
      </c>
      <c r="U530" s="236" t="s">
        <v>408</v>
      </c>
      <c r="V530" s="237" t="s">
        <v>408</v>
      </c>
      <c r="W530" s="238" t="s">
        <v>408</v>
      </c>
      <c r="X530" s="239" t="s">
        <v>408</v>
      </c>
    </row>
    <row r="531" spans="1:24" ht="20.100000000000001" customHeight="1" x14ac:dyDescent="0.25">
      <c r="A531" s="436"/>
      <c r="B531" s="437"/>
      <c r="D531" s="437"/>
      <c r="F531" s="437"/>
      <c r="Q531" s="247" t="s">
        <v>408</v>
      </c>
      <c r="R531" s="248" t="s">
        <v>408</v>
      </c>
      <c r="S531" s="249" t="s">
        <v>408</v>
      </c>
      <c r="T531" s="266" t="s">
        <v>408</v>
      </c>
      <c r="U531" s="251" t="s">
        <v>408</v>
      </c>
      <c r="V531" s="252" t="s">
        <v>408</v>
      </c>
      <c r="W531" s="248" t="s">
        <v>408</v>
      </c>
      <c r="X531" s="253" t="s">
        <v>408</v>
      </c>
    </row>
    <row r="532" spans="1:24" ht="20.100000000000001" customHeight="1" x14ac:dyDescent="0.25">
      <c r="A532" s="436"/>
      <c r="B532" s="437"/>
      <c r="D532" s="437"/>
      <c r="F532" s="437"/>
      <c r="Q532" s="224" t="s">
        <v>1234</v>
      </c>
      <c r="R532" s="225"/>
      <c r="S532" s="262" t="s">
        <v>1235</v>
      </c>
      <c r="T532" s="227" t="s">
        <v>746</v>
      </c>
      <c r="U532" s="228" t="s">
        <v>408</v>
      </c>
      <c r="V532" s="229" t="s">
        <v>747</v>
      </c>
      <c r="W532" s="230">
        <v>16</v>
      </c>
      <c r="X532" s="231" t="s">
        <v>1236</v>
      </c>
    </row>
    <row r="533" spans="1:24" ht="20.100000000000001" customHeight="1" x14ac:dyDescent="0.25">
      <c r="A533" s="436"/>
      <c r="B533" s="437"/>
      <c r="D533" s="437"/>
      <c r="F533" s="437"/>
      <c r="Q533" s="232" t="s">
        <v>408</v>
      </c>
      <c r="R533" s="225"/>
      <c r="S533" s="262" t="s">
        <v>1237</v>
      </c>
      <c r="T533" s="235" t="s">
        <v>750</v>
      </c>
      <c r="U533" s="236" t="s">
        <v>408</v>
      </c>
      <c r="V533" s="237" t="s">
        <v>751</v>
      </c>
      <c r="W533" s="238" t="s">
        <v>408</v>
      </c>
      <c r="X533" s="239" t="s">
        <v>1238</v>
      </c>
    </row>
    <row r="534" spans="1:24" ht="20.100000000000001" customHeight="1" x14ac:dyDescent="0.25">
      <c r="A534" s="436"/>
      <c r="B534" s="437"/>
      <c r="D534" s="437"/>
      <c r="F534" s="437"/>
      <c r="Q534" s="232" t="s">
        <v>408</v>
      </c>
      <c r="R534" s="230" t="s">
        <v>1239</v>
      </c>
      <c r="S534" s="263" t="s">
        <v>1240</v>
      </c>
      <c r="T534" s="235" t="s">
        <v>754</v>
      </c>
      <c r="U534" s="236" t="s">
        <v>408</v>
      </c>
      <c r="V534" s="237" t="s">
        <v>1068</v>
      </c>
      <c r="W534" s="238" t="s">
        <v>408</v>
      </c>
      <c r="X534" s="239" t="s">
        <v>1241</v>
      </c>
    </row>
    <row r="535" spans="1:24" ht="20.100000000000001" customHeight="1" x14ac:dyDescent="0.25">
      <c r="A535" s="436"/>
      <c r="B535" s="437"/>
      <c r="D535" s="437"/>
      <c r="F535" s="437"/>
      <c r="Q535" s="232" t="s">
        <v>408</v>
      </c>
      <c r="R535" s="238" t="s">
        <v>408</v>
      </c>
      <c r="S535" s="244" t="s">
        <v>1242</v>
      </c>
      <c r="T535" s="235" t="s">
        <v>1006</v>
      </c>
      <c r="U535" s="236">
        <v>2</v>
      </c>
      <c r="V535" s="237" t="s">
        <v>1071</v>
      </c>
      <c r="W535" s="238" t="s">
        <v>408</v>
      </c>
      <c r="X535" s="239" t="s">
        <v>760</v>
      </c>
    </row>
    <row r="536" spans="1:24" ht="20.100000000000001" customHeight="1" x14ac:dyDescent="0.25">
      <c r="A536" s="436"/>
      <c r="B536" s="437"/>
      <c r="D536" s="437"/>
      <c r="F536" s="437"/>
      <c r="Q536" s="232" t="s">
        <v>408</v>
      </c>
      <c r="R536" s="238" t="s">
        <v>408</v>
      </c>
      <c r="S536" s="244" t="s">
        <v>946</v>
      </c>
      <c r="T536" s="235" t="s">
        <v>1074</v>
      </c>
      <c r="U536" s="236" t="s">
        <v>408</v>
      </c>
      <c r="V536" s="237" t="s">
        <v>763</v>
      </c>
      <c r="W536" s="238" t="s">
        <v>408</v>
      </c>
      <c r="X536" s="239" t="s">
        <v>1011</v>
      </c>
    </row>
    <row r="537" spans="1:24" ht="20.100000000000001" customHeight="1" x14ac:dyDescent="0.25">
      <c r="A537" s="436"/>
      <c r="B537" s="437"/>
      <c r="D537" s="437"/>
      <c r="F537" s="437"/>
      <c r="Q537" s="232" t="s">
        <v>408</v>
      </c>
      <c r="R537" s="238" t="s">
        <v>1243</v>
      </c>
      <c r="S537" s="244" t="s">
        <v>1244</v>
      </c>
      <c r="T537" s="235" t="s">
        <v>781</v>
      </c>
      <c r="U537" s="236">
        <v>1</v>
      </c>
      <c r="V537" s="237" t="s">
        <v>767</v>
      </c>
      <c r="W537" s="238" t="s">
        <v>408</v>
      </c>
      <c r="X537" s="239" t="s">
        <v>776</v>
      </c>
    </row>
    <row r="538" spans="1:24" ht="20.100000000000001" customHeight="1" x14ac:dyDescent="0.25">
      <c r="A538" s="436"/>
      <c r="B538" s="437"/>
      <c r="D538" s="437"/>
      <c r="F538" s="437"/>
      <c r="Q538" s="232" t="s">
        <v>408</v>
      </c>
      <c r="R538" s="238" t="s">
        <v>408</v>
      </c>
      <c r="S538" s="244" t="s">
        <v>1012</v>
      </c>
      <c r="T538" s="235" t="s">
        <v>793</v>
      </c>
      <c r="U538" s="236">
        <v>1</v>
      </c>
      <c r="V538" s="237" t="s">
        <v>771</v>
      </c>
      <c r="W538" s="238" t="s">
        <v>408</v>
      </c>
      <c r="X538" s="239" t="s">
        <v>779</v>
      </c>
    </row>
    <row r="539" spans="1:24" ht="20.100000000000001" customHeight="1" x14ac:dyDescent="0.25">
      <c r="A539" s="436"/>
      <c r="B539" s="437"/>
      <c r="D539" s="437"/>
      <c r="F539" s="437"/>
      <c r="Q539" s="232" t="s">
        <v>408</v>
      </c>
      <c r="R539" s="238" t="s">
        <v>408</v>
      </c>
      <c r="S539" s="244" t="s">
        <v>1245</v>
      </c>
      <c r="T539" s="235" t="s">
        <v>766</v>
      </c>
      <c r="U539" s="236">
        <v>1</v>
      </c>
      <c r="V539" s="237" t="s">
        <v>1246</v>
      </c>
      <c r="W539" s="238" t="s">
        <v>408</v>
      </c>
      <c r="X539" s="239" t="s">
        <v>1000</v>
      </c>
    </row>
    <row r="540" spans="1:24" ht="20.100000000000001" customHeight="1" x14ac:dyDescent="0.25">
      <c r="A540" s="436"/>
      <c r="B540" s="437"/>
      <c r="D540" s="437"/>
      <c r="F540" s="437"/>
      <c r="Q540" s="232" t="s">
        <v>408</v>
      </c>
      <c r="R540" s="238" t="s">
        <v>1247</v>
      </c>
      <c r="S540" s="244" t="s">
        <v>1244</v>
      </c>
      <c r="T540" s="235" t="s">
        <v>805</v>
      </c>
      <c r="U540" s="236">
        <v>1</v>
      </c>
      <c r="V540" s="237" t="s">
        <v>759</v>
      </c>
      <c r="W540" s="238" t="s">
        <v>408</v>
      </c>
      <c r="X540" s="239" t="s">
        <v>1019</v>
      </c>
    </row>
    <row r="541" spans="1:24" ht="20.100000000000001" customHeight="1" x14ac:dyDescent="0.25">
      <c r="A541" s="436"/>
      <c r="B541" s="437"/>
      <c r="D541" s="437"/>
      <c r="F541" s="437"/>
      <c r="Q541" s="232" t="s">
        <v>408</v>
      </c>
      <c r="R541" s="238" t="s">
        <v>408</v>
      </c>
      <c r="S541" s="244" t="s">
        <v>1012</v>
      </c>
      <c r="T541" s="235" t="s">
        <v>807</v>
      </c>
      <c r="U541" s="236" t="s">
        <v>408</v>
      </c>
      <c r="V541" s="237" t="s">
        <v>1248</v>
      </c>
      <c r="W541" s="238" t="s">
        <v>408</v>
      </c>
      <c r="X541" s="239" t="s">
        <v>408</v>
      </c>
    </row>
    <row r="542" spans="1:24" ht="20.100000000000001" customHeight="1" x14ac:dyDescent="0.25">
      <c r="A542" s="436"/>
      <c r="B542" s="437"/>
      <c r="D542" s="437"/>
      <c r="F542" s="437"/>
      <c r="Q542" s="232" t="s">
        <v>408</v>
      </c>
      <c r="R542" s="238" t="s">
        <v>408</v>
      </c>
      <c r="S542" s="244" t="s">
        <v>1249</v>
      </c>
      <c r="T542" s="235" t="s">
        <v>809</v>
      </c>
      <c r="U542" s="236" t="s">
        <v>408</v>
      </c>
      <c r="V542" s="237"/>
      <c r="W542" s="238" t="s">
        <v>408</v>
      </c>
      <c r="X542" s="239" t="s">
        <v>408</v>
      </c>
    </row>
    <row r="543" spans="1:24" ht="20.100000000000001" customHeight="1" x14ac:dyDescent="0.25">
      <c r="A543" s="436"/>
      <c r="B543" s="437"/>
      <c r="D543" s="437"/>
      <c r="F543" s="437"/>
      <c r="Q543" s="232" t="s">
        <v>408</v>
      </c>
      <c r="R543" s="238" t="s">
        <v>1250</v>
      </c>
      <c r="S543" s="244" t="s">
        <v>1244</v>
      </c>
      <c r="T543" s="235" t="s">
        <v>811</v>
      </c>
      <c r="U543" s="236" t="s">
        <v>408</v>
      </c>
      <c r="V543" s="237" t="s">
        <v>785</v>
      </c>
      <c r="W543" s="238" t="s">
        <v>408</v>
      </c>
      <c r="X543" s="239" t="s">
        <v>408</v>
      </c>
    </row>
    <row r="544" spans="1:24" ht="20.100000000000001" customHeight="1" x14ac:dyDescent="0.25">
      <c r="A544" s="436"/>
      <c r="B544" s="437"/>
      <c r="D544" s="437"/>
      <c r="F544" s="437"/>
      <c r="Q544" s="232" t="s">
        <v>408</v>
      </c>
      <c r="R544" s="238" t="s">
        <v>408</v>
      </c>
      <c r="S544" s="244" t="s">
        <v>1012</v>
      </c>
      <c r="T544" s="235" t="s">
        <v>812</v>
      </c>
      <c r="U544" s="236" t="s">
        <v>408</v>
      </c>
      <c r="V544" s="237" t="s">
        <v>788</v>
      </c>
      <c r="W544" s="238" t="s">
        <v>408</v>
      </c>
      <c r="X544" s="239" t="s">
        <v>408</v>
      </c>
    </row>
    <row r="545" spans="1:24" ht="20.100000000000001" customHeight="1" x14ac:dyDescent="0.25">
      <c r="A545" s="436"/>
      <c r="B545" s="437"/>
      <c r="D545" s="437"/>
      <c r="F545" s="437"/>
      <c r="Q545" s="241" t="s">
        <v>408</v>
      </c>
      <c r="R545" s="238" t="s">
        <v>408</v>
      </c>
      <c r="S545" s="256" t="s">
        <v>1251</v>
      </c>
      <c r="T545" s="243" t="s">
        <v>1092</v>
      </c>
      <c r="U545" s="236">
        <v>1</v>
      </c>
      <c r="V545" s="237" t="s">
        <v>791</v>
      </c>
      <c r="W545" s="238" t="s">
        <v>408</v>
      </c>
      <c r="X545" s="239" t="s">
        <v>408</v>
      </c>
    </row>
    <row r="546" spans="1:24" ht="20.100000000000001" customHeight="1" x14ac:dyDescent="0.25">
      <c r="A546" s="436"/>
      <c r="B546" s="437"/>
      <c r="D546" s="437"/>
      <c r="F546" s="437"/>
      <c r="Q546" s="232" t="s">
        <v>408</v>
      </c>
      <c r="R546" s="238" t="s">
        <v>1252</v>
      </c>
      <c r="S546" s="244" t="s">
        <v>1253</v>
      </c>
      <c r="T546" s="235" t="s">
        <v>1093</v>
      </c>
      <c r="U546" s="236" t="s">
        <v>408</v>
      </c>
      <c r="V546" s="237" t="s">
        <v>794</v>
      </c>
      <c r="W546" s="238" t="s">
        <v>408</v>
      </c>
      <c r="X546" s="239" t="s">
        <v>408</v>
      </c>
    </row>
    <row r="547" spans="1:24" ht="20.100000000000001" customHeight="1" x14ac:dyDescent="0.25">
      <c r="A547" s="436"/>
      <c r="B547" s="437"/>
      <c r="D547" s="437"/>
      <c r="F547" s="437"/>
      <c r="Q547" s="232" t="s">
        <v>408</v>
      </c>
      <c r="R547" s="238" t="s">
        <v>408</v>
      </c>
      <c r="S547" s="244" t="s">
        <v>408</v>
      </c>
      <c r="T547" s="235" t="s">
        <v>1094</v>
      </c>
      <c r="U547" s="236">
        <v>1</v>
      </c>
      <c r="V547" s="237" t="s">
        <v>853</v>
      </c>
      <c r="W547" s="238" t="s">
        <v>408</v>
      </c>
      <c r="X547" s="239" t="s">
        <v>408</v>
      </c>
    </row>
    <row r="548" spans="1:24" ht="20.100000000000001" customHeight="1" x14ac:dyDescent="0.25">
      <c r="A548" s="436"/>
      <c r="B548" s="437"/>
      <c r="D548" s="437"/>
      <c r="F548" s="437"/>
      <c r="Q548" s="232" t="s">
        <v>408</v>
      </c>
      <c r="R548" s="238" t="s">
        <v>408</v>
      </c>
      <c r="S548" s="244" t="s">
        <v>408</v>
      </c>
      <c r="T548" s="235" t="s">
        <v>956</v>
      </c>
      <c r="U548" s="236">
        <v>1</v>
      </c>
      <c r="V548" s="237"/>
      <c r="W548" s="238" t="s">
        <v>408</v>
      </c>
      <c r="X548" s="239" t="s">
        <v>408</v>
      </c>
    </row>
    <row r="549" spans="1:24" ht="20.100000000000001" customHeight="1" x14ac:dyDescent="0.25">
      <c r="A549" s="436"/>
      <c r="B549" s="437"/>
      <c r="D549" s="437"/>
      <c r="F549" s="437"/>
      <c r="Q549" s="232" t="s">
        <v>408</v>
      </c>
      <c r="R549" s="238" t="s">
        <v>408</v>
      </c>
      <c r="S549" s="244" t="s">
        <v>408</v>
      </c>
      <c r="T549" s="235" t="s">
        <v>816</v>
      </c>
      <c r="U549" s="236">
        <v>1</v>
      </c>
      <c r="V549" s="237" t="s">
        <v>813</v>
      </c>
      <c r="W549" s="238" t="s">
        <v>408</v>
      </c>
      <c r="X549" s="239" t="s">
        <v>408</v>
      </c>
    </row>
    <row r="550" spans="1:24" ht="20.100000000000001" customHeight="1" x14ac:dyDescent="0.25">
      <c r="A550" s="436"/>
      <c r="B550" s="437"/>
      <c r="D550" s="437"/>
      <c r="F550" s="437"/>
      <c r="Q550" s="232" t="s">
        <v>408</v>
      </c>
      <c r="R550" s="238" t="s">
        <v>408</v>
      </c>
      <c r="S550" s="244" t="s">
        <v>408</v>
      </c>
      <c r="T550" s="235" t="s">
        <v>1254</v>
      </c>
      <c r="U550" s="236">
        <v>1</v>
      </c>
      <c r="V550" s="237" t="s">
        <v>815</v>
      </c>
      <c r="W550" s="238" t="s">
        <v>408</v>
      </c>
      <c r="X550" s="239" t="s">
        <v>408</v>
      </c>
    </row>
    <row r="551" spans="1:24" ht="20.100000000000001" customHeight="1" x14ac:dyDescent="0.25">
      <c r="A551" s="436"/>
      <c r="B551" s="437"/>
      <c r="D551" s="437"/>
      <c r="F551" s="437"/>
      <c r="Q551" s="232" t="s">
        <v>408</v>
      </c>
      <c r="R551" s="238" t="s">
        <v>408</v>
      </c>
      <c r="S551" s="244" t="s">
        <v>408</v>
      </c>
      <c r="T551" s="235" t="s">
        <v>1092</v>
      </c>
      <c r="U551" s="236">
        <v>1</v>
      </c>
      <c r="V551" s="237" t="s">
        <v>817</v>
      </c>
      <c r="W551" s="238" t="s">
        <v>408</v>
      </c>
      <c r="X551" s="239" t="s">
        <v>408</v>
      </c>
    </row>
    <row r="552" spans="1:24" ht="20.100000000000001" customHeight="1" x14ac:dyDescent="0.25">
      <c r="A552" s="436"/>
      <c r="B552" s="437"/>
      <c r="D552" s="437"/>
      <c r="F552" s="437"/>
      <c r="Q552" s="232" t="s">
        <v>408</v>
      </c>
      <c r="R552" s="238" t="s">
        <v>408</v>
      </c>
      <c r="S552" s="244" t="s">
        <v>408</v>
      </c>
      <c r="T552" s="235" t="s">
        <v>823</v>
      </c>
      <c r="U552" s="236" t="s">
        <v>408</v>
      </c>
      <c r="V552" s="237" t="s">
        <v>1255</v>
      </c>
      <c r="W552" s="238" t="s">
        <v>408</v>
      </c>
      <c r="X552" s="239" t="s">
        <v>408</v>
      </c>
    </row>
    <row r="553" spans="1:24" ht="20.100000000000001" customHeight="1" x14ac:dyDescent="0.25">
      <c r="A553" s="436"/>
      <c r="B553" s="437"/>
      <c r="D553" s="437"/>
      <c r="F553" s="437"/>
      <c r="Q553" s="232" t="s">
        <v>408</v>
      </c>
      <c r="R553" s="238" t="s">
        <v>408</v>
      </c>
      <c r="S553" s="244" t="s">
        <v>408</v>
      </c>
      <c r="T553" s="235" t="s">
        <v>824</v>
      </c>
      <c r="U553" s="236" t="s">
        <v>408</v>
      </c>
      <c r="V553" s="237" t="s">
        <v>821</v>
      </c>
      <c r="W553" s="238" t="s">
        <v>408</v>
      </c>
      <c r="X553" s="239" t="s">
        <v>408</v>
      </c>
    </row>
    <row r="554" spans="1:24" ht="20.100000000000001" customHeight="1" x14ac:dyDescent="0.25">
      <c r="A554" s="436"/>
      <c r="B554" s="437"/>
      <c r="D554" s="437"/>
      <c r="F554" s="437"/>
      <c r="Q554" s="232" t="s">
        <v>408</v>
      </c>
      <c r="R554" s="238" t="s">
        <v>408</v>
      </c>
      <c r="S554" s="244" t="s">
        <v>408</v>
      </c>
      <c r="T554" s="235" t="s">
        <v>408</v>
      </c>
      <c r="U554" s="236" t="s">
        <v>408</v>
      </c>
      <c r="V554" s="237" t="s">
        <v>408</v>
      </c>
      <c r="W554" s="238" t="s">
        <v>408</v>
      </c>
      <c r="X554" s="239" t="s">
        <v>408</v>
      </c>
    </row>
    <row r="555" spans="1:24" ht="20.100000000000001" customHeight="1" x14ac:dyDescent="0.25">
      <c r="A555" s="436"/>
      <c r="B555" s="437"/>
      <c r="D555" s="437"/>
      <c r="F555" s="437"/>
      <c r="Q555" s="232" t="s">
        <v>408</v>
      </c>
      <c r="R555" s="238" t="s">
        <v>408</v>
      </c>
      <c r="S555" s="244" t="s">
        <v>408</v>
      </c>
      <c r="T555" s="235" t="s">
        <v>825</v>
      </c>
      <c r="U555" s="236" t="s">
        <v>408</v>
      </c>
      <c r="V555" s="237" t="s">
        <v>408</v>
      </c>
      <c r="W555" s="238" t="s">
        <v>408</v>
      </c>
      <c r="X555" s="239" t="s">
        <v>408</v>
      </c>
    </row>
    <row r="556" spans="1:24" ht="20.100000000000001" customHeight="1" x14ac:dyDescent="0.25">
      <c r="A556" s="436"/>
      <c r="B556" s="437"/>
      <c r="D556" s="437"/>
      <c r="F556" s="437"/>
      <c r="Q556" s="232" t="s">
        <v>408</v>
      </c>
      <c r="R556" s="238" t="s">
        <v>408</v>
      </c>
      <c r="S556" s="244" t="s">
        <v>408</v>
      </c>
      <c r="T556" s="235" t="s">
        <v>750</v>
      </c>
      <c r="U556" s="236" t="s">
        <v>408</v>
      </c>
      <c r="V556" s="237" t="s">
        <v>408</v>
      </c>
      <c r="W556" s="238" t="s">
        <v>408</v>
      </c>
      <c r="X556" s="239" t="s">
        <v>408</v>
      </c>
    </row>
    <row r="557" spans="1:24" ht="20.100000000000001" customHeight="1" x14ac:dyDescent="0.25">
      <c r="A557" s="436"/>
      <c r="B557" s="437"/>
      <c r="D557" s="437"/>
      <c r="F557" s="437"/>
      <c r="Q557" s="232" t="s">
        <v>408</v>
      </c>
      <c r="R557" s="238" t="s">
        <v>408</v>
      </c>
      <c r="S557" s="244" t="s">
        <v>408</v>
      </c>
      <c r="T557" s="235" t="s">
        <v>754</v>
      </c>
      <c r="U557" s="236" t="s">
        <v>408</v>
      </c>
      <c r="V557" s="237" t="s">
        <v>408</v>
      </c>
      <c r="W557" s="238" t="s">
        <v>408</v>
      </c>
      <c r="X557" s="239" t="s">
        <v>408</v>
      </c>
    </row>
    <row r="558" spans="1:24" ht="20.100000000000001" customHeight="1" x14ac:dyDescent="0.25">
      <c r="A558" s="436"/>
      <c r="B558" s="437"/>
      <c r="D558" s="437"/>
      <c r="F558" s="437"/>
      <c r="Q558" s="232" t="s">
        <v>408</v>
      </c>
      <c r="R558" s="238" t="s">
        <v>408</v>
      </c>
      <c r="S558" s="244" t="s">
        <v>408</v>
      </c>
      <c r="T558" s="235" t="s">
        <v>826</v>
      </c>
      <c r="U558" s="236">
        <v>1</v>
      </c>
      <c r="V558" s="237" t="s">
        <v>408</v>
      </c>
      <c r="W558" s="238" t="s">
        <v>408</v>
      </c>
      <c r="X558" s="239" t="s">
        <v>408</v>
      </c>
    </row>
    <row r="559" spans="1:24" ht="20.100000000000001" customHeight="1" x14ac:dyDescent="0.25">
      <c r="A559" s="436"/>
      <c r="B559" s="437"/>
      <c r="D559" s="437"/>
      <c r="F559" s="437"/>
      <c r="Q559" s="232" t="s">
        <v>408</v>
      </c>
      <c r="R559" s="238" t="s">
        <v>408</v>
      </c>
      <c r="S559" s="244" t="s">
        <v>408</v>
      </c>
      <c r="T559" s="235" t="s">
        <v>903</v>
      </c>
      <c r="U559" s="236">
        <v>1</v>
      </c>
      <c r="V559" s="237" t="s">
        <v>408</v>
      </c>
      <c r="W559" s="238" t="s">
        <v>408</v>
      </c>
      <c r="X559" s="239" t="s">
        <v>408</v>
      </c>
    </row>
    <row r="560" spans="1:24" ht="20.100000000000001" customHeight="1" x14ac:dyDescent="0.25">
      <c r="A560" s="436"/>
      <c r="B560" s="437"/>
      <c r="D560" s="437"/>
      <c r="F560" s="437"/>
      <c r="Q560" s="232" t="s">
        <v>408</v>
      </c>
      <c r="R560" s="238" t="s">
        <v>408</v>
      </c>
      <c r="S560" s="244" t="s">
        <v>408</v>
      </c>
      <c r="T560" s="235" t="s">
        <v>833</v>
      </c>
      <c r="U560" s="236" t="s">
        <v>408</v>
      </c>
      <c r="V560" s="237" t="s">
        <v>408</v>
      </c>
      <c r="W560" s="238" t="s">
        <v>408</v>
      </c>
      <c r="X560" s="239" t="s">
        <v>408</v>
      </c>
    </row>
    <row r="561" spans="1:24" ht="20.100000000000001" customHeight="1" x14ac:dyDescent="0.25">
      <c r="A561" s="436"/>
      <c r="B561" s="437"/>
      <c r="D561" s="437"/>
      <c r="F561" s="437"/>
      <c r="Q561" s="232" t="s">
        <v>408</v>
      </c>
      <c r="R561" s="238"/>
      <c r="S561" s="244"/>
      <c r="T561" s="235" t="s">
        <v>1256</v>
      </c>
      <c r="U561" s="236">
        <v>1</v>
      </c>
      <c r="V561" s="237" t="s">
        <v>408</v>
      </c>
      <c r="W561" s="238" t="s">
        <v>408</v>
      </c>
      <c r="X561" s="239" t="s">
        <v>408</v>
      </c>
    </row>
    <row r="562" spans="1:24" ht="20.100000000000001" customHeight="1" x14ac:dyDescent="0.25">
      <c r="A562" s="436"/>
      <c r="B562" s="437"/>
      <c r="D562" s="437"/>
      <c r="F562" s="437"/>
      <c r="Q562" s="232" t="s">
        <v>408</v>
      </c>
      <c r="R562" s="238"/>
      <c r="S562" s="244"/>
      <c r="T562" s="235" t="s">
        <v>987</v>
      </c>
      <c r="U562" s="236" t="s">
        <v>408</v>
      </c>
      <c r="V562" s="237" t="s">
        <v>408</v>
      </c>
      <c r="W562" s="238" t="s">
        <v>408</v>
      </c>
      <c r="X562" s="239" t="s">
        <v>408</v>
      </c>
    </row>
    <row r="563" spans="1:24" ht="20.100000000000001" customHeight="1" x14ac:dyDescent="0.25">
      <c r="A563" s="436"/>
      <c r="B563" s="437"/>
      <c r="D563" s="437"/>
      <c r="F563" s="437"/>
      <c r="Q563" s="232" t="s">
        <v>408</v>
      </c>
      <c r="R563" s="238"/>
      <c r="S563" s="244"/>
      <c r="T563" s="235" t="s">
        <v>988</v>
      </c>
      <c r="U563" s="236" t="s">
        <v>408</v>
      </c>
      <c r="V563" s="237" t="s">
        <v>408</v>
      </c>
      <c r="W563" s="238" t="s">
        <v>408</v>
      </c>
      <c r="X563" s="239" t="s">
        <v>408</v>
      </c>
    </row>
    <row r="564" spans="1:24" ht="20.100000000000001" customHeight="1" x14ac:dyDescent="0.25">
      <c r="A564" s="436"/>
      <c r="B564" s="437"/>
      <c r="D564" s="437"/>
      <c r="F564" s="437"/>
      <c r="Q564" s="232" t="s">
        <v>408</v>
      </c>
      <c r="R564" s="238"/>
      <c r="S564" s="244"/>
      <c r="T564" s="235" t="s">
        <v>862</v>
      </c>
      <c r="U564" s="236">
        <v>1</v>
      </c>
      <c r="V564" s="237" t="s">
        <v>408</v>
      </c>
      <c r="W564" s="238" t="s">
        <v>408</v>
      </c>
      <c r="X564" s="239" t="s">
        <v>408</v>
      </c>
    </row>
    <row r="565" spans="1:24" ht="20.100000000000001" customHeight="1" x14ac:dyDescent="0.25">
      <c r="A565" s="436"/>
      <c r="B565" s="437"/>
      <c r="D565" s="437"/>
      <c r="F565" s="437"/>
      <c r="Q565" s="232" t="s">
        <v>408</v>
      </c>
      <c r="R565" s="238"/>
      <c r="S565" s="244"/>
      <c r="T565" s="235" t="s">
        <v>831</v>
      </c>
      <c r="U565" s="236" t="s">
        <v>408</v>
      </c>
      <c r="V565" s="237" t="s">
        <v>408</v>
      </c>
      <c r="W565" s="238" t="s">
        <v>408</v>
      </c>
      <c r="X565" s="239" t="s">
        <v>408</v>
      </c>
    </row>
    <row r="566" spans="1:24" ht="20.100000000000001" customHeight="1" x14ac:dyDescent="0.25">
      <c r="A566" s="436"/>
      <c r="B566" s="437"/>
      <c r="D566" s="437"/>
      <c r="F566" s="437"/>
      <c r="Q566" s="232" t="s">
        <v>408</v>
      </c>
      <c r="R566" s="238"/>
      <c r="S566" s="244"/>
      <c r="T566" s="235" t="s">
        <v>827</v>
      </c>
      <c r="U566" s="236">
        <v>1</v>
      </c>
      <c r="V566" s="237" t="s">
        <v>408</v>
      </c>
      <c r="W566" s="238" t="s">
        <v>408</v>
      </c>
      <c r="X566" s="239" t="s">
        <v>408</v>
      </c>
    </row>
    <row r="567" spans="1:24" ht="20.100000000000001" customHeight="1" x14ac:dyDescent="0.25">
      <c r="A567" s="436"/>
      <c r="B567" s="437"/>
      <c r="D567" s="437"/>
      <c r="F567" s="437"/>
      <c r="Q567" s="232" t="s">
        <v>408</v>
      </c>
      <c r="R567" s="238"/>
      <c r="S567" s="244"/>
      <c r="T567" s="235" t="s">
        <v>828</v>
      </c>
      <c r="U567" s="236" t="s">
        <v>408</v>
      </c>
      <c r="V567" s="237" t="s">
        <v>408</v>
      </c>
      <c r="W567" s="238" t="s">
        <v>408</v>
      </c>
      <c r="X567" s="239" t="s">
        <v>408</v>
      </c>
    </row>
    <row r="568" spans="1:24" ht="20.100000000000001" customHeight="1" x14ac:dyDescent="0.25">
      <c r="A568" s="436"/>
      <c r="B568" s="437"/>
      <c r="D568" s="437"/>
      <c r="F568" s="437"/>
      <c r="Q568" s="232" t="s">
        <v>408</v>
      </c>
      <c r="R568" s="238"/>
      <c r="S568" s="244"/>
      <c r="T568" s="235" t="s">
        <v>408</v>
      </c>
      <c r="U568" s="236" t="s">
        <v>408</v>
      </c>
      <c r="V568" s="237" t="s">
        <v>408</v>
      </c>
      <c r="W568" s="238" t="s">
        <v>408</v>
      </c>
      <c r="X568" s="239" t="s">
        <v>408</v>
      </c>
    </row>
    <row r="569" spans="1:24" ht="20.100000000000001" customHeight="1" x14ac:dyDescent="0.25">
      <c r="A569" s="436"/>
      <c r="B569" s="437"/>
      <c r="D569" s="437"/>
      <c r="F569" s="437"/>
      <c r="Q569" s="232" t="s">
        <v>408</v>
      </c>
      <c r="R569" s="238"/>
      <c r="S569" s="244"/>
      <c r="T569" s="235" t="s">
        <v>1257</v>
      </c>
      <c r="U569" s="236" t="s">
        <v>408</v>
      </c>
      <c r="V569" s="237" t="s">
        <v>408</v>
      </c>
      <c r="W569" s="238" t="s">
        <v>408</v>
      </c>
      <c r="X569" s="239" t="s">
        <v>408</v>
      </c>
    </row>
    <row r="570" spans="1:24" ht="20.100000000000001" customHeight="1" x14ac:dyDescent="0.25">
      <c r="A570" s="436"/>
      <c r="B570" s="437"/>
      <c r="D570" s="437"/>
      <c r="F570" s="437"/>
      <c r="Q570" s="232" t="s">
        <v>408</v>
      </c>
      <c r="R570" s="238" t="s">
        <v>408</v>
      </c>
      <c r="S570" s="244" t="s">
        <v>408</v>
      </c>
      <c r="T570" s="235" t="s">
        <v>1130</v>
      </c>
      <c r="U570" s="236">
        <v>0.3</v>
      </c>
      <c r="V570" s="237" t="s">
        <v>408</v>
      </c>
      <c r="W570" s="238" t="s">
        <v>408</v>
      </c>
      <c r="X570" s="239" t="s">
        <v>408</v>
      </c>
    </row>
    <row r="571" spans="1:24" ht="20.100000000000001" customHeight="1" x14ac:dyDescent="0.25">
      <c r="A571" s="436"/>
      <c r="B571" s="437"/>
      <c r="D571" s="437"/>
      <c r="F571" s="437"/>
      <c r="Q571" s="232" t="s">
        <v>408</v>
      </c>
      <c r="R571" s="238" t="s">
        <v>408</v>
      </c>
      <c r="S571" s="244" t="s">
        <v>408</v>
      </c>
      <c r="T571" s="235" t="s">
        <v>1132</v>
      </c>
      <c r="U571" s="236" t="s">
        <v>408</v>
      </c>
      <c r="V571" s="237" t="s">
        <v>408</v>
      </c>
      <c r="W571" s="238" t="s">
        <v>408</v>
      </c>
      <c r="X571" s="239" t="s">
        <v>408</v>
      </c>
    </row>
    <row r="572" spans="1:24" ht="20.100000000000001" customHeight="1" x14ac:dyDescent="0.25">
      <c r="A572" s="436"/>
      <c r="B572" s="437"/>
      <c r="D572" s="437"/>
      <c r="F572" s="437"/>
      <c r="Q572" s="232" t="s">
        <v>408</v>
      </c>
      <c r="R572" s="238" t="s">
        <v>408</v>
      </c>
      <c r="S572" s="244" t="s">
        <v>408</v>
      </c>
      <c r="T572" s="235" t="s">
        <v>1258</v>
      </c>
      <c r="U572" s="236" t="s">
        <v>408</v>
      </c>
      <c r="V572" s="237" t="s">
        <v>408</v>
      </c>
      <c r="W572" s="238" t="s">
        <v>408</v>
      </c>
      <c r="X572" s="239" t="s">
        <v>408</v>
      </c>
    </row>
    <row r="573" spans="1:24" ht="20.100000000000001" customHeight="1" x14ac:dyDescent="0.25">
      <c r="A573" s="436"/>
      <c r="B573" s="437"/>
      <c r="D573" s="437"/>
      <c r="F573" s="437"/>
      <c r="Q573" s="232" t="s">
        <v>408</v>
      </c>
      <c r="R573" s="238" t="s">
        <v>408</v>
      </c>
      <c r="S573" s="244" t="s">
        <v>408</v>
      </c>
      <c r="T573" s="235" t="s">
        <v>1259</v>
      </c>
      <c r="U573" s="236" t="s">
        <v>408</v>
      </c>
      <c r="V573" s="237" t="s">
        <v>408</v>
      </c>
      <c r="W573" s="238" t="s">
        <v>408</v>
      </c>
      <c r="X573" s="239" t="s">
        <v>408</v>
      </c>
    </row>
    <row r="574" spans="1:24" ht="20.100000000000001" customHeight="1" x14ac:dyDescent="0.25">
      <c r="A574" s="436"/>
      <c r="B574" s="437"/>
      <c r="D574" s="437"/>
      <c r="F574" s="437"/>
      <c r="Q574" s="232" t="s">
        <v>408</v>
      </c>
      <c r="R574" s="238" t="s">
        <v>408</v>
      </c>
      <c r="S574" s="244" t="s">
        <v>408</v>
      </c>
      <c r="T574" s="235" t="s">
        <v>1260</v>
      </c>
      <c r="U574" s="236">
        <v>1</v>
      </c>
      <c r="V574" s="237" t="s">
        <v>408</v>
      </c>
      <c r="W574" s="238" t="s">
        <v>408</v>
      </c>
      <c r="X574" s="239" t="s">
        <v>408</v>
      </c>
    </row>
    <row r="575" spans="1:24" ht="20.100000000000001" customHeight="1" x14ac:dyDescent="0.25">
      <c r="A575" s="436"/>
      <c r="B575" s="437"/>
      <c r="D575" s="437"/>
      <c r="F575" s="437"/>
      <c r="Q575" s="232" t="s">
        <v>408</v>
      </c>
      <c r="R575" s="238" t="s">
        <v>408</v>
      </c>
      <c r="S575" s="244" t="s">
        <v>408</v>
      </c>
      <c r="T575" s="235" t="s">
        <v>1261</v>
      </c>
      <c r="U575" s="236" t="s">
        <v>408</v>
      </c>
      <c r="V575" s="237" t="s">
        <v>408</v>
      </c>
      <c r="W575" s="238" t="s">
        <v>408</v>
      </c>
      <c r="X575" s="239" t="s">
        <v>408</v>
      </c>
    </row>
    <row r="576" spans="1:24" ht="20.100000000000001" customHeight="1" x14ac:dyDescent="0.25">
      <c r="A576" s="436"/>
      <c r="B576" s="437"/>
      <c r="D576" s="437"/>
      <c r="F576" s="437"/>
      <c r="Q576" s="232" t="s">
        <v>408</v>
      </c>
      <c r="R576" s="238" t="s">
        <v>408</v>
      </c>
      <c r="S576" s="244" t="s">
        <v>408</v>
      </c>
      <c r="T576" s="235" t="s">
        <v>408</v>
      </c>
      <c r="U576" s="236" t="s">
        <v>408</v>
      </c>
      <c r="V576" s="237" t="s">
        <v>408</v>
      </c>
      <c r="W576" s="238" t="s">
        <v>408</v>
      </c>
      <c r="X576" s="239" t="s">
        <v>408</v>
      </c>
    </row>
    <row r="577" spans="1:24" ht="20.100000000000001" customHeight="1" x14ac:dyDescent="0.25">
      <c r="A577" s="436"/>
      <c r="B577" s="437"/>
      <c r="D577" s="437"/>
      <c r="F577" s="437"/>
      <c r="Q577" s="232" t="s">
        <v>408</v>
      </c>
      <c r="R577" s="238" t="s">
        <v>408</v>
      </c>
      <c r="S577" s="244" t="s">
        <v>408</v>
      </c>
      <c r="T577" s="235" t="s">
        <v>840</v>
      </c>
      <c r="U577" s="236" t="s">
        <v>408</v>
      </c>
      <c r="V577" s="237" t="s">
        <v>408</v>
      </c>
      <c r="W577" s="238" t="s">
        <v>408</v>
      </c>
      <c r="X577" s="239" t="s">
        <v>408</v>
      </c>
    </row>
    <row r="578" spans="1:24" ht="20.100000000000001" customHeight="1" x14ac:dyDescent="0.25">
      <c r="A578" s="436"/>
      <c r="B578" s="437"/>
      <c r="D578" s="437"/>
      <c r="F578" s="437"/>
      <c r="Q578" s="232" t="s">
        <v>408</v>
      </c>
      <c r="R578" s="238" t="s">
        <v>408</v>
      </c>
      <c r="S578" s="244" t="s">
        <v>408</v>
      </c>
      <c r="T578" s="235" t="s">
        <v>841</v>
      </c>
      <c r="U578" s="236" t="s">
        <v>408</v>
      </c>
      <c r="V578" s="237" t="s">
        <v>408</v>
      </c>
      <c r="W578" s="238" t="s">
        <v>408</v>
      </c>
      <c r="X578" s="239" t="s">
        <v>408</v>
      </c>
    </row>
    <row r="579" spans="1:24" ht="20.100000000000001" customHeight="1" x14ac:dyDescent="0.25">
      <c r="A579" s="436"/>
      <c r="B579" s="437"/>
      <c r="D579" s="437"/>
      <c r="F579" s="437"/>
      <c r="Q579" s="232" t="s">
        <v>408</v>
      </c>
      <c r="R579" s="238" t="s">
        <v>408</v>
      </c>
      <c r="S579" s="244" t="s">
        <v>408</v>
      </c>
      <c r="T579" s="235" t="s">
        <v>794</v>
      </c>
      <c r="U579" s="236" t="s">
        <v>408</v>
      </c>
      <c r="V579" s="237" t="s">
        <v>408</v>
      </c>
      <c r="W579" s="238" t="s">
        <v>408</v>
      </c>
      <c r="X579" s="239" t="s">
        <v>408</v>
      </c>
    </row>
    <row r="580" spans="1:24" ht="20.100000000000001" customHeight="1" x14ac:dyDescent="0.25">
      <c r="A580" s="436"/>
      <c r="B580" s="437"/>
      <c r="D580" s="437"/>
      <c r="F580" s="437"/>
      <c r="Q580" s="232" t="s">
        <v>408</v>
      </c>
      <c r="R580" s="238" t="s">
        <v>408</v>
      </c>
      <c r="S580" s="244" t="s">
        <v>408</v>
      </c>
      <c r="T580" s="235" t="s">
        <v>1262</v>
      </c>
      <c r="U580" s="236">
        <v>1</v>
      </c>
      <c r="V580" s="237" t="s">
        <v>408</v>
      </c>
      <c r="W580" s="238" t="s">
        <v>408</v>
      </c>
      <c r="X580" s="239" t="s">
        <v>408</v>
      </c>
    </row>
    <row r="581" spans="1:24" ht="20.100000000000001" customHeight="1" x14ac:dyDescent="0.25">
      <c r="A581" s="436"/>
      <c r="B581" s="437"/>
      <c r="D581" s="437"/>
      <c r="F581" s="437"/>
      <c r="Q581" s="232" t="s">
        <v>408</v>
      </c>
      <c r="R581" s="238" t="s">
        <v>408</v>
      </c>
      <c r="S581" s="244" t="s">
        <v>408</v>
      </c>
      <c r="T581" s="235" t="s">
        <v>844</v>
      </c>
      <c r="U581" s="236">
        <v>1</v>
      </c>
      <c r="V581" s="237" t="s">
        <v>408</v>
      </c>
      <c r="W581" s="238" t="s">
        <v>408</v>
      </c>
      <c r="X581" s="239" t="s">
        <v>408</v>
      </c>
    </row>
    <row r="582" spans="1:24" ht="20.100000000000001" customHeight="1" x14ac:dyDescent="0.25">
      <c r="A582" s="436"/>
      <c r="B582" s="437"/>
      <c r="D582" s="437"/>
      <c r="F582" s="437"/>
      <c r="Q582" s="232" t="s">
        <v>408</v>
      </c>
      <c r="R582" s="238" t="s">
        <v>408</v>
      </c>
      <c r="S582" s="244" t="s">
        <v>408</v>
      </c>
      <c r="T582" s="235" t="s">
        <v>845</v>
      </c>
      <c r="U582" s="236">
        <v>1</v>
      </c>
      <c r="V582" s="237" t="s">
        <v>408</v>
      </c>
      <c r="W582" s="238" t="s">
        <v>408</v>
      </c>
      <c r="X582" s="239" t="s">
        <v>408</v>
      </c>
    </row>
    <row r="583" spans="1:24" ht="20.100000000000001" customHeight="1" x14ac:dyDescent="0.25">
      <c r="A583" s="436"/>
      <c r="B583" s="437"/>
      <c r="D583" s="437"/>
      <c r="F583" s="437"/>
      <c r="Q583" s="232" t="s">
        <v>408</v>
      </c>
      <c r="R583" s="238" t="s">
        <v>408</v>
      </c>
      <c r="S583" s="244" t="s">
        <v>408</v>
      </c>
      <c r="T583" s="235" t="s">
        <v>846</v>
      </c>
      <c r="U583" s="236" t="s">
        <v>408</v>
      </c>
      <c r="V583" s="237" t="s">
        <v>408</v>
      </c>
      <c r="W583" s="238" t="s">
        <v>408</v>
      </c>
      <c r="X583" s="239" t="s">
        <v>408</v>
      </c>
    </row>
    <row r="584" spans="1:24" ht="20.100000000000001" customHeight="1" x14ac:dyDescent="0.25">
      <c r="A584" s="436"/>
      <c r="B584" s="437"/>
      <c r="D584" s="437"/>
      <c r="F584" s="437"/>
      <c r="Q584" s="247" t="s">
        <v>408</v>
      </c>
      <c r="R584" s="248" t="s">
        <v>408</v>
      </c>
      <c r="S584" s="249" t="s">
        <v>408</v>
      </c>
      <c r="T584" s="266" t="s">
        <v>408</v>
      </c>
      <c r="U584" s="251" t="s">
        <v>408</v>
      </c>
      <c r="V584" s="252" t="s">
        <v>408</v>
      </c>
      <c r="W584" s="248" t="s">
        <v>408</v>
      </c>
      <c r="X584" s="253" t="s">
        <v>408</v>
      </c>
    </row>
    <row r="585" spans="1:24" ht="20.100000000000001" customHeight="1" x14ac:dyDescent="0.25">
      <c r="A585" s="436"/>
      <c r="B585" s="437"/>
      <c r="D585" s="437"/>
      <c r="F585" s="437"/>
      <c r="Q585" s="224" t="s">
        <v>1263</v>
      </c>
      <c r="R585" s="270"/>
      <c r="S585" s="271" t="s">
        <v>1264</v>
      </c>
      <c r="T585" s="227" t="s">
        <v>746</v>
      </c>
      <c r="U585" s="228" t="s">
        <v>408</v>
      </c>
      <c r="V585" s="229" t="s">
        <v>747</v>
      </c>
      <c r="W585" s="230">
        <v>18</v>
      </c>
      <c r="X585" s="231" t="s">
        <v>1265</v>
      </c>
    </row>
    <row r="586" spans="1:24" ht="20.100000000000001" customHeight="1" x14ac:dyDescent="0.25">
      <c r="A586" s="436"/>
      <c r="B586" s="437"/>
      <c r="D586" s="437"/>
      <c r="F586" s="437"/>
      <c r="Q586" s="232" t="s">
        <v>408</v>
      </c>
      <c r="R586" s="238" t="s">
        <v>1266</v>
      </c>
      <c r="S586" s="244" t="s">
        <v>1244</v>
      </c>
      <c r="T586" s="235" t="s">
        <v>750</v>
      </c>
      <c r="U586" s="236" t="s">
        <v>408</v>
      </c>
      <c r="V586" s="237" t="s">
        <v>751</v>
      </c>
      <c r="W586" s="238" t="s">
        <v>408</v>
      </c>
      <c r="X586" s="239" t="s">
        <v>760</v>
      </c>
    </row>
    <row r="587" spans="1:24" ht="20.100000000000001" customHeight="1" x14ac:dyDescent="0.25">
      <c r="A587" s="436"/>
      <c r="B587" s="437"/>
      <c r="D587" s="437"/>
      <c r="F587" s="437"/>
      <c r="Q587" s="232" t="s">
        <v>408</v>
      </c>
      <c r="R587" s="238" t="s">
        <v>408</v>
      </c>
      <c r="S587" s="244" t="s">
        <v>1012</v>
      </c>
      <c r="T587" s="235" t="s">
        <v>754</v>
      </c>
      <c r="U587" s="236" t="s">
        <v>408</v>
      </c>
      <c r="V587" s="237" t="s">
        <v>1068</v>
      </c>
      <c r="W587" s="238" t="s">
        <v>408</v>
      </c>
      <c r="X587" s="239" t="s">
        <v>1011</v>
      </c>
    </row>
    <row r="588" spans="1:24" ht="20.100000000000001" customHeight="1" x14ac:dyDescent="0.25">
      <c r="A588" s="436"/>
      <c r="B588" s="437"/>
      <c r="D588" s="437"/>
      <c r="F588" s="437"/>
      <c r="Q588" s="232" t="s">
        <v>408</v>
      </c>
      <c r="R588" s="238" t="s">
        <v>408</v>
      </c>
      <c r="S588" s="244" t="s">
        <v>1267</v>
      </c>
      <c r="T588" s="235" t="s">
        <v>1006</v>
      </c>
      <c r="U588" s="236">
        <v>3</v>
      </c>
      <c r="V588" s="237" t="s">
        <v>1071</v>
      </c>
      <c r="W588" s="238" t="s">
        <v>408</v>
      </c>
      <c r="X588" s="239" t="s">
        <v>776</v>
      </c>
    </row>
    <row r="589" spans="1:24" ht="20.100000000000001" customHeight="1" x14ac:dyDescent="0.25">
      <c r="A589" s="436"/>
      <c r="B589" s="437"/>
      <c r="D589" s="437"/>
      <c r="F589" s="437"/>
      <c r="Q589" s="232" t="s">
        <v>408</v>
      </c>
      <c r="R589" s="238" t="s">
        <v>408</v>
      </c>
      <c r="S589" s="244" t="s">
        <v>953</v>
      </c>
      <c r="T589" s="235" t="s">
        <v>1074</v>
      </c>
      <c r="U589" s="236" t="s">
        <v>408</v>
      </c>
      <c r="V589" s="237" t="s">
        <v>763</v>
      </c>
      <c r="W589" s="238" t="s">
        <v>408</v>
      </c>
      <c r="X589" s="239" t="s">
        <v>779</v>
      </c>
    </row>
    <row r="590" spans="1:24" ht="20.100000000000001" customHeight="1" x14ac:dyDescent="0.25">
      <c r="A590" s="436"/>
      <c r="B590" s="437"/>
      <c r="D590" s="437"/>
      <c r="F590" s="437"/>
      <c r="Q590" s="232" t="s">
        <v>408</v>
      </c>
      <c r="R590" s="238" t="s">
        <v>1268</v>
      </c>
      <c r="S590" s="244" t="s">
        <v>1244</v>
      </c>
      <c r="T590" s="235" t="s">
        <v>781</v>
      </c>
      <c r="U590" s="236">
        <v>1</v>
      </c>
      <c r="V590" s="237" t="s">
        <v>767</v>
      </c>
      <c r="W590" s="238" t="s">
        <v>408</v>
      </c>
      <c r="X590" s="239" t="s">
        <v>869</v>
      </c>
    </row>
    <row r="591" spans="1:24" ht="20.100000000000001" customHeight="1" x14ac:dyDescent="0.25">
      <c r="A591" s="436"/>
      <c r="B591" s="437"/>
      <c r="D591" s="437"/>
      <c r="F591" s="437"/>
      <c r="Q591" s="232" t="s">
        <v>408</v>
      </c>
      <c r="R591" s="238" t="s">
        <v>408</v>
      </c>
      <c r="S591" s="244" t="s">
        <v>1012</v>
      </c>
      <c r="T591" s="235" t="s">
        <v>793</v>
      </c>
      <c r="U591" s="236">
        <v>3</v>
      </c>
      <c r="V591" s="237" t="s">
        <v>771</v>
      </c>
      <c r="W591" s="238" t="s">
        <v>408</v>
      </c>
      <c r="X591" s="239" t="s">
        <v>1269</v>
      </c>
    </row>
    <row r="592" spans="1:24" ht="20.100000000000001" customHeight="1" x14ac:dyDescent="0.25">
      <c r="A592" s="436"/>
      <c r="B592" s="437"/>
      <c r="D592" s="437"/>
      <c r="F592" s="437"/>
      <c r="Q592" s="232" t="s">
        <v>408</v>
      </c>
      <c r="R592" s="238" t="s">
        <v>408</v>
      </c>
      <c r="S592" s="244" t="s">
        <v>1270</v>
      </c>
      <c r="T592" s="235" t="s">
        <v>854</v>
      </c>
      <c r="U592" s="236">
        <v>1</v>
      </c>
      <c r="V592" s="237" t="s">
        <v>1010</v>
      </c>
      <c r="W592" s="238" t="s">
        <v>408</v>
      </c>
      <c r="X592" s="239" t="s">
        <v>408</v>
      </c>
    </row>
    <row r="593" spans="1:24" ht="20.100000000000001" customHeight="1" x14ac:dyDescent="0.25">
      <c r="A593" s="436"/>
      <c r="B593" s="437"/>
      <c r="D593" s="437"/>
      <c r="F593" s="437"/>
      <c r="Q593" s="232" t="s">
        <v>408</v>
      </c>
      <c r="R593" s="238" t="s">
        <v>408</v>
      </c>
      <c r="S593" s="244" t="s">
        <v>953</v>
      </c>
      <c r="T593" s="235" t="s">
        <v>856</v>
      </c>
      <c r="U593" s="236" t="s">
        <v>408</v>
      </c>
      <c r="V593" s="237" t="s">
        <v>1071</v>
      </c>
      <c r="W593" s="238" t="s">
        <v>408</v>
      </c>
      <c r="X593" s="239" t="s">
        <v>408</v>
      </c>
    </row>
    <row r="594" spans="1:24" ht="20.100000000000001" customHeight="1" x14ac:dyDescent="0.25">
      <c r="A594" s="436"/>
      <c r="B594" s="437"/>
      <c r="D594" s="437"/>
      <c r="F594" s="437"/>
      <c r="Q594" s="232" t="s">
        <v>408</v>
      </c>
      <c r="R594" s="238" t="s">
        <v>1271</v>
      </c>
      <c r="S594" s="244" t="s">
        <v>1244</v>
      </c>
      <c r="T594" s="235" t="s">
        <v>766</v>
      </c>
      <c r="U594" s="236">
        <v>1</v>
      </c>
      <c r="V594" s="237"/>
      <c r="W594" s="238" t="s">
        <v>408</v>
      </c>
      <c r="X594" s="239" t="s">
        <v>408</v>
      </c>
    </row>
    <row r="595" spans="1:24" ht="20.100000000000001" customHeight="1" x14ac:dyDescent="0.25">
      <c r="A595" s="436"/>
      <c r="B595" s="437"/>
      <c r="D595" s="437"/>
      <c r="F595" s="437"/>
      <c r="Q595" s="232" t="s">
        <v>408</v>
      </c>
      <c r="R595" s="238" t="s">
        <v>408</v>
      </c>
      <c r="S595" s="244" t="s">
        <v>1012</v>
      </c>
      <c r="T595" s="235" t="s">
        <v>978</v>
      </c>
      <c r="U595" s="236">
        <v>1</v>
      </c>
      <c r="V595" s="237" t="s">
        <v>1272</v>
      </c>
      <c r="W595" s="238" t="s">
        <v>408</v>
      </c>
      <c r="X595" s="239" t="s">
        <v>408</v>
      </c>
    </row>
    <row r="596" spans="1:24" ht="20.100000000000001" customHeight="1" x14ac:dyDescent="0.25">
      <c r="A596" s="436"/>
      <c r="B596" s="437"/>
      <c r="D596" s="437"/>
      <c r="F596" s="437"/>
      <c r="Q596" s="232" t="s">
        <v>408</v>
      </c>
      <c r="R596" s="238" t="s">
        <v>408</v>
      </c>
      <c r="S596" s="244" t="s">
        <v>1273</v>
      </c>
      <c r="T596" s="235" t="s">
        <v>807</v>
      </c>
      <c r="U596" s="236" t="s">
        <v>408</v>
      </c>
      <c r="V596" s="237" t="s">
        <v>1274</v>
      </c>
      <c r="W596" s="238" t="s">
        <v>408</v>
      </c>
      <c r="X596" s="239" t="s">
        <v>408</v>
      </c>
    </row>
    <row r="597" spans="1:24" ht="20.100000000000001" customHeight="1" x14ac:dyDescent="0.25">
      <c r="A597" s="436"/>
      <c r="B597" s="437"/>
      <c r="D597" s="437"/>
      <c r="F597" s="437"/>
      <c r="Q597" s="232" t="s">
        <v>408</v>
      </c>
      <c r="R597" s="238" t="s">
        <v>408</v>
      </c>
      <c r="S597" s="244" t="s">
        <v>953</v>
      </c>
      <c r="T597" s="235" t="s">
        <v>809</v>
      </c>
      <c r="U597" s="236" t="s">
        <v>408</v>
      </c>
      <c r="V597" s="237" t="s">
        <v>791</v>
      </c>
      <c r="W597" s="238" t="s">
        <v>408</v>
      </c>
      <c r="X597" s="239" t="s">
        <v>408</v>
      </c>
    </row>
    <row r="598" spans="1:24" ht="20.100000000000001" customHeight="1" x14ac:dyDescent="0.25">
      <c r="A598" s="436"/>
      <c r="B598" s="437"/>
      <c r="D598" s="437"/>
      <c r="F598" s="437"/>
      <c r="Q598" s="232" t="s">
        <v>408</v>
      </c>
      <c r="R598" s="238" t="s">
        <v>1275</v>
      </c>
      <c r="S598" s="244" t="s">
        <v>1244</v>
      </c>
      <c r="T598" s="235" t="s">
        <v>811</v>
      </c>
      <c r="U598" s="236" t="s">
        <v>408</v>
      </c>
      <c r="V598" s="237" t="s">
        <v>794</v>
      </c>
      <c r="W598" s="238" t="s">
        <v>408</v>
      </c>
      <c r="X598" s="239" t="s">
        <v>408</v>
      </c>
    </row>
    <row r="599" spans="1:24" ht="20.100000000000001" customHeight="1" x14ac:dyDescent="0.25">
      <c r="A599" s="436"/>
      <c r="B599" s="437"/>
      <c r="D599" s="437"/>
      <c r="F599" s="437"/>
      <c r="Q599" s="232" t="s">
        <v>408</v>
      </c>
      <c r="R599" s="238" t="s">
        <v>408</v>
      </c>
      <c r="S599" s="244" t="s">
        <v>1012</v>
      </c>
      <c r="T599" s="235" t="s">
        <v>812</v>
      </c>
      <c r="U599" s="236" t="s">
        <v>408</v>
      </c>
      <c r="V599" s="237" t="s">
        <v>853</v>
      </c>
      <c r="W599" s="238" t="s">
        <v>408</v>
      </c>
      <c r="X599" s="239" t="s">
        <v>408</v>
      </c>
    </row>
    <row r="600" spans="1:24" ht="20.100000000000001" customHeight="1" x14ac:dyDescent="0.25">
      <c r="A600" s="436"/>
      <c r="B600" s="437"/>
      <c r="D600" s="437"/>
      <c r="F600" s="437"/>
      <c r="Q600" s="232" t="s">
        <v>408</v>
      </c>
      <c r="R600" s="238" t="s">
        <v>408</v>
      </c>
      <c r="S600" s="244" t="s">
        <v>1276</v>
      </c>
      <c r="T600" s="235" t="s">
        <v>1254</v>
      </c>
      <c r="U600" s="236">
        <v>1</v>
      </c>
      <c r="V600" s="237"/>
      <c r="W600" s="238" t="s">
        <v>408</v>
      </c>
      <c r="X600" s="239" t="s">
        <v>408</v>
      </c>
    </row>
    <row r="601" spans="1:24" ht="20.100000000000001" customHeight="1" x14ac:dyDescent="0.25">
      <c r="A601" s="436"/>
      <c r="B601" s="437"/>
      <c r="D601" s="437"/>
      <c r="F601" s="437"/>
      <c r="Q601" s="232" t="s">
        <v>408</v>
      </c>
      <c r="R601" s="238" t="s">
        <v>408</v>
      </c>
      <c r="S601" s="244" t="s">
        <v>953</v>
      </c>
      <c r="T601" s="235" t="s">
        <v>1094</v>
      </c>
      <c r="U601" s="236">
        <v>1</v>
      </c>
      <c r="V601" s="237" t="s">
        <v>1023</v>
      </c>
      <c r="W601" s="238" t="s">
        <v>408</v>
      </c>
      <c r="X601" s="239" t="s">
        <v>408</v>
      </c>
    </row>
    <row r="602" spans="1:24" ht="20.100000000000001" customHeight="1" x14ac:dyDescent="0.25">
      <c r="A602" s="436"/>
      <c r="B602" s="437"/>
      <c r="D602" s="437"/>
      <c r="F602" s="437"/>
      <c r="Q602" s="232" t="s">
        <v>408</v>
      </c>
      <c r="R602" s="238" t="s">
        <v>1277</v>
      </c>
      <c r="S602" s="244" t="s">
        <v>1244</v>
      </c>
      <c r="T602" s="235" t="s">
        <v>956</v>
      </c>
      <c r="U602" s="236">
        <v>1</v>
      </c>
      <c r="V602" s="237" t="s">
        <v>815</v>
      </c>
      <c r="W602" s="238" t="s">
        <v>408</v>
      </c>
      <c r="X602" s="239" t="s">
        <v>408</v>
      </c>
    </row>
    <row r="603" spans="1:24" ht="20.100000000000001" customHeight="1" x14ac:dyDescent="0.25">
      <c r="A603" s="436"/>
      <c r="B603" s="437"/>
      <c r="D603" s="437"/>
      <c r="F603" s="437"/>
      <c r="Q603" s="232" t="s">
        <v>408</v>
      </c>
      <c r="R603" s="238" t="s">
        <v>408</v>
      </c>
      <c r="S603" s="244" t="s">
        <v>1012</v>
      </c>
      <c r="T603" s="235" t="s">
        <v>816</v>
      </c>
      <c r="U603" s="236">
        <v>1</v>
      </c>
      <c r="V603" s="237" t="s">
        <v>817</v>
      </c>
      <c r="W603" s="238" t="s">
        <v>408</v>
      </c>
      <c r="X603" s="239" t="s">
        <v>408</v>
      </c>
    </row>
    <row r="604" spans="1:24" ht="20.100000000000001" customHeight="1" x14ac:dyDescent="0.25">
      <c r="A604" s="436"/>
      <c r="B604" s="437"/>
      <c r="D604" s="437"/>
      <c r="F604" s="437"/>
      <c r="Q604" s="232" t="s">
        <v>408</v>
      </c>
      <c r="R604" s="238" t="s">
        <v>408</v>
      </c>
      <c r="S604" s="244" t="s">
        <v>1278</v>
      </c>
      <c r="T604" s="235" t="s">
        <v>774</v>
      </c>
      <c r="U604" s="236">
        <v>1</v>
      </c>
      <c r="V604" s="237" t="s">
        <v>1255</v>
      </c>
      <c r="W604" s="238" t="s">
        <v>408</v>
      </c>
      <c r="X604" s="239" t="s">
        <v>408</v>
      </c>
    </row>
    <row r="605" spans="1:24" ht="20.100000000000001" customHeight="1" x14ac:dyDescent="0.25">
      <c r="A605" s="436"/>
      <c r="B605" s="437"/>
      <c r="D605" s="437"/>
      <c r="F605" s="437"/>
      <c r="Q605" s="232" t="s">
        <v>408</v>
      </c>
      <c r="R605" s="238" t="s">
        <v>408</v>
      </c>
      <c r="S605" s="244" t="s">
        <v>953</v>
      </c>
      <c r="T605" s="235" t="s">
        <v>1279</v>
      </c>
      <c r="U605" s="236">
        <v>1</v>
      </c>
      <c r="V605" s="237" t="s">
        <v>821</v>
      </c>
      <c r="W605" s="238" t="s">
        <v>408</v>
      </c>
      <c r="X605" s="239" t="s">
        <v>408</v>
      </c>
    </row>
    <row r="606" spans="1:24" ht="20.100000000000001" customHeight="1" x14ac:dyDescent="0.25">
      <c r="A606" s="436"/>
      <c r="B606" s="437"/>
      <c r="D606" s="437"/>
      <c r="F606" s="437"/>
      <c r="Q606" s="232" t="s">
        <v>408</v>
      </c>
      <c r="R606" s="238" t="s">
        <v>1280</v>
      </c>
      <c r="S606" s="244" t="s">
        <v>1244</v>
      </c>
      <c r="T606" s="235" t="s">
        <v>408</v>
      </c>
      <c r="U606" s="236" t="s">
        <v>408</v>
      </c>
      <c r="V606" s="237"/>
      <c r="W606" s="238" t="s">
        <v>408</v>
      </c>
      <c r="X606" s="239" t="s">
        <v>408</v>
      </c>
    </row>
    <row r="607" spans="1:24" ht="20.100000000000001" customHeight="1" x14ac:dyDescent="0.25">
      <c r="A607" s="436"/>
      <c r="B607" s="437"/>
      <c r="D607" s="437"/>
      <c r="F607" s="437"/>
      <c r="Q607" s="232" t="s">
        <v>408</v>
      </c>
      <c r="R607" s="238" t="s">
        <v>408</v>
      </c>
      <c r="S607" s="244" t="s">
        <v>1012</v>
      </c>
      <c r="T607" s="235" t="s">
        <v>825</v>
      </c>
      <c r="U607" s="236" t="s">
        <v>408</v>
      </c>
      <c r="V607" s="237" t="s">
        <v>408</v>
      </c>
      <c r="W607" s="238" t="s">
        <v>408</v>
      </c>
      <c r="X607" s="239" t="s">
        <v>408</v>
      </c>
    </row>
    <row r="608" spans="1:24" ht="20.100000000000001" customHeight="1" x14ac:dyDescent="0.25">
      <c r="A608" s="436"/>
      <c r="B608" s="437"/>
      <c r="D608" s="437"/>
      <c r="F608" s="437"/>
      <c r="Q608" s="232" t="s">
        <v>408</v>
      </c>
      <c r="R608" s="238" t="s">
        <v>408</v>
      </c>
      <c r="S608" s="244" t="s">
        <v>1281</v>
      </c>
      <c r="T608" s="235" t="s">
        <v>750</v>
      </c>
      <c r="U608" s="236" t="s">
        <v>408</v>
      </c>
      <c r="V608" s="237" t="s">
        <v>408</v>
      </c>
      <c r="W608" s="238" t="s">
        <v>408</v>
      </c>
      <c r="X608" s="239" t="s">
        <v>408</v>
      </c>
    </row>
    <row r="609" spans="1:24" ht="20.100000000000001" customHeight="1" x14ac:dyDescent="0.25">
      <c r="A609" s="436"/>
      <c r="B609" s="437"/>
      <c r="D609" s="437"/>
      <c r="F609" s="437"/>
      <c r="Q609" s="232" t="s">
        <v>408</v>
      </c>
      <c r="R609" s="238" t="s">
        <v>1282</v>
      </c>
      <c r="S609" s="244" t="s">
        <v>1244</v>
      </c>
      <c r="T609" s="235" t="s">
        <v>754</v>
      </c>
      <c r="U609" s="236" t="s">
        <v>408</v>
      </c>
      <c r="V609" s="237" t="s">
        <v>408</v>
      </c>
      <c r="W609" s="238" t="s">
        <v>408</v>
      </c>
      <c r="X609" s="239" t="s">
        <v>408</v>
      </c>
    </row>
    <row r="610" spans="1:24" ht="20.100000000000001" customHeight="1" x14ac:dyDescent="0.25">
      <c r="A610" s="436"/>
      <c r="B610" s="437"/>
      <c r="D610" s="437"/>
      <c r="F610" s="437"/>
      <c r="Q610" s="232" t="s">
        <v>408</v>
      </c>
      <c r="R610" s="238" t="s">
        <v>408</v>
      </c>
      <c r="S610" s="244" t="s">
        <v>1012</v>
      </c>
      <c r="T610" s="235" t="s">
        <v>826</v>
      </c>
      <c r="U610" s="236">
        <v>1</v>
      </c>
      <c r="V610" s="237" t="s">
        <v>408</v>
      </c>
      <c r="W610" s="238" t="s">
        <v>408</v>
      </c>
      <c r="X610" s="239" t="s">
        <v>408</v>
      </c>
    </row>
    <row r="611" spans="1:24" ht="20.100000000000001" customHeight="1" x14ac:dyDescent="0.25">
      <c r="A611" s="436"/>
      <c r="B611" s="437"/>
      <c r="D611" s="437"/>
      <c r="F611" s="437"/>
      <c r="Q611" s="232" t="s">
        <v>408</v>
      </c>
      <c r="R611" s="238" t="s">
        <v>408</v>
      </c>
      <c r="S611" s="244" t="s">
        <v>1283</v>
      </c>
      <c r="T611" s="235" t="s">
        <v>903</v>
      </c>
      <c r="U611" s="236">
        <v>1</v>
      </c>
      <c r="V611" s="237" t="s">
        <v>408</v>
      </c>
      <c r="W611" s="238" t="s">
        <v>408</v>
      </c>
      <c r="X611" s="239" t="s">
        <v>408</v>
      </c>
    </row>
    <row r="612" spans="1:24" ht="20.100000000000001" customHeight="1" x14ac:dyDescent="0.25">
      <c r="A612" s="436"/>
      <c r="B612" s="437"/>
      <c r="D612" s="437"/>
      <c r="F612" s="437"/>
      <c r="Q612" s="232" t="s">
        <v>408</v>
      </c>
      <c r="R612" s="238" t="s">
        <v>408</v>
      </c>
      <c r="S612" s="244" t="s">
        <v>1284</v>
      </c>
      <c r="T612" s="235" t="s">
        <v>833</v>
      </c>
      <c r="U612" s="236" t="s">
        <v>408</v>
      </c>
      <c r="V612" s="237" t="s">
        <v>408</v>
      </c>
      <c r="W612" s="238" t="s">
        <v>408</v>
      </c>
      <c r="X612" s="239" t="s">
        <v>408</v>
      </c>
    </row>
    <row r="613" spans="1:24" ht="20.100000000000001" customHeight="1" x14ac:dyDescent="0.25">
      <c r="A613" s="436"/>
      <c r="B613" s="437"/>
      <c r="D613" s="437"/>
      <c r="F613" s="437"/>
      <c r="Q613" s="232" t="s">
        <v>408</v>
      </c>
      <c r="R613" s="238" t="s">
        <v>1285</v>
      </c>
      <c r="S613" s="244" t="s">
        <v>1244</v>
      </c>
      <c r="T613" s="235" t="s">
        <v>1099</v>
      </c>
      <c r="U613" s="236">
        <v>1</v>
      </c>
      <c r="V613" s="237" t="s">
        <v>408</v>
      </c>
      <c r="W613" s="238" t="s">
        <v>408</v>
      </c>
      <c r="X613" s="239" t="s">
        <v>408</v>
      </c>
    </row>
    <row r="614" spans="1:24" ht="20.100000000000001" customHeight="1" x14ac:dyDescent="0.25">
      <c r="A614" s="436"/>
      <c r="B614" s="437"/>
      <c r="D614" s="437"/>
      <c r="F614" s="437"/>
      <c r="Q614" s="232" t="s">
        <v>408</v>
      </c>
      <c r="R614" s="238" t="s">
        <v>408</v>
      </c>
      <c r="S614" s="244" t="s">
        <v>1012</v>
      </c>
      <c r="T614" s="235" t="s">
        <v>1100</v>
      </c>
      <c r="U614" s="236" t="s">
        <v>408</v>
      </c>
      <c r="V614" s="237" t="s">
        <v>408</v>
      </c>
      <c r="W614" s="238" t="s">
        <v>408</v>
      </c>
      <c r="X614" s="239" t="s">
        <v>408</v>
      </c>
    </row>
    <row r="615" spans="1:24" ht="20.100000000000001" customHeight="1" x14ac:dyDescent="0.25">
      <c r="A615" s="436"/>
      <c r="B615" s="437"/>
      <c r="D615" s="437"/>
      <c r="F615" s="437"/>
      <c r="Q615" s="232" t="s">
        <v>408</v>
      </c>
      <c r="R615" s="238" t="s">
        <v>408</v>
      </c>
      <c r="S615" s="244" t="s">
        <v>1286</v>
      </c>
      <c r="T615" s="235" t="s">
        <v>862</v>
      </c>
      <c r="U615" s="236">
        <v>1</v>
      </c>
      <c r="V615" s="237" t="s">
        <v>408</v>
      </c>
      <c r="W615" s="238" t="s">
        <v>408</v>
      </c>
      <c r="X615" s="239" t="s">
        <v>408</v>
      </c>
    </row>
    <row r="616" spans="1:24" ht="20.100000000000001" customHeight="1" x14ac:dyDescent="0.25">
      <c r="A616" s="436"/>
      <c r="B616" s="437"/>
      <c r="D616" s="437"/>
      <c r="F616" s="437"/>
      <c r="Q616" s="232" t="s">
        <v>408</v>
      </c>
      <c r="R616" s="238" t="s">
        <v>408</v>
      </c>
      <c r="S616" s="244" t="s">
        <v>1287</v>
      </c>
      <c r="T616" s="235" t="s">
        <v>831</v>
      </c>
      <c r="U616" s="236" t="s">
        <v>408</v>
      </c>
      <c r="V616" s="237" t="s">
        <v>408</v>
      </c>
      <c r="W616" s="238" t="s">
        <v>408</v>
      </c>
      <c r="X616" s="239" t="s">
        <v>408</v>
      </c>
    </row>
    <row r="617" spans="1:24" ht="20.100000000000001" customHeight="1" x14ac:dyDescent="0.25">
      <c r="A617" s="436"/>
      <c r="B617" s="437"/>
      <c r="D617" s="437"/>
      <c r="F617" s="437"/>
      <c r="Q617" s="232" t="s">
        <v>408</v>
      </c>
      <c r="R617" s="238" t="s">
        <v>408</v>
      </c>
      <c r="S617" s="244" t="s">
        <v>1288</v>
      </c>
      <c r="T617" s="235" t="s">
        <v>827</v>
      </c>
      <c r="U617" s="236">
        <v>1</v>
      </c>
      <c r="V617" s="237" t="s">
        <v>408</v>
      </c>
      <c r="W617" s="238" t="s">
        <v>408</v>
      </c>
      <c r="X617" s="239" t="s">
        <v>408</v>
      </c>
    </row>
    <row r="618" spans="1:24" ht="20.100000000000001" customHeight="1" x14ac:dyDescent="0.25">
      <c r="A618" s="436"/>
      <c r="B618" s="437"/>
      <c r="D618" s="437"/>
      <c r="F618" s="437"/>
      <c r="Q618" s="232" t="s">
        <v>408</v>
      </c>
      <c r="R618" s="238" t="s">
        <v>1289</v>
      </c>
      <c r="S618" s="244" t="s">
        <v>1244</v>
      </c>
      <c r="T618" s="235" t="s">
        <v>828</v>
      </c>
      <c r="U618" s="236" t="s">
        <v>408</v>
      </c>
      <c r="V618" s="237" t="s">
        <v>408</v>
      </c>
      <c r="W618" s="238" t="s">
        <v>408</v>
      </c>
      <c r="X618" s="239" t="s">
        <v>408</v>
      </c>
    </row>
    <row r="619" spans="1:24" ht="20.100000000000001" customHeight="1" x14ac:dyDescent="0.25">
      <c r="A619" s="436"/>
      <c r="B619" s="437"/>
      <c r="D619" s="437"/>
      <c r="F619" s="437"/>
      <c r="Q619" s="232" t="s">
        <v>408</v>
      </c>
      <c r="R619" s="238" t="s">
        <v>408</v>
      </c>
      <c r="S619" s="244" t="s">
        <v>1012</v>
      </c>
      <c r="T619" s="235" t="s">
        <v>408</v>
      </c>
      <c r="U619" s="236" t="s">
        <v>408</v>
      </c>
      <c r="V619" s="237" t="s">
        <v>408</v>
      </c>
      <c r="W619" s="238" t="s">
        <v>408</v>
      </c>
      <c r="X619" s="239" t="s">
        <v>408</v>
      </c>
    </row>
    <row r="620" spans="1:24" ht="20.100000000000001" customHeight="1" x14ac:dyDescent="0.25">
      <c r="A620" s="436"/>
      <c r="B620" s="437"/>
      <c r="D620" s="437"/>
      <c r="F620" s="437"/>
      <c r="Q620" s="232" t="s">
        <v>408</v>
      </c>
      <c r="R620" s="238" t="s">
        <v>408</v>
      </c>
      <c r="S620" s="244" t="s">
        <v>1286</v>
      </c>
      <c r="T620" s="235" t="s">
        <v>840</v>
      </c>
      <c r="U620" s="236" t="s">
        <v>408</v>
      </c>
      <c r="V620" s="237" t="s">
        <v>408</v>
      </c>
      <c r="W620" s="238" t="s">
        <v>408</v>
      </c>
      <c r="X620" s="239" t="s">
        <v>408</v>
      </c>
    </row>
    <row r="621" spans="1:24" ht="20.100000000000001" customHeight="1" x14ac:dyDescent="0.25">
      <c r="A621" s="436"/>
      <c r="B621" s="437"/>
      <c r="D621" s="437"/>
      <c r="F621" s="437"/>
      <c r="Q621" s="232" t="s">
        <v>408</v>
      </c>
      <c r="R621" s="238" t="s">
        <v>408</v>
      </c>
      <c r="S621" s="244" t="s">
        <v>1290</v>
      </c>
      <c r="T621" s="235" t="s">
        <v>841</v>
      </c>
      <c r="U621" s="236" t="s">
        <v>408</v>
      </c>
      <c r="V621" s="237" t="s">
        <v>408</v>
      </c>
      <c r="W621" s="238" t="s">
        <v>408</v>
      </c>
      <c r="X621" s="239" t="s">
        <v>408</v>
      </c>
    </row>
    <row r="622" spans="1:24" ht="20.100000000000001" customHeight="1" x14ac:dyDescent="0.25">
      <c r="A622" s="436"/>
      <c r="B622" s="437"/>
      <c r="D622" s="437"/>
      <c r="F622" s="437"/>
      <c r="Q622" s="232" t="s">
        <v>408</v>
      </c>
      <c r="R622" s="238"/>
      <c r="S622" s="244" t="s">
        <v>1291</v>
      </c>
      <c r="T622" s="235" t="s">
        <v>794</v>
      </c>
      <c r="U622" s="236" t="s">
        <v>408</v>
      </c>
      <c r="V622" s="237" t="s">
        <v>408</v>
      </c>
      <c r="W622" s="238" t="s">
        <v>408</v>
      </c>
      <c r="X622" s="239" t="s">
        <v>408</v>
      </c>
    </row>
    <row r="623" spans="1:24" ht="20.100000000000001" customHeight="1" x14ac:dyDescent="0.25">
      <c r="A623" s="436"/>
      <c r="B623" s="437"/>
      <c r="D623" s="437"/>
      <c r="F623" s="437"/>
      <c r="Q623" s="232" t="s">
        <v>408</v>
      </c>
      <c r="R623" s="238"/>
      <c r="S623" s="244" t="s">
        <v>1292</v>
      </c>
      <c r="T623" s="235" t="s">
        <v>997</v>
      </c>
      <c r="U623" s="236">
        <v>1</v>
      </c>
      <c r="V623" s="237" t="s">
        <v>408</v>
      </c>
      <c r="W623" s="238" t="s">
        <v>408</v>
      </c>
      <c r="X623" s="239" t="s">
        <v>408</v>
      </c>
    </row>
    <row r="624" spans="1:24" ht="20.100000000000001" customHeight="1" x14ac:dyDescent="0.25">
      <c r="A624" s="436"/>
      <c r="B624" s="437"/>
      <c r="D624" s="437"/>
      <c r="F624" s="437"/>
      <c r="Q624" s="232" t="s">
        <v>408</v>
      </c>
      <c r="R624" s="238" t="s">
        <v>1293</v>
      </c>
      <c r="S624" s="244" t="s">
        <v>1240</v>
      </c>
      <c r="T624" s="235" t="s">
        <v>844</v>
      </c>
      <c r="U624" s="236">
        <v>1</v>
      </c>
      <c r="V624" s="237" t="s">
        <v>408</v>
      </c>
      <c r="W624" s="238" t="s">
        <v>408</v>
      </c>
      <c r="X624" s="239" t="s">
        <v>408</v>
      </c>
    </row>
    <row r="625" spans="1:24" ht="20.100000000000001" customHeight="1" x14ac:dyDescent="0.25">
      <c r="A625" s="436"/>
      <c r="B625" s="437"/>
      <c r="D625" s="437"/>
      <c r="F625" s="437"/>
      <c r="Q625" s="232" t="s">
        <v>408</v>
      </c>
      <c r="R625" s="238" t="s">
        <v>408</v>
      </c>
      <c r="S625" s="244" t="s">
        <v>1242</v>
      </c>
      <c r="T625" s="235" t="s">
        <v>845</v>
      </c>
      <c r="U625" s="236">
        <v>1</v>
      </c>
      <c r="V625" s="237" t="s">
        <v>408</v>
      </c>
      <c r="W625" s="238" t="s">
        <v>408</v>
      </c>
      <c r="X625" s="239" t="s">
        <v>408</v>
      </c>
    </row>
    <row r="626" spans="1:24" ht="20.100000000000001" customHeight="1" x14ac:dyDescent="0.25">
      <c r="A626" s="436"/>
      <c r="B626" s="437"/>
      <c r="D626" s="437"/>
      <c r="F626" s="437"/>
      <c r="Q626" s="232" t="s">
        <v>408</v>
      </c>
      <c r="R626" s="238" t="s">
        <v>408</v>
      </c>
      <c r="S626" s="244" t="s">
        <v>953</v>
      </c>
      <c r="T626" s="235" t="s">
        <v>846</v>
      </c>
      <c r="U626" s="236" t="s">
        <v>408</v>
      </c>
      <c r="V626" s="237" t="s">
        <v>408</v>
      </c>
      <c r="W626" s="238" t="s">
        <v>408</v>
      </c>
      <c r="X626" s="239" t="s">
        <v>408</v>
      </c>
    </row>
    <row r="627" spans="1:24" ht="20.100000000000001" customHeight="1" x14ac:dyDescent="0.25">
      <c r="A627" s="436"/>
      <c r="B627" s="437"/>
      <c r="D627" s="437"/>
      <c r="F627" s="437"/>
      <c r="Q627" s="232"/>
      <c r="R627" s="238"/>
      <c r="S627" s="244" t="s">
        <v>1294</v>
      </c>
      <c r="T627" s="235"/>
      <c r="U627" s="236"/>
      <c r="V627" s="237"/>
      <c r="W627" s="238"/>
      <c r="X627" s="239"/>
    </row>
    <row r="628" spans="1:24" ht="20.100000000000001" customHeight="1" x14ac:dyDescent="0.25">
      <c r="A628" s="436"/>
      <c r="B628" s="437"/>
      <c r="D628" s="437"/>
      <c r="F628" s="437"/>
      <c r="Q628" s="232" t="s">
        <v>408</v>
      </c>
      <c r="R628" s="238" t="s">
        <v>408</v>
      </c>
      <c r="S628" s="244" t="s">
        <v>1295</v>
      </c>
      <c r="T628" s="235" t="s">
        <v>1095</v>
      </c>
      <c r="U628" s="236" t="s">
        <v>408</v>
      </c>
      <c r="V628" s="237" t="s">
        <v>408</v>
      </c>
      <c r="W628" s="238" t="s">
        <v>408</v>
      </c>
      <c r="X628" s="239" t="s">
        <v>408</v>
      </c>
    </row>
    <row r="629" spans="1:24" ht="20.100000000000001" customHeight="1" x14ac:dyDescent="0.25">
      <c r="A629" s="436"/>
      <c r="B629" s="437"/>
      <c r="D629" s="437"/>
      <c r="F629" s="437"/>
      <c r="Q629" s="232" t="s">
        <v>408</v>
      </c>
      <c r="R629" s="238" t="s">
        <v>408</v>
      </c>
      <c r="S629" s="250"/>
      <c r="T629" s="235" t="s">
        <v>1101</v>
      </c>
      <c r="U629" s="236">
        <v>1</v>
      </c>
      <c r="V629" s="237" t="s">
        <v>408</v>
      </c>
      <c r="W629" s="238" t="s">
        <v>408</v>
      </c>
      <c r="X629" s="239" t="s">
        <v>408</v>
      </c>
    </row>
    <row r="630" spans="1:24" ht="20.100000000000001" customHeight="1" x14ac:dyDescent="0.25">
      <c r="A630" s="436"/>
      <c r="B630" s="437"/>
      <c r="D630" s="437"/>
      <c r="F630" s="437"/>
      <c r="Q630" s="247" t="s">
        <v>408</v>
      </c>
      <c r="R630" s="248"/>
      <c r="S630" s="249"/>
      <c r="T630" s="266" t="s">
        <v>408</v>
      </c>
      <c r="U630" s="251" t="s">
        <v>408</v>
      </c>
      <c r="V630" s="252" t="s">
        <v>408</v>
      </c>
      <c r="W630" s="248" t="s">
        <v>408</v>
      </c>
      <c r="X630" s="253" t="s">
        <v>408</v>
      </c>
    </row>
    <row r="631" spans="1:24" ht="20.100000000000001" customHeight="1" x14ac:dyDescent="0.25">
      <c r="A631" s="436"/>
      <c r="B631" s="437"/>
      <c r="D631" s="437"/>
      <c r="F631" s="437"/>
      <c r="Q631" s="224" t="s">
        <v>1296</v>
      </c>
      <c r="R631" s="225"/>
      <c r="S631" s="262" t="s">
        <v>1297</v>
      </c>
      <c r="T631" s="227" t="s">
        <v>746</v>
      </c>
      <c r="U631" s="228" t="s">
        <v>408</v>
      </c>
      <c r="V631" s="229" t="s">
        <v>747</v>
      </c>
      <c r="W631" s="230">
        <v>18</v>
      </c>
      <c r="X631" s="231" t="s">
        <v>1265</v>
      </c>
    </row>
    <row r="632" spans="1:24" ht="20.100000000000001" customHeight="1" x14ac:dyDescent="0.25">
      <c r="A632" s="436"/>
      <c r="B632" s="437"/>
      <c r="D632" s="437"/>
      <c r="F632" s="437"/>
      <c r="Q632" s="232" t="s">
        <v>408</v>
      </c>
      <c r="R632" s="268"/>
      <c r="S632" s="269" t="s">
        <v>1298</v>
      </c>
      <c r="T632" s="235" t="s">
        <v>750</v>
      </c>
      <c r="U632" s="236" t="s">
        <v>408</v>
      </c>
      <c r="V632" s="237" t="s">
        <v>751</v>
      </c>
      <c r="W632" s="238"/>
      <c r="X632" s="239" t="s">
        <v>760</v>
      </c>
    </row>
    <row r="633" spans="1:24" ht="20.100000000000001" customHeight="1" x14ac:dyDescent="0.25">
      <c r="A633" s="436"/>
      <c r="B633" s="437"/>
      <c r="D633" s="437"/>
      <c r="F633" s="437"/>
      <c r="Q633" s="232" t="s">
        <v>408</v>
      </c>
      <c r="R633" s="238" t="s">
        <v>1299</v>
      </c>
      <c r="S633" s="244" t="s">
        <v>1244</v>
      </c>
      <c r="T633" s="235" t="s">
        <v>754</v>
      </c>
      <c r="U633" s="236" t="s">
        <v>408</v>
      </c>
      <c r="V633" s="237" t="s">
        <v>775</v>
      </c>
      <c r="W633" s="238" t="s">
        <v>408</v>
      </c>
      <c r="X633" s="239" t="s">
        <v>1011</v>
      </c>
    </row>
    <row r="634" spans="1:24" ht="20.100000000000001" customHeight="1" x14ac:dyDescent="0.25">
      <c r="A634" s="436"/>
      <c r="B634" s="437"/>
      <c r="D634" s="437"/>
      <c r="F634" s="437"/>
      <c r="Q634" s="232" t="s">
        <v>408</v>
      </c>
      <c r="R634" s="238" t="s">
        <v>408</v>
      </c>
      <c r="S634" s="244" t="s">
        <v>1012</v>
      </c>
      <c r="T634" s="235" t="s">
        <v>758</v>
      </c>
      <c r="U634" s="236">
        <v>4</v>
      </c>
      <c r="V634" s="237" t="s">
        <v>1071</v>
      </c>
      <c r="W634" s="238" t="s">
        <v>408</v>
      </c>
      <c r="X634" s="239" t="s">
        <v>1300</v>
      </c>
    </row>
    <row r="635" spans="1:24" ht="20.100000000000001" customHeight="1" x14ac:dyDescent="0.25">
      <c r="A635" s="436"/>
      <c r="B635" s="437"/>
      <c r="D635" s="437"/>
      <c r="F635" s="437"/>
      <c r="Q635" s="232" t="s">
        <v>408</v>
      </c>
      <c r="R635" s="238" t="s">
        <v>408</v>
      </c>
      <c r="S635" s="244" t="s">
        <v>1301</v>
      </c>
      <c r="T635" s="235" t="s">
        <v>762</v>
      </c>
      <c r="U635" s="236">
        <v>3</v>
      </c>
      <c r="V635" s="237" t="s">
        <v>1010</v>
      </c>
      <c r="W635" s="238" t="s">
        <v>408</v>
      </c>
      <c r="X635" s="239" t="s">
        <v>408</v>
      </c>
    </row>
    <row r="636" spans="1:24" ht="20.100000000000001" customHeight="1" x14ac:dyDescent="0.25">
      <c r="A636" s="436"/>
      <c r="B636" s="437"/>
      <c r="D636" s="437"/>
      <c r="F636" s="437"/>
      <c r="Q636" s="232" t="s">
        <v>408</v>
      </c>
      <c r="R636" s="238" t="s">
        <v>408</v>
      </c>
      <c r="S636" s="244" t="s">
        <v>1302</v>
      </c>
      <c r="T636" s="235" t="s">
        <v>766</v>
      </c>
      <c r="U636" s="236">
        <v>3</v>
      </c>
      <c r="V636" s="237" t="s">
        <v>759</v>
      </c>
      <c r="W636" s="238" t="s">
        <v>408</v>
      </c>
      <c r="X636" s="239" t="s">
        <v>408</v>
      </c>
    </row>
    <row r="637" spans="1:24" ht="20.100000000000001" customHeight="1" x14ac:dyDescent="0.25">
      <c r="A637" s="436"/>
      <c r="B637" s="437"/>
      <c r="D637" s="437"/>
      <c r="F637" s="437"/>
      <c r="Q637" s="232" t="s">
        <v>408</v>
      </c>
      <c r="R637" s="238" t="s">
        <v>1303</v>
      </c>
      <c r="S637" s="244" t="s">
        <v>1244</v>
      </c>
      <c r="T637" s="235" t="s">
        <v>770</v>
      </c>
      <c r="U637" s="236">
        <v>1</v>
      </c>
      <c r="V637" s="237" t="s">
        <v>767</v>
      </c>
      <c r="W637" s="238" t="s">
        <v>408</v>
      </c>
      <c r="X637" s="239" t="s">
        <v>408</v>
      </c>
    </row>
    <row r="638" spans="1:24" ht="20.100000000000001" customHeight="1" x14ac:dyDescent="0.25">
      <c r="A638" s="436"/>
      <c r="B638" s="437"/>
      <c r="D638" s="437"/>
      <c r="F638" s="437"/>
      <c r="Q638" s="232" t="s">
        <v>408</v>
      </c>
      <c r="R638" s="238" t="s">
        <v>408</v>
      </c>
      <c r="S638" s="244" t="s">
        <v>1012</v>
      </c>
      <c r="T638" s="235" t="s">
        <v>781</v>
      </c>
      <c r="U638" s="236">
        <v>1</v>
      </c>
      <c r="V638" s="237" t="s">
        <v>771</v>
      </c>
      <c r="W638" s="238" t="s">
        <v>408</v>
      </c>
      <c r="X638" s="239" t="s">
        <v>408</v>
      </c>
    </row>
    <row r="639" spans="1:24" ht="20.100000000000001" customHeight="1" x14ac:dyDescent="0.25">
      <c r="A639" s="436"/>
      <c r="B639" s="437"/>
      <c r="D639" s="437"/>
      <c r="F639" s="437"/>
      <c r="Q639" s="232" t="s">
        <v>408</v>
      </c>
      <c r="R639" s="238" t="s">
        <v>408</v>
      </c>
      <c r="S639" s="244" t="s">
        <v>1304</v>
      </c>
      <c r="T639" s="235" t="s">
        <v>784</v>
      </c>
      <c r="U639" s="236">
        <v>1</v>
      </c>
      <c r="V639" s="237" t="s">
        <v>896</v>
      </c>
      <c r="W639" s="238" t="s">
        <v>408</v>
      </c>
      <c r="X639" s="239" t="s">
        <v>408</v>
      </c>
    </row>
    <row r="640" spans="1:24" ht="20.100000000000001" customHeight="1" x14ac:dyDescent="0.25">
      <c r="A640" s="436"/>
      <c r="B640" s="437"/>
      <c r="D640" s="437"/>
      <c r="F640" s="437"/>
      <c r="Q640" s="232" t="s">
        <v>408</v>
      </c>
      <c r="R640" s="238" t="s">
        <v>1305</v>
      </c>
      <c r="S640" s="244" t="s">
        <v>1244</v>
      </c>
      <c r="T640" s="235" t="s">
        <v>787</v>
      </c>
      <c r="U640" s="236">
        <v>1</v>
      </c>
      <c r="V640" s="237" t="s">
        <v>1306</v>
      </c>
      <c r="W640" s="238" t="s">
        <v>408</v>
      </c>
      <c r="X640" s="239" t="s">
        <v>408</v>
      </c>
    </row>
    <row r="641" spans="1:24" ht="20.100000000000001" customHeight="1" x14ac:dyDescent="0.25">
      <c r="A641" s="436"/>
      <c r="B641" s="437"/>
      <c r="D641" s="437"/>
      <c r="F641" s="437"/>
      <c r="Q641" s="232" t="s">
        <v>408</v>
      </c>
      <c r="R641" s="238" t="s">
        <v>408</v>
      </c>
      <c r="S641" s="244" t="s">
        <v>1012</v>
      </c>
      <c r="T641" s="235" t="s">
        <v>816</v>
      </c>
      <c r="U641" s="236">
        <v>1</v>
      </c>
      <c r="V641" s="237"/>
      <c r="W641" s="238" t="s">
        <v>408</v>
      </c>
      <c r="X641" s="239" t="s">
        <v>408</v>
      </c>
    </row>
    <row r="642" spans="1:24" ht="20.100000000000001" customHeight="1" x14ac:dyDescent="0.25">
      <c r="A642" s="436"/>
      <c r="B642" s="437"/>
      <c r="D642" s="437"/>
      <c r="F642" s="437"/>
      <c r="Q642" s="232" t="s">
        <v>408</v>
      </c>
      <c r="R642" s="238" t="s">
        <v>408</v>
      </c>
      <c r="S642" s="244" t="s">
        <v>1171</v>
      </c>
      <c r="T642" s="235" t="s">
        <v>852</v>
      </c>
      <c r="U642" s="236">
        <v>1</v>
      </c>
      <c r="V642" s="237" t="s">
        <v>1272</v>
      </c>
      <c r="W642" s="238" t="s">
        <v>408</v>
      </c>
      <c r="X642" s="239" t="s">
        <v>408</v>
      </c>
    </row>
    <row r="643" spans="1:24" ht="20.100000000000001" customHeight="1" x14ac:dyDescent="0.25">
      <c r="A643" s="436"/>
      <c r="B643" s="437"/>
      <c r="D643" s="437"/>
      <c r="F643" s="437"/>
      <c r="Q643" s="232" t="s">
        <v>408</v>
      </c>
      <c r="R643" s="238" t="s">
        <v>1307</v>
      </c>
      <c r="S643" s="244" t="s">
        <v>1244</v>
      </c>
      <c r="T643" s="235" t="s">
        <v>818</v>
      </c>
      <c r="U643" s="236">
        <v>1</v>
      </c>
      <c r="V643" s="237" t="s">
        <v>1274</v>
      </c>
      <c r="W643" s="238" t="s">
        <v>408</v>
      </c>
      <c r="X643" s="239" t="s">
        <v>408</v>
      </c>
    </row>
    <row r="644" spans="1:24" ht="20.100000000000001" customHeight="1" x14ac:dyDescent="0.25">
      <c r="A644" s="436"/>
      <c r="B644" s="437"/>
      <c r="D644" s="437"/>
      <c r="F644" s="437"/>
      <c r="Q644" s="232" t="s">
        <v>408</v>
      </c>
      <c r="R644" s="238" t="s">
        <v>408</v>
      </c>
      <c r="S644" s="244" t="s">
        <v>1012</v>
      </c>
      <c r="T644" s="235" t="s">
        <v>774</v>
      </c>
      <c r="U644" s="236">
        <v>1</v>
      </c>
      <c r="V644" s="237" t="s">
        <v>791</v>
      </c>
      <c r="W644" s="238" t="s">
        <v>408</v>
      </c>
      <c r="X644" s="239" t="s">
        <v>408</v>
      </c>
    </row>
    <row r="645" spans="1:24" ht="20.100000000000001" customHeight="1" x14ac:dyDescent="0.25">
      <c r="A645" s="436"/>
      <c r="B645" s="437"/>
      <c r="D645" s="437"/>
      <c r="F645" s="437"/>
      <c r="Q645" s="232" t="s">
        <v>408</v>
      </c>
      <c r="R645" s="238" t="s">
        <v>408</v>
      </c>
      <c r="S645" s="244" t="s">
        <v>1308</v>
      </c>
      <c r="T645" s="235" t="s">
        <v>778</v>
      </c>
      <c r="U645" s="236">
        <v>1</v>
      </c>
      <c r="V645" s="237" t="s">
        <v>794</v>
      </c>
      <c r="W645" s="238" t="s">
        <v>408</v>
      </c>
      <c r="X645" s="239" t="s">
        <v>408</v>
      </c>
    </row>
    <row r="646" spans="1:24" ht="20.100000000000001" customHeight="1" x14ac:dyDescent="0.25">
      <c r="A646" s="436"/>
      <c r="B646" s="437"/>
      <c r="D646" s="437"/>
      <c r="F646" s="437"/>
      <c r="Q646" s="232" t="s">
        <v>408</v>
      </c>
      <c r="R646" s="238" t="s">
        <v>1309</v>
      </c>
      <c r="S646" s="244" t="s">
        <v>1244</v>
      </c>
      <c r="T646" s="235" t="s">
        <v>793</v>
      </c>
      <c r="U646" s="236">
        <v>4</v>
      </c>
      <c r="V646" s="237" t="s">
        <v>853</v>
      </c>
      <c r="W646" s="238" t="s">
        <v>408</v>
      </c>
      <c r="X646" s="239" t="s">
        <v>408</v>
      </c>
    </row>
    <row r="647" spans="1:24" ht="20.100000000000001" customHeight="1" x14ac:dyDescent="0.25">
      <c r="A647" s="436"/>
      <c r="B647" s="437"/>
      <c r="D647" s="437"/>
      <c r="F647" s="437"/>
      <c r="Q647" s="232" t="s">
        <v>408</v>
      </c>
      <c r="R647" s="238" t="s">
        <v>408</v>
      </c>
      <c r="S647" s="244" t="s">
        <v>1012</v>
      </c>
      <c r="T647" s="235" t="s">
        <v>985</v>
      </c>
      <c r="U647" s="236">
        <v>1</v>
      </c>
      <c r="V647" s="237"/>
      <c r="W647" s="238" t="s">
        <v>408</v>
      </c>
      <c r="X647" s="239" t="s">
        <v>408</v>
      </c>
    </row>
    <row r="648" spans="1:24" ht="20.100000000000001" customHeight="1" x14ac:dyDescent="0.25">
      <c r="A648" s="436"/>
      <c r="B648" s="437"/>
      <c r="D648" s="437"/>
      <c r="F648" s="437"/>
      <c r="Q648" s="232" t="s">
        <v>408</v>
      </c>
      <c r="R648" s="238" t="s">
        <v>408</v>
      </c>
      <c r="S648" s="244" t="s">
        <v>1310</v>
      </c>
      <c r="T648" s="235" t="s">
        <v>822</v>
      </c>
      <c r="U648" s="236" t="s">
        <v>408</v>
      </c>
      <c r="V648" s="237" t="s">
        <v>1023</v>
      </c>
      <c r="W648" s="238" t="s">
        <v>408</v>
      </c>
      <c r="X648" s="239" t="s">
        <v>408</v>
      </c>
    </row>
    <row r="649" spans="1:24" ht="20.100000000000001" customHeight="1" x14ac:dyDescent="0.25">
      <c r="A649" s="436"/>
      <c r="B649" s="437"/>
      <c r="D649" s="437"/>
      <c r="F649" s="437"/>
      <c r="Q649" s="232" t="s">
        <v>408</v>
      </c>
      <c r="R649" s="238" t="s">
        <v>1311</v>
      </c>
      <c r="S649" s="244" t="s">
        <v>1244</v>
      </c>
      <c r="T649" s="235" t="s">
        <v>823</v>
      </c>
      <c r="U649" s="236" t="s">
        <v>408</v>
      </c>
      <c r="V649" s="237" t="s">
        <v>815</v>
      </c>
      <c r="W649" s="238" t="s">
        <v>408</v>
      </c>
      <c r="X649" s="239" t="s">
        <v>408</v>
      </c>
    </row>
    <row r="650" spans="1:24" ht="20.100000000000001" customHeight="1" x14ac:dyDescent="0.25">
      <c r="A650" s="436"/>
      <c r="B650" s="437"/>
      <c r="D650" s="437"/>
      <c r="F650" s="437"/>
      <c r="Q650" s="232" t="s">
        <v>408</v>
      </c>
      <c r="R650" s="238" t="s">
        <v>408</v>
      </c>
      <c r="S650" s="244" t="s">
        <v>1012</v>
      </c>
      <c r="T650" s="235" t="s">
        <v>824</v>
      </c>
      <c r="U650" s="236" t="s">
        <v>408</v>
      </c>
      <c r="V650" s="237" t="s">
        <v>1312</v>
      </c>
      <c r="W650" s="238" t="s">
        <v>408</v>
      </c>
      <c r="X650" s="239" t="s">
        <v>408</v>
      </c>
    </row>
    <row r="651" spans="1:24" ht="20.100000000000001" customHeight="1" x14ac:dyDescent="0.25">
      <c r="A651" s="436"/>
      <c r="B651" s="437"/>
      <c r="D651" s="437"/>
      <c r="F651" s="437"/>
      <c r="Q651" s="232" t="s">
        <v>408</v>
      </c>
      <c r="R651" s="238" t="s">
        <v>408</v>
      </c>
      <c r="S651" s="244" t="s">
        <v>1313</v>
      </c>
      <c r="T651" s="235" t="s">
        <v>1254</v>
      </c>
      <c r="U651" s="236">
        <v>1</v>
      </c>
      <c r="V651" s="237" t="s">
        <v>1314</v>
      </c>
      <c r="W651" s="238" t="s">
        <v>408</v>
      </c>
      <c r="X651" s="239" t="s">
        <v>408</v>
      </c>
    </row>
    <row r="652" spans="1:24" ht="20.100000000000001" customHeight="1" x14ac:dyDescent="0.25">
      <c r="A652" s="436"/>
      <c r="B652" s="437"/>
      <c r="D652" s="437"/>
      <c r="F652" s="437"/>
      <c r="Q652" s="232" t="s">
        <v>408</v>
      </c>
      <c r="R652" s="238" t="s">
        <v>408</v>
      </c>
      <c r="S652" s="244" t="s">
        <v>1315</v>
      </c>
      <c r="T652" s="235" t="s">
        <v>408</v>
      </c>
      <c r="U652" s="236" t="s">
        <v>408</v>
      </c>
      <c r="V652" s="237" t="s">
        <v>1316</v>
      </c>
      <c r="W652" s="238" t="s">
        <v>408</v>
      </c>
      <c r="X652" s="239" t="s">
        <v>408</v>
      </c>
    </row>
    <row r="653" spans="1:24" ht="20.100000000000001" customHeight="1" x14ac:dyDescent="0.25">
      <c r="A653" s="436"/>
      <c r="B653" s="437"/>
      <c r="D653" s="437"/>
      <c r="F653" s="437"/>
      <c r="Q653" s="241" t="s">
        <v>408</v>
      </c>
      <c r="R653" s="264" t="s">
        <v>1317</v>
      </c>
      <c r="S653" s="244" t="s">
        <v>1009</v>
      </c>
      <c r="T653" s="243" t="s">
        <v>834</v>
      </c>
      <c r="U653" s="236" t="s">
        <v>408</v>
      </c>
      <c r="V653" s="237" t="s">
        <v>1318</v>
      </c>
      <c r="W653" s="238" t="s">
        <v>408</v>
      </c>
      <c r="X653" s="239" t="s">
        <v>408</v>
      </c>
    </row>
    <row r="654" spans="1:24" ht="20.100000000000001" customHeight="1" x14ac:dyDescent="0.25">
      <c r="A654" s="436"/>
      <c r="B654" s="437"/>
      <c r="D654" s="437"/>
      <c r="F654" s="437"/>
      <c r="Q654" s="241" t="s">
        <v>408</v>
      </c>
      <c r="R654" s="264" t="s">
        <v>408</v>
      </c>
      <c r="S654" s="244" t="s">
        <v>1319</v>
      </c>
      <c r="T654" s="243" t="s">
        <v>790</v>
      </c>
      <c r="U654" s="236">
        <v>1</v>
      </c>
      <c r="V654" s="237" t="s">
        <v>1320</v>
      </c>
      <c r="W654" s="238" t="s">
        <v>408</v>
      </c>
      <c r="X654" s="239" t="s">
        <v>408</v>
      </c>
    </row>
    <row r="655" spans="1:24" ht="20.100000000000001" customHeight="1" x14ac:dyDescent="0.25">
      <c r="A655" s="436"/>
      <c r="B655" s="437"/>
      <c r="D655" s="437"/>
      <c r="F655" s="437"/>
      <c r="Q655" s="232" t="s">
        <v>408</v>
      </c>
      <c r="R655" s="238" t="s">
        <v>1321</v>
      </c>
      <c r="S655" s="244" t="s">
        <v>1009</v>
      </c>
      <c r="T655" s="235" t="s">
        <v>1322</v>
      </c>
      <c r="U655" s="236">
        <v>2</v>
      </c>
      <c r="V655" s="237" t="s">
        <v>1323</v>
      </c>
      <c r="W655" s="238" t="s">
        <v>408</v>
      </c>
      <c r="X655" s="239" t="s">
        <v>408</v>
      </c>
    </row>
    <row r="656" spans="1:24" ht="20.100000000000001" customHeight="1" x14ac:dyDescent="0.25">
      <c r="A656" s="436"/>
      <c r="B656" s="437"/>
      <c r="D656" s="437"/>
      <c r="F656" s="437"/>
      <c r="Q656" s="232" t="s">
        <v>408</v>
      </c>
      <c r="R656" s="238"/>
      <c r="S656" s="244" t="s">
        <v>1012</v>
      </c>
      <c r="T656" s="235" t="s">
        <v>1324</v>
      </c>
      <c r="U656" s="236" t="s">
        <v>408</v>
      </c>
      <c r="V656" s="237" t="s">
        <v>1325</v>
      </c>
      <c r="W656" s="238" t="s">
        <v>408</v>
      </c>
      <c r="X656" s="239" t="s">
        <v>408</v>
      </c>
    </row>
    <row r="657" spans="1:24" ht="20.100000000000001" customHeight="1" x14ac:dyDescent="0.25">
      <c r="A657" s="436"/>
      <c r="B657" s="437"/>
      <c r="D657" s="437"/>
      <c r="F657" s="437"/>
      <c r="Q657" s="232" t="s">
        <v>408</v>
      </c>
      <c r="R657" s="238"/>
      <c r="S657" s="244" t="s">
        <v>1304</v>
      </c>
      <c r="T657" s="235" t="s">
        <v>1326</v>
      </c>
      <c r="U657" s="236" t="s">
        <v>408</v>
      </c>
      <c r="V657" s="237" t="s">
        <v>1327</v>
      </c>
      <c r="W657" s="238" t="s">
        <v>408</v>
      </c>
      <c r="X657" s="239" t="s">
        <v>408</v>
      </c>
    </row>
    <row r="658" spans="1:24" ht="20.100000000000001" customHeight="1" x14ac:dyDescent="0.25">
      <c r="A658" s="436"/>
      <c r="B658" s="437"/>
      <c r="D658" s="437"/>
      <c r="F658" s="437"/>
      <c r="Q658" s="232" t="s">
        <v>408</v>
      </c>
      <c r="R658" s="238" t="s">
        <v>1328</v>
      </c>
      <c r="S658" s="244" t="s">
        <v>1009</v>
      </c>
      <c r="T658" s="235" t="s">
        <v>1329</v>
      </c>
      <c r="U658" s="236" t="s">
        <v>408</v>
      </c>
      <c r="V658" s="237" t="s">
        <v>1330</v>
      </c>
      <c r="W658" s="238" t="s">
        <v>408</v>
      </c>
      <c r="X658" s="239" t="s">
        <v>408</v>
      </c>
    </row>
    <row r="659" spans="1:24" ht="20.100000000000001" customHeight="1" x14ac:dyDescent="0.25">
      <c r="A659" s="436"/>
      <c r="B659" s="437"/>
      <c r="D659" s="437"/>
      <c r="F659" s="437"/>
      <c r="Q659" s="232" t="s">
        <v>408</v>
      </c>
      <c r="R659" s="238" t="s">
        <v>408</v>
      </c>
      <c r="S659" s="244" t="s">
        <v>1012</v>
      </c>
      <c r="T659" s="235" t="s">
        <v>1331</v>
      </c>
      <c r="U659" s="236">
        <v>1</v>
      </c>
      <c r="V659" s="237" t="s">
        <v>1332</v>
      </c>
      <c r="W659" s="238" t="s">
        <v>408</v>
      </c>
      <c r="X659" s="239" t="s">
        <v>408</v>
      </c>
    </row>
    <row r="660" spans="1:24" ht="20.100000000000001" customHeight="1" x14ac:dyDescent="0.25">
      <c r="A660" s="436"/>
      <c r="B660" s="437"/>
      <c r="D660" s="437"/>
      <c r="F660" s="437"/>
      <c r="Q660" s="232" t="s">
        <v>408</v>
      </c>
      <c r="R660" s="238" t="s">
        <v>408</v>
      </c>
      <c r="S660" s="244" t="s">
        <v>1333</v>
      </c>
      <c r="T660" s="235" t="s">
        <v>1334</v>
      </c>
      <c r="U660" s="236" t="s">
        <v>408</v>
      </c>
      <c r="V660" s="237" t="s">
        <v>1335</v>
      </c>
      <c r="W660" s="238" t="s">
        <v>408</v>
      </c>
      <c r="X660" s="239" t="s">
        <v>408</v>
      </c>
    </row>
    <row r="661" spans="1:24" ht="20.100000000000001" customHeight="1" x14ac:dyDescent="0.25">
      <c r="A661" s="436"/>
      <c r="B661" s="437"/>
      <c r="D661" s="437"/>
      <c r="F661" s="437"/>
      <c r="Q661" s="232" t="s">
        <v>408</v>
      </c>
      <c r="R661" s="238"/>
      <c r="S661" s="244"/>
      <c r="T661" s="235" t="s">
        <v>408</v>
      </c>
      <c r="U661" s="236" t="s">
        <v>408</v>
      </c>
      <c r="V661" s="237"/>
      <c r="W661" s="238" t="s">
        <v>408</v>
      </c>
      <c r="X661" s="239" t="s">
        <v>408</v>
      </c>
    </row>
    <row r="662" spans="1:24" ht="20.100000000000001" customHeight="1" x14ac:dyDescent="0.25">
      <c r="A662" s="436"/>
      <c r="B662" s="437"/>
      <c r="D662" s="437"/>
      <c r="F662" s="437"/>
      <c r="Q662" s="232" t="s">
        <v>408</v>
      </c>
      <c r="R662" s="238"/>
      <c r="S662" s="244"/>
      <c r="T662" s="235" t="s">
        <v>825</v>
      </c>
      <c r="U662" s="236" t="s">
        <v>408</v>
      </c>
      <c r="V662" s="237" t="s">
        <v>408</v>
      </c>
      <c r="W662" s="238" t="s">
        <v>408</v>
      </c>
      <c r="X662" s="239" t="s">
        <v>408</v>
      </c>
    </row>
    <row r="663" spans="1:24" ht="20.100000000000001" customHeight="1" x14ac:dyDescent="0.25">
      <c r="A663" s="436"/>
      <c r="B663" s="437"/>
      <c r="D663" s="437"/>
      <c r="F663" s="437"/>
      <c r="Q663" s="232" t="s">
        <v>408</v>
      </c>
      <c r="R663" s="238" t="s">
        <v>408</v>
      </c>
      <c r="S663" s="244"/>
      <c r="T663" s="235" t="s">
        <v>750</v>
      </c>
      <c r="U663" s="236" t="s">
        <v>408</v>
      </c>
      <c r="V663" s="237" t="s">
        <v>408</v>
      </c>
      <c r="W663" s="238" t="s">
        <v>408</v>
      </c>
      <c r="X663" s="239" t="s">
        <v>408</v>
      </c>
    </row>
    <row r="664" spans="1:24" ht="20.100000000000001" customHeight="1" x14ac:dyDescent="0.25">
      <c r="A664" s="436"/>
      <c r="B664" s="437"/>
      <c r="D664" s="437"/>
      <c r="F664" s="437"/>
      <c r="Q664" s="232" t="s">
        <v>408</v>
      </c>
      <c r="R664" s="238" t="s">
        <v>408</v>
      </c>
      <c r="S664" s="244"/>
      <c r="T664" s="235" t="s">
        <v>754</v>
      </c>
      <c r="U664" s="236" t="s">
        <v>408</v>
      </c>
      <c r="V664" s="237" t="s">
        <v>408</v>
      </c>
      <c r="W664" s="238" t="s">
        <v>408</v>
      </c>
      <c r="X664" s="239" t="s">
        <v>408</v>
      </c>
    </row>
    <row r="665" spans="1:24" ht="20.100000000000001" customHeight="1" x14ac:dyDescent="0.25">
      <c r="A665" s="436"/>
      <c r="B665" s="437"/>
      <c r="D665" s="437"/>
      <c r="F665" s="437"/>
      <c r="Q665" s="232" t="s">
        <v>408</v>
      </c>
      <c r="R665" s="238" t="s">
        <v>408</v>
      </c>
      <c r="S665" s="244"/>
      <c r="T665" s="235" t="s">
        <v>826</v>
      </c>
      <c r="U665" s="236">
        <v>1</v>
      </c>
      <c r="V665" s="237" t="s">
        <v>408</v>
      </c>
      <c r="W665" s="238" t="s">
        <v>408</v>
      </c>
      <c r="X665" s="239" t="s">
        <v>408</v>
      </c>
    </row>
    <row r="666" spans="1:24" ht="20.100000000000001" customHeight="1" x14ac:dyDescent="0.25">
      <c r="A666" s="436"/>
      <c r="B666" s="437"/>
      <c r="D666" s="437"/>
      <c r="F666" s="437"/>
      <c r="Q666" s="232" t="s">
        <v>408</v>
      </c>
      <c r="R666" s="238"/>
      <c r="S666" s="244"/>
      <c r="T666" s="235" t="s">
        <v>832</v>
      </c>
      <c r="U666" s="236">
        <v>1</v>
      </c>
      <c r="V666" s="237" t="s">
        <v>408</v>
      </c>
      <c r="W666" s="238" t="s">
        <v>408</v>
      </c>
      <c r="X666" s="239" t="s">
        <v>408</v>
      </c>
    </row>
    <row r="667" spans="1:24" ht="20.100000000000001" customHeight="1" x14ac:dyDescent="0.25">
      <c r="A667" s="436"/>
      <c r="B667" s="437"/>
      <c r="D667" s="437"/>
      <c r="F667" s="437"/>
      <c r="Q667" s="232" t="s">
        <v>408</v>
      </c>
      <c r="R667" s="238"/>
      <c r="S667" s="244"/>
      <c r="T667" s="235" t="s">
        <v>833</v>
      </c>
      <c r="U667" s="236" t="s">
        <v>408</v>
      </c>
      <c r="V667" s="237" t="s">
        <v>408</v>
      </c>
      <c r="W667" s="238" t="s">
        <v>408</v>
      </c>
      <c r="X667" s="239" t="s">
        <v>408</v>
      </c>
    </row>
    <row r="668" spans="1:24" ht="20.100000000000001" customHeight="1" x14ac:dyDescent="0.25">
      <c r="A668" s="436"/>
      <c r="B668" s="437"/>
      <c r="D668" s="437"/>
      <c r="F668" s="437"/>
      <c r="Q668" s="232" t="s">
        <v>408</v>
      </c>
      <c r="R668" s="238"/>
      <c r="S668" s="244"/>
      <c r="T668" s="235" t="s">
        <v>1336</v>
      </c>
      <c r="U668" s="236">
        <v>1</v>
      </c>
      <c r="V668" s="237" t="s">
        <v>408</v>
      </c>
      <c r="W668" s="238" t="s">
        <v>408</v>
      </c>
      <c r="X668" s="239" t="s">
        <v>408</v>
      </c>
    </row>
    <row r="669" spans="1:24" ht="20.100000000000001" customHeight="1" x14ac:dyDescent="0.25">
      <c r="A669" s="436"/>
      <c r="B669" s="437"/>
      <c r="D669" s="437"/>
      <c r="F669" s="437"/>
      <c r="Q669" s="232" t="s">
        <v>408</v>
      </c>
      <c r="R669" s="238"/>
      <c r="S669" s="244"/>
      <c r="T669" s="235" t="s">
        <v>1337</v>
      </c>
      <c r="U669" s="236" t="s">
        <v>408</v>
      </c>
      <c r="V669" s="237" t="s">
        <v>408</v>
      </c>
      <c r="W669" s="238" t="s">
        <v>408</v>
      </c>
      <c r="X669" s="239" t="s">
        <v>408</v>
      </c>
    </row>
    <row r="670" spans="1:24" ht="20.100000000000001" customHeight="1" x14ac:dyDescent="0.25">
      <c r="A670" s="436"/>
      <c r="B670" s="437"/>
      <c r="D670" s="437"/>
      <c r="F670" s="437"/>
      <c r="Q670" s="232" t="s">
        <v>408</v>
      </c>
      <c r="R670" s="238"/>
      <c r="S670" s="244"/>
      <c r="T670" s="235" t="s">
        <v>1326</v>
      </c>
      <c r="U670" s="236" t="s">
        <v>408</v>
      </c>
      <c r="V670" s="237" t="s">
        <v>408</v>
      </c>
      <c r="W670" s="238" t="s">
        <v>408</v>
      </c>
      <c r="X670" s="239" t="s">
        <v>408</v>
      </c>
    </row>
    <row r="671" spans="1:24" ht="20.100000000000001" customHeight="1" x14ac:dyDescent="0.25">
      <c r="A671" s="436"/>
      <c r="B671" s="437"/>
      <c r="D671" s="437"/>
      <c r="F671" s="437"/>
      <c r="Q671" s="232" t="s">
        <v>408</v>
      </c>
      <c r="R671" s="238"/>
      <c r="S671" s="244"/>
      <c r="T671" s="235" t="s">
        <v>861</v>
      </c>
      <c r="U671" s="236">
        <v>1</v>
      </c>
      <c r="V671" s="237" t="s">
        <v>408</v>
      </c>
      <c r="W671" s="238" t="s">
        <v>408</v>
      </c>
      <c r="X671" s="239" t="s">
        <v>408</v>
      </c>
    </row>
    <row r="672" spans="1:24" ht="20.100000000000001" customHeight="1" x14ac:dyDescent="0.25">
      <c r="A672" s="436"/>
      <c r="B672" s="437"/>
      <c r="D672" s="437"/>
      <c r="F672" s="437"/>
      <c r="Q672" s="232" t="s">
        <v>408</v>
      </c>
      <c r="R672" s="238"/>
      <c r="S672" s="244"/>
      <c r="T672" s="235" t="s">
        <v>828</v>
      </c>
      <c r="U672" s="236" t="s">
        <v>408</v>
      </c>
      <c r="V672" s="237" t="s">
        <v>408</v>
      </c>
      <c r="W672" s="238" t="s">
        <v>408</v>
      </c>
      <c r="X672" s="239" t="s">
        <v>408</v>
      </c>
    </row>
    <row r="673" spans="1:24" ht="20.100000000000001" customHeight="1" x14ac:dyDescent="0.25">
      <c r="A673" s="436"/>
      <c r="B673" s="437"/>
      <c r="D673" s="437"/>
      <c r="F673" s="437"/>
      <c r="Q673" s="232" t="s">
        <v>408</v>
      </c>
      <c r="R673" s="238"/>
      <c r="S673" s="244"/>
      <c r="T673" s="235" t="s">
        <v>862</v>
      </c>
      <c r="U673" s="236">
        <v>1</v>
      </c>
      <c r="V673" s="237" t="s">
        <v>408</v>
      </c>
      <c r="W673" s="238" t="s">
        <v>408</v>
      </c>
      <c r="X673" s="239" t="s">
        <v>408</v>
      </c>
    </row>
    <row r="674" spans="1:24" ht="20.100000000000001" customHeight="1" x14ac:dyDescent="0.25">
      <c r="A674" s="436"/>
      <c r="B674" s="437"/>
      <c r="D674" s="437"/>
      <c r="F674" s="437"/>
      <c r="Q674" s="232" t="s">
        <v>408</v>
      </c>
      <c r="R674" s="238"/>
      <c r="S674" s="244"/>
      <c r="T674" s="235" t="s">
        <v>1338</v>
      </c>
      <c r="U674" s="236" t="s">
        <v>408</v>
      </c>
      <c r="V674" s="237" t="s">
        <v>408</v>
      </c>
      <c r="W674" s="238" t="s">
        <v>408</v>
      </c>
      <c r="X674" s="239" t="s">
        <v>408</v>
      </c>
    </row>
    <row r="675" spans="1:24" ht="20.100000000000001" customHeight="1" x14ac:dyDescent="0.25">
      <c r="A675" s="436"/>
      <c r="B675" s="437"/>
      <c r="D675" s="437"/>
      <c r="F675" s="437"/>
      <c r="Q675" s="232" t="s">
        <v>408</v>
      </c>
      <c r="R675" s="238"/>
      <c r="S675" s="244"/>
      <c r="T675" s="235" t="s">
        <v>1339</v>
      </c>
      <c r="U675" s="236" t="s">
        <v>408</v>
      </c>
      <c r="V675" s="237" t="s">
        <v>408</v>
      </c>
      <c r="W675" s="238" t="s">
        <v>408</v>
      </c>
      <c r="X675" s="239" t="s">
        <v>408</v>
      </c>
    </row>
    <row r="676" spans="1:24" ht="20.100000000000001" customHeight="1" x14ac:dyDescent="0.25">
      <c r="A676" s="436"/>
      <c r="B676" s="437"/>
      <c r="D676" s="437"/>
      <c r="F676" s="437"/>
      <c r="Q676" s="232" t="s">
        <v>408</v>
      </c>
      <c r="R676" s="238"/>
      <c r="S676" s="244"/>
      <c r="T676" s="235" t="s">
        <v>1340</v>
      </c>
      <c r="U676" s="236" t="s">
        <v>408</v>
      </c>
      <c r="V676" s="237" t="s">
        <v>408</v>
      </c>
      <c r="W676" s="238" t="s">
        <v>408</v>
      </c>
      <c r="X676" s="239" t="s">
        <v>408</v>
      </c>
    </row>
    <row r="677" spans="1:24" ht="20.100000000000001" customHeight="1" x14ac:dyDescent="0.25">
      <c r="A677" s="436"/>
      <c r="B677" s="437"/>
      <c r="D677" s="437"/>
      <c r="F677" s="437"/>
      <c r="Q677" s="232" t="s">
        <v>408</v>
      </c>
      <c r="R677" s="238"/>
      <c r="S677" s="244"/>
      <c r="T677" s="235" t="s">
        <v>1341</v>
      </c>
      <c r="U677" s="236">
        <v>1</v>
      </c>
      <c r="V677" s="237" t="s">
        <v>408</v>
      </c>
      <c r="W677" s="238" t="s">
        <v>408</v>
      </c>
      <c r="X677" s="239" t="s">
        <v>408</v>
      </c>
    </row>
    <row r="678" spans="1:24" ht="20.100000000000001" customHeight="1" x14ac:dyDescent="0.25">
      <c r="A678" s="436"/>
      <c r="B678" s="437"/>
      <c r="D678" s="437"/>
      <c r="F678" s="437"/>
      <c r="Q678" s="232" t="s">
        <v>408</v>
      </c>
      <c r="R678" s="238"/>
      <c r="S678" s="244"/>
      <c r="T678" s="235" t="s">
        <v>906</v>
      </c>
      <c r="U678" s="236">
        <v>1</v>
      </c>
      <c r="V678" s="237" t="s">
        <v>408</v>
      </c>
      <c r="W678" s="238" t="s">
        <v>408</v>
      </c>
      <c r="X678" s="239" t="s">
        <v>408</v>
      </c>
    </row>
    <row r="679" spans="1:24" ht="20.100000000000001" customHeight="1" x14ac:dyDescent="0.25">
      <c r="A679" s="436"/>
      <c r="B679" s="437"/>
      <c r="D679" s="437"/>
      <c r="F679" s="437"/>
      <c r="Q679" s="232" t="s">
        <v>408</v>
      </c>
      <c r="R679" s="238"/>
      <c r="S679" s="244"/>
      <c r="T679" s="235" t="s">
        <v>907</v>
      </c>
      <c r="U679" s="236" t="s">
        <v>408</v>
      </c>
      <c r="V679" s="237" t="s">
        <v>408</v>
      </c>
      <c r="W679" s="238" t="s">
        <v>408</v>
      </c>
      <c r="X679" s="239" t="s">
        <v>408</v>
      </c>
    </row>
    <row r="680" spans="1:24" ht="20.100000000000001" customHeight="1" x14ac:dyDescent="0.25">
      <c r="A680" s="436"/>
      <c r="B680" s="437"/>
      <c r="D680" s="437"/>
      <c r="F680" s="437"/>
      <c r="Q680" s="232" t="s">
        <v>408</v>
      </c>
      <c r="R680" s="238"/>
      <c r="S680" s="244"/>
      <c r="T680" s="235" t="s">
        <v>940</v>
      </c>
      <c r="U680" s="236">
        <v>1</v>
      </c>
      <c r="V680" s="237" t="s">
        <v>408</v>
      </c>
      <c r="W680" s="238" t="s">
        <v>408</v>
      </c>
      <c r="X680" s="239" t="s">
        <v>408</v>
      </c>
    </row>
    <row r="681" spans="1:24" ht="20.100000000000001" customHeight="1" x14ac:dyDescent="0.25">
      <c r="A681" s="436"/>
      <c r="B681" s="437"/>
      <c r="D681" s="437"/>
      <c r="F681" s="437"/>
      <c r="Q681" s="232"/>
      <c r="R681" s="238"/>
      <c r="S681" s="244"/>
      <c r="T681" s="235"/>
      <c r="U681" s="236"/>
      <c r="V681" s="237"/>
      <c r="W681" s="238"/>
      <c r="X681" s="239"/>
    </row>
    <row r="682" spans="1:24" ht="20.100000000000001" customHeight="1" x14ac:dyDescent="0.25">
      <c r="A682" s="436"/>
      <c r="B682" s="437"/>
      <c r="D682" s="437"/>
      <c r="F682" s="437"/>
      <c r="Q682" s="232" t="s">
        <v>408</v>
      </c>
      <c r="R682" s="238" t="s">
        <v>408</v>
      </c>
      <c r="S682" s="244" t="s">
        <v>408</v>
      </c>
      <c r="T682" s="235" t="s">
        <v>834</v>
      </c>
      <c r="U682" s="236" t="s">
        <v>408</v>
      </c>
      <c r="V682" s="237" t="s">
        <v>408</v>
      </c>
      <c r="W682" s="238" t="s">
        <v>408</v>
      </c>
      <c r="X682" s="239" t="s">
        <v>408</v>
      </c>
    </row>
    <row r="683" spans="1:24" ht="20.100000000000001" customHeight="1" x14ac:dyDescent="0.25">
      <c r="A683" s="436"/>
      <c r="B683" s="437"/>
      <c r="D683" s="437"/>
      <c r="F683" s="437"/>
      <c r="Q683" s="232" t="s">
        <v>408</v>
      </c>
      <c r="R683" s="238" t="s">
        <v>408</v>
      </c>
      <c r="S683" s="244" t="s">
        <v>408</v>
      </c>
      <c r="T683" s="235" t="s">
        <v>1342</v>
      </c>
      <c r="U683" s="236">
        <v>1</v>
      </c>
      <c r="V683" s="237" t="s">
        <v>408</v>
      </c>
      <c r="W683" s="238" t="s">
        <v>408</v>
      </c>
      <c r="X683" s="239" t="s">
        <v>408</v>
      </c>
    </row>
    <row r="684" spans="1:24" ht="20.100000000000001" customHeight="1" x14ac:dyDescent="0.25">
      <c r="A684" s="436"/>
      <c r="B684" s="437"/>
      <c r="D684" s="437"/>
      <c r="F684" s="437"/>
      <c r="Q684" s="232" t="s">
        <v>408</v>
      </c>
      <c r="R684" s="238" t="s">
        <v>408</v>
      </c>
      <c r="S684" s="244" t="s">
        <v>408</v>
      </c>
      <c r="T684" s="235" t="s">
        <v>1343</v>
      </c>
      <c r="U684" s="236" t="s">
        <v>408</v>
      </c>
      <c r="V684" s="237" t="s">
        <v>408</v>
      </c>
      <c r="W684" s="238" t="s">
        <v>408</v>
      </c>
      <c r="X684" s="239" t="s">
        <v>408</v>
      </c>
    </row>
    <row r="685" spans="1:24" ht="20.100000000000001" customHeight="1" x14ac:dyDescent="0.25">
      <c r="A685" s="436"/>
      <c r="B685" s="437"/>
      <c r="D685" s="437"/>
      <c r="F685" s="437"/>
      <c r="Q685" s="232" t="s">
        <v>408</v>
      </c>
      <c r="R685" s="238" t="s">
        <v>408</v>
      </c>
      <c r="S685" s="244" t="s">
        <v>408</v>
      </c>
      <c r="T685" s="235" t="s">
        <v>1344</v>
      </c>
      <c r="U685" s="236">
        <v>1</v>
      </c>
      <c r="V685" s="237" t="s">
        <v>408</v>
      </c>
      <c r="W685" s="238" t="s">
        <v>408</v>
      </c>
      <c r="X685" s="239" t="s">
        <v>408</v>
      </c>
    </row>
    <row r="686" spans="1:24" ht="20.100000000000001" customHeight="1" x14ac:dyDescent="0.25">
      <c r="A686" s="436"/>
      <c r="B686" s="437"/>
      <c r="D686" s="437"/>
      <c r="F686" s="437"/>
      <c r="Q686" s="232" t="s">
        <v>408</v>
      </c>
      <c r="R686" s="238" t="s">
        <v>408</v>
      </c>
      <c r="S686" s="244" t="s">
        <v>408</v>
      </c>
      <c r="T686" s="235" t="s">
        <v>1345</v>
      </c>
      <c r="U686" s="236" t="s">
        <v>408</v>
      </c>
      <c r="V686" s="237" t="s">
        <v>408</v>
      </c>
      <c r="W686" s="238" t="s">
        <v>408</v>
      </c>
      <c r="X686" s="239" t="s">
        <v>408</v>
      </c>
    </row>
    <row r="687" spans="1:24" ht="20.100000000000001" customHeight="1" x14ac:dyDescent="0.25">
      <c r="A687" s="436"/>
      <c r="B687" s="437"/>
      <c r="D687" s="437"/>
      <c r="F687" s="437"/>
      <c r="Q687" s="232" t="s">
        <v>408</v>
      </c>
      <c r="R687" s="238" t="s">
        <v>408</v>
      </c>
      <c r="S687" s="244" t="s">
        <v>408</v>
      </c>
      <c r="T687" s="235" t="s">
        <v>1260</v>
      </c>
      <c r="U687" s="236">
        <v>1</v>
      </c>
      <c r="V687" s="237" t="s">
        <v>408</v>
      </c>
      <c r="W687" s="238" t="s">
        <v>408</v>
      </c>
      <c r="X687" s="239" t="s">
        <v>408</v>
      </c>
    </row>
    <row r="688" spans="1:24" ht="20.100000000000001" customHeight="1" x14ac:dyDescent="0.25">
      <c r="A688" s="436"/>
      <c r="B688" s="437"/>
      <c r="D688" s="437"/>
      <c r="F688" s="437"/>
      <c r="Q688" s="232" t="s">
        <v>408</v>
      </c>
      <c r="R688" s="238" t="s">
        <v>408</v>
      </c>
      <c r="S688" s="244" t="s">
        <v>408</v>
      </c>
      <c r="T688" s="235" t="s">
        <v>1261</v>
      </c>
      <c r="U688" s="236" t="s">
        <v>408</v>
      </c>
      <c r="V688" s="237" t="s">
        <v>408</v>
      </c>
      <c r="W688" s="238" t="s">
        <v>408</v>
      </c>
      <c r="X688" s="239" t="s">
        <v>408</v>
      </c>
    </row>
    <row r="689" spans="1:24" ht="20.100000000000001" customHeight="1" x14ac:dyDescent="0.25">
      <c r="A689" s="436"/>
      <c r="B689" s="437"/>
      <c r="D689" s="437"/>
      <c r="F689" s="437"/>
      <c r="Q689" s="232" t="s">
        <v>408</v>
      </c>
      <c r="R689" s="238" t="s">
        <v>408</v>
      </c>
      <c r="S689" s="244" t="s">
        <v>408</v>
      </c>
      <c r="T689" s="235" t="s">
        <v>908</v>
      </c>
      <c r="U689" s="236">
        <v>1</v>
      </c>
      <c r="V689" s="237" t="s">
        <v>408</v>
      </c>
      <c r="W689" s="238" t="s">
        <v>408</v>
      </c>
      <c r="X689" s="239" t="s">
        <v>408</v>
      </c>
    </row>
    <row r="690" spans="1:24" ht="20.100000000000001" customHeight="1" x14ac:dyDescent="0.25">
      <c r="A690" s="436"/>
      <c r="B690" s="437"/>
      <c r="D690" s="437"/>
      <c r="F690" s="437"/>
      <c r="Q690" s="232" t="s">
        <v>408</v>
      </c>
      <c r="R690" s="238" t="s">
        <v>408</v>
      </c>
      <c r="S690" s="244" t="s">
        <v>408</v>
      </c>
      <c r="T690" s="235" t="s">
        <v>1346</v>
      </c>
      <c r="U690" s="236" t="s">
        <v>408</v>
      </c>
      <c r="V690" s="237" t="s">
        <v>408</v>
      </c>
      <c r="W690" s="238" t="s">
        <v>408</v>
      </c>
      <c r="X690" s="239" t="s">
        <v>408</v>
      </c>
    </row>
    <row r="691" spans="1:24" ht="20.100000000000001" customHeight="1" x14ac:dyDescent="0.25">
      <c r="A691" s="436"/>
      <c r="B691" s="437"/>
      <c r="D691" s="437"/>
      <c r="F691" s="437"/>
      <c r="Q691" s="232" t="s">
        <v>408</v>
      </c>
      <c r="R691" s="238" t="s">
        <v>408</v>
      </c>
      <c r="S691" s="244" t="s">
        <v>408</v>
      </c>
      <c r="T691" s="235" t="s">
        <v>1133</v>
      </c>
      <c r="U691" s="236">
        <v>1</v>
      </c>
      <c r="V691" s="237" t="s">
        <v>408</v>
      </c>
      <c r="W691" s="238" t="s">
        <v>408</v>
      </c>
      <c r="X691" s="239" t="s">
        <v>408</v>
      </c>
    </row>
    <row r="692" spans="1:24" ht="20.100000000000001" customHeight="1" x14ac:dyDescent="0.25">
      <c r="A692" s="436"/>
      <c r="B692" s="437"/>
      <c r="D692" s="437"/>
      <c r="F692" s="437"/>
      <c r="Q692" s="232" t="s">
        <v>408</v>
      </c>
      <c r="R692" s="238" t="s">
        <v>408</v>
      </c>
      <c r="S692" s="244" t="s">
        <v>408</v>
      </c>
      <c r="T692" s="235" t="s">
        <v>1347</v>
      </c>
      <c r="U692" s="236" t="s">
        <v>408</v>
      </c>
      <c r="V692" s="237" t="s">
        <v>408</v>
      </c>
      <c r="W692" s="238" t="s">
        <v>408</v>
      </c>
      <c r="X692" s="239" t="s">
        <v>408</v>
      </c>
    </row>
    <row r="693" spans="1:24" ht="20.100000000000001" customHeight="1" x14ac:dyDescent="0.25">
      <c r="A693" s="436"/>
      <c r="B693" s="437"/>
      <c r="D693" s="437"/>
      <c r="F693" s="437"/>
      <c r="Q693" s="232" t="s">
        <v>408</v>
      </c>
      <c r="R693" s="238" t="s">
        <v>408</v>
      </c>
      <c r="S693" s="244" t="s">
        <v>408</v>
      </c>
      <c r="T693" s="235" t="s">
        <v>408</v>
      </c>
      <c r="U693" s="236" t="s">
        <v>408</v>
      </c>
      <c r="V693" s="237" t="s">
        <v>408</v>
      </c>
      <c r="W693" s="238" t="s">
        <v>408</v>
      </c>
      <c r="X693" s="239" t="s">
        <v>408</v>
      </c>
    </row>
    <row r="694" spans="1:24" ht="20.100000000000001" customHeight="1" x14ac:dyDescent="0.25">
      <c r="A694" s="436"/>
      <c r="B694" s="437"/>
      <c r="D694" s="437"/>
      <c r="F694" s="437"/>
      <c r="Q694" s="232" t="s">
        <v>408</v>
      </c>
      <c r="R694" s="238" t="s">
        <v>408</v>
      </c>
      <c r="S694" s="244" t="s">
        <v>408</v>
      </c>
      <c r="T694" s="235" t="s">
        <v>840</v>
      </c>
      <c r="U694" s="236" t="s">
        <v>408</v>
      </c>
      <c r="V694" s="237" t="s">
        <v>408</v>
      </c>
      <c r="W694" s="238" t="s">
        <v>408</v>
      </c>
      <c r="X694" s="239" t="s">
        <v>408</v>
      </c>
    </row>
    <row r="695" spans="1:24" ht="20.100000000000001" customHeight="1" x14ac:dyDescent="0.25">
      <c r="A695" s="436"/>
      <c r="B695" s="437"/>
      <c r="D695" s="437"/>
      <c r="F695" s="437"/>
      <c r="Q695" s="232" t="s">
        <v>408</v>
      </c>
      <c r="R695" s="238" t="s">
        <v>408</v>
      </c>
      <c r="S695" s="244" t="s">
        <v>408</v>
      </c>
      <c r="T695" s="235" t="s">
        <v>841</v>
      </c>
      <c r="U695" s="236" t="s">
        <v>408</v>
      </c>
      <c r="V695" s="237" t="s">
        <v>408</v>
      </c>
      <c r="W695" s="238" t="s">
        <v>408</v>
      </c>
      <c r="X695" s="239" t="s">
        <v>408</v>
      </c>
    </row>
    <row r="696" spans="1:24" ht="20.100000000000001" customHeight="1" x14ac:dyDescent="0.25">
      <c r="A696" s="436"/>
      <c r="B696" s="437"/>
      <c r="D696" s="437"/>
      <c r="F696" s="437"/>
      <c r="Q696" s="232" t="s">
        <v>408</v>
      </c>
      <c r="R696" s="238" t="s">
        <v>408</v>
      </c>
      <c r="S696" s="244" t="s">
        <v>408</v>
      </c>
      <c r="T696" s="235" t="s">
        <v>794</v>
      </c>
      <c r="U696" s="236" t="s">
        <v>408</v>
      </c>
      <c r="V696" s="237" t="s">
        <v>408</v>
      </c>
      <c r="W696" s="238" t="s">
        <v>408</v>
      </c>
      <c r="X696" s="239" t="s">
        <v>408</v>
      </c>
    </row>
    <row r="697" spans="1:24" ht="20.100000000000001" customHeight="1" x14ac:dyDescent="0.25">
      <c r="A697" s="436"/>
      <c r="B697" s="437"/>
      <c r="D697" s="437"/>
      <c r="F697" s="437"/>
      <c r="Q697" s="232" t="s">
        <v>408</v>
      </c>
      <c r="R697" s="238" t="s">
        <v>408</v>
      </c>
      <c r="S697" s="244" t="s">
        <v>408</v>
      </c>
      <c r="T697" s="235" t="s">
        <v>1262</v>
      </c>
      <c r="U697" s="236">
        <v>1</v>
      </c>
      <c r="V697" s="237" t="s">
        <v>408</v>
      </c>
      <c r="W697" s="238" t="s">
        <v>408</v>
      </c>
      <c r="X697" s="239" t="s">
        <v>408</v>
      </c>
    </row>
    <row r="698" spans="1:24" ht="20.100000000000001" customHeight="1" x14ac:dyDescent="0.25">
      <c r="A698" s="436"/>
      <c r="B698" s="437"/>
      <c r="D698" s="437"/>
      <c r="F698" s="437"/>
      <c r="Q698" s="232" t="s">
        <v>408</v>
      </c>
      <c r="R698" s="238" t="s">
        <v>408</v>
      </c>
      <c r="S698" s="244" t="s">
        <v>408</v>
      </c>
      <c r="T698" s="235" t="s">
        <v>844</v>
      </c>
      <c r="U698" s="236">
        <v>1</v>
      </c>
      <c r="V698" s="237" t="s">
        <v>408</v>
      </c>
      <c r="W698" s="238" t="s">
        <v>408</v>
      </c>
      <c r="X698" s="239" t="s">
        <v>408</v>
      </c>
    </row>
    <row r="699" spans="1:24" ht="20.100000000000001" customHeight="1" x14ac:dyDescent="0.25">
      <c r="A699" s="436"/>
      <c r="B699" s="437"/>
      <c r="D699" s="437"/>
      <c r="F699" s="437"/>
      <c r="Q699" s="232" t="s">
        <v>408</v>
      </c>
      <c r="R699" s="238" t="s">
        <v>408</v>
      </c>
      <c r="S699" s="244" t="s">
        <v>408</v>
      </c>
      <c r="T699" s="235" t="s">
        <v>845</v>
      </c>
      <c r="U699" s="236">
        <v>1</v>
      </c>
      <c r="V699" s="237" t="s">
        <v>408</v>
      </c>
      <c r="W699" s="238" t="s">
        <v>408</v>
      </c>
      <c r="X699" s="239" t="s">
        <v>408</v>
      </c>
    </row>
    <row r="700" spans="1:24" ht="20.100000000000001" customHeight="1" x14ac:dyDescent="0.25">
      <c r="A700" s="436"/>
      <c r="B700" s="437"/>
      <c r="D700" s="437"/>
      <c r="F700" s="437"/>
      <c r="Q700" s="232" t="s">
        <v>408</v>
      </c>
      <c r="R700" s="238" t="s">
        <v>408</v>
      </c>
      <c r="S700" s="244" t="s">
        <v>408</v>
      </c>
      <c r="T700" s="235" t="s">
        <v>846</v>
      </c>
      <c r="U700" s="236" t="s">
        <v>408</v>
      </c>
      <c r="V700" s="237" t="s">
        <v>408</v>
      </c>
      <c r="W700" s="238" t="s">
        <v>408</v>
      </c>
      <c r="X700" s="239" t="s">
        <v>408</v>
      </c>
    </row>
    <row r="701" spans="1:24" ht="20.100000000000001" customHeight="1" x14ac:dyDescent="0.25">
      <c r="A701" s="436"/>
      <c r="B701" s="437"/>
      <c r="D701" s="437"/>
      <c r="F701" s="437"/>
      <c r="Q701" s="247" t="s">
        <v>408</v>
      </c>
      <c r="R701" s="248" t="s">
        <v>408</v>
      </c>
      <c r="S701" s="249" t="s">
        <v>408</v>
      </c>
      <c r="T701" s="266" t="s">
        <v>408</v>
      </c>
      <c r="U701" s="251" t="s">
        <v>408</v>
      </c>
      <c r="V701" s="252" t="s">
        <v>408</v>
      </c>
      <c r="W701" s="248" t="s">
        <v>408</v>
      </c>
      <c r="X701" s="253" t="s">
        <v>408</v>
      </c>
    </row>
    <row r="702" spans="1:24" ht="20.100000000000001" customHeight="1" x14ac:dyDescent="0.25">
      <c r="A702" s="436"/>
      <c r="B702" s="437"/>
      <c r="D702" s="437"/>
      <c r="F702" s="437"/>
      <c r="Q702" s="224" t="s">
        <v>1348</v>
      </c>
      <c r="R702" s="225"/>
      <c r="S702" s="262" t="s">
        <v>1349</v>
      </c>
      <c r="T702" s="227" t="s">
        <v>746</v>
      </c>
      <c r="U702" s="228" t="s">
        <v>408</v>
      </c>
      <c r="V702" s="229" t="s">
        <v>747</v>
      </c>
      <c r="W702" s="230">
        <v>7</v>
      </c>
      <c r="X702" s="231" t="s">
        <v>869</v>
      </c>
    </row>
    <row r="703" spans="1:24" ht="20.100000000000001" customHeight="1" x14ac:dyDescent="0.25">
      <c r="A703" s="436"/>
      <c r="B703" s="437"/>
      <c r="D703" s="437"/>
      <c r="F703" s="437"/>
      <c r="Q703" s="232" t="s">
        <v>408</v>
      </c>
      <c r="R703" s="268"/>
      <c r="S703" s="269" t="s">
        <v>1350</v>
      </c>
      <c r="T703" s="235" t="s">
        <v>750</v>
      </c>
      <c r="U703" s="236" t="s">
        <v>408</v>
      </c>
      <c r="V703" s="237" t="s">
        <v>751</v>
      </c>
      <c r="W703" s="238" t="s">
        <v>408</v>
      </c>
      <c r="X703" s="239" t="s">
        <v>1269</v>
      </c>
    </row>
    <row r="704" spans="1:24" ht="20.100000000000001" customHeight="1" x14ac:dyDescent="0.25">
      <c r="A704" s="436"/>
      <c r="B704" s="437"/>
      <c r="D704" s="437"/>
      <c r="F704" s="437"/>
      <c r="Q704" s="232" t="s">
        <v>408</v>
      </c>
      <c r="R704" s="238"/>
      <c r="S704" s="244"/>
      <c r="T704" s="235" t="s">
        <v>754</v>
      </c>
      <c r="U704" s="236" t="s">
        <v>408</v>
      </c>
      <c r="V704" s="237" t="s">
        <v>771</v>
      </c>
      <c r="W704" s="238" t="s">
        <v>408</v>
      </c>
      <c r="X704" s="239" t="s">
        <v>760</v>
      </c>
    </row>
    <row r="705" spans="1:24" ht="20.100000000000001" customHeight="1" x14ac:dyDescent="0.25">
      <c r="A705" s="436"/>
      <c r="B705" s="437"/>
      <c r="D705" s="437"/>
      <c r="F705" s="437"/>
      <c r="Q705" s="232" t="s">
        <v>408</v>
      </c>
      <c r="R705" s="238" t="s">
        <v>1351</v>
      </c>
      <c r="S705" s="244" t="s">
        <v>1352</v>
      </c>
      <c r="T705" s="235" t="s">
        <v>758</v>
      </c>
      <c r="U705" s="236">
        <v>1</v>
      </c>
      <c r="V705" s="237" t="s">
        <v>767</v>
      </c>
      <c r="W705" s="238" t="s">
        <v>408</v>
      </c>
      <c r="X705" s="239" t="s">
        <v>764</v>
      </c>
    </row>
    <row r="706" spans="1:24" ht="20.100000000000001" customHeight="1" x14ac:dyDescent="0.25">
      <c r="A706" s="436"/>
      <c r="B706" s="437"/>
      <c r="D706" s="437"/>
      <c r="F706" s="437"/>
      <c r="Q706" s="232" t="s">
        <v>408</v>
      </c>
      <c r="R706" s="238" t="s">
        <v>408</v>
      </c>
      <c r="S706" s="244" t="s">
        <v>1353</v>
      </c>
      <c r="T706" s="235" t="s">
        <v>1354</v>
      </c>
      <c r="U706" s="236">
        <v>1</v>
      </c>
      <c r="V706" s="237" t="s">
        <v>1355</v>
      </c>
      <c r="W706" s="238" t="s">
        <v>408</v>
      </c>
      <c r="X706" s="239" t="s">
        <v>1356</v>
      </c>
    </row>
    <row r="707" spans="1:24" ht="20.100000000000001" customHeight="1" x14ac:dyDescent="0.25">
      <c r="A707" s="436"/>
      <c r="B707" s="437"/>
      <c r="D707" s="437"/>
      <c r="F707" s="437"/>
      <c r="Q707" s="232" t="s">
        <v>408</v>
      </c>
      <c r="R707" s="238" t="s">
        <v>1357</v>
      </c>
      <c r="S707" s="244" t="s">
        <v>1358</v>
      </c>
      <c r="T707" s="235" t="s">
        <v>1359</v>
      </c>
      <c r="U707" s="236" t="s">
        <v>408</v>
      </c>
      <c r="V707" s="237" t="s">
        <v>1360</v>
      </c>
      <c r="W707" s="238" t="s">
        <v>408</v>
      </c>
      <c r="X707" s="239" t="s">
        <v>779</v>
      </c>
    </row>
    <row r="708" spans="1:24" ht="20.100000000000001" customHeight="1" x14ac:dyDescent="0.25">
      <c r="A708" s="436"/>
      <c r="B708" s="437"/>
      <c r="D708" s="437"/>
      <c r="F708" s="437"/>
      <c r="Q708" s="232" t="s">
        <v>408</v>
      </c>
      <c r="R708" s="238"/>
      <c r="S708" s="244" t="s">
        <v>1361</v>
      </c>
      <c r="T708" s="235" t="s">
        <v>1362</v>
      </c>
      <c r="U708" s="236">
        <v>1</v>
      </c>
      <c r="V708" s="237" t="s">
        <v>1071</v>
      </c>
      <c r="W708" s="238" t="s">
        <v>408</v>
      </c>
      <c r="X708" s="239" t="s">
        <v>408</v>
      </c>
    </row>
    <row r="709" spans="1:24" ht="20.100000000000001" customHeight="1" x14ac:dyDescent="0.25">
      <c r="A709" s="436"/>
      <c r="B709" s="437"/>
      <c r="D709" s="437"/>
      <c r="F709" s="437"/>
      <c r="Q709" s="232" t="s">
        <v>408</v>
      </c>
      <c r="R709" s="238"/>
      <c r="S709" s="244" t="s">
        <v>1363</v>
      </c>
      <c r="T709" s="235" t="s">
        <v>1364</v>
      </c>
      <c r="U709" s="236" t="s">
        <v>408</v>
      </c>
      <c r="V709" s="237" t="s">
        <v>1365</v>
      </c>
      <c r="W709" s="238" t="s">
        <v>408</v>
      </c>
      <c r="X709" s="239" t="s">
        <v>408</v>
      </c>
    </row>
    <row r="710" spans="1:24" ht="20.100000000000001" customHeight="1" x14ac:dyDescent="0.25">
      <c r="A710" s="436"/>
      <c r="B710" s="437"/>
      <c r="D710" s="437"/>
      <c r="F710" s="437"/>
      <c r="Q710" s="232" t="s">
        <v>408</v>
      </c>
      <c r="R710" s="238" t="s">
        <v>1366</v>
      </c>
      <c r="S710" s="244" t="s">
        <v>1367</v>
      </c>
      <c r="T710" s="235" t="s">
        <v>1368</v>
      </c>
      <c r="U710" s="236">
        <v>1</v>
      </c>
      <c r="V710" s="237" t="s">
        <v>1071</v>
      </c>
      <c r="W710" s="238" t="s">
        <v>408</v>
      </c>
      <c r="X710" s="239" t="s">
        <v>408</v>
      </c>
    </row>
    <row r="711" spans="1:24" ht="20.100000000000001" customHeight="1" x14ac:dyDescent="0.25">
      <c r="A711" s="436"/>
      <c r="B711" s="437"/>
      <c r="D711" s="437"/>
      <c r="F711" s="437"/>
      <c r="Q711" s="232" t="s">
        <v>408</v>
      </c>
      <c r="R711" s="235"/>
      <c r="S711" s="250"/>
      <c r="T711" s="235" t="s">
        <v>793</v>
      </c>
      <c r="U711" s="236">
        <v>2</v>
      </c>
      <c r="V711" s="237"/>
      <c r="W711" s="238" t="s">
        <v>408</v>
      </c>
      <c r="X711" s="239" t="s">
        <v>408</v>
      </c>
    </row>
    <row r="712" spans="1:24" ht="20.100000000000001" customHeight="1" x14ac:dyDescent="0.25">
      <c r="A712" s="436"/>
      <c r="B712" s="437"/>
      <c r="D712" s="437"/>
      <c r="F712" s="437"/>
      <c r="Q712" s="232" t="s">
        <v>408</v>
      </c>
      <c r="R712" s="238" t="s">
        <v>408</v>
      </c>
      <c r="S712" s="244" t="s">
        <v>408</v>
      </c>
      <c r="T712" s="235" t="s">
        <v>1369</v>
      </c>
      <c r="U712" s="236">
        <v>1</v>
      </c>
      <c r="V712" s="237" t="s">
        <v>1272</v>
      </c>
      <c r="W712" s="238" t="s">
        <v>408</v>
      </c>
      <c r="X712" s="239" t="s">
        <v>408</v>
      </c>
    </row>
    <row r="713" spans="1:24" ht="20.100000000000001" customHeight="1" x14ac:dyDescent="0.25">
      <c r="A713" s="436"/>
      <c r="B713" s="437"/>
      <c r="D713" s="437"/>
      <c r="F713" s="437"/>
      <c r="Q713" s="232" t="s">
        <v>408</v>
      </c>
      <c r="R713" s="238" t="s">
        <v>408</v>
      </c>
      <c r="S713" s="244" t="s">
        <v>408</v>
      </c>
      <c r="T713" s="235" t="s">
        <v>1370</v>
      </c>
      <c r="U713" s="236" t="s">
        <v>408</v>
      </c>
      <c r="V713" s="237" t="s">
        <v>1274</v>
      </c>
      <c r="W713" s="238" t="s">
        <v>408</v>
      </c>
      <c r="X713" s="239" t="s">
        <v>408</v>
      </c>
    </row>
    <row r="714" spans="1:24" ht="20.100000000000001" customHeight="1" x14ac:dyDescent="0.25">
      <c r="A714" s="436"/>
      <c r="B714" s="437"/>
      <c r="D714" s="437"/>
      <c r="F714" s="437"/>
      <c r="Q714" s="232" t="s">
        <v>408</v>
      </c>
      <c r="R714" s="238" t="s">
        <v>408</v>
      </c>
      <c r="S714" s="244" t="s">
        <v>408</v>
      </c>
      <c r="T714" s="235" t="s">
        <v>796</v>
      </c>
      <c r="U714" s="236">
        <v>1</v>
      </c>
      <c r="V714" s="237" t="s">
        <v>791</v>
      </c>
      <c r="W714" s="238" t="s">
        <v>408</v>
      </c>
      <c r="X714" s="239" t="s">
        <v>408</v>
      </c>
    </row>
    <row r="715" spans="1:24" ht="20.100000000000001" customHeight="1" x14ac:dyDescent="0.25">
      <c r="A715" s="436"/>
      <c r="B715" s="437"/>
      <c r="D715" s="437"/>
      <c r="F715" s="437"/>
      <c r="Q715" s="232" t="s">
        <v>408</v>
      </c>
      <c r="R715" s="238" t="s">
        <v>408</v>
      </c>
      <c r="S715" s="244" t="s">
        <v>408</v>
      </c>
      <c r="T715" s="235" t="s">
        <v>1371</v>
      </c>
      <c r="U715" s="236">
        <v>1</v>
      </c>
      <c r="V715" s="237" t="s">
        <v>794</v>
      </c>
      <c r="W715" s="238" t="s">
        <v>408</v>
      </c>
      <c r="X715" s="239" t="s">
        <v>408</v>
      </c>
    </row>
    <row r="716" spans="1:24" ht="20.100000000000001" customHeight="1" x14ac:dyDescent="0.25">
      <c r="A716" s="436"/>
      <c r="B716" s="437"/>
      <c r="D716" s="437"/>
      <c r="F716" s="437"/>
      <c r="Q716" s="232" t="s">
        <v>408</v>
      </c>
      <c r="R716" s="238" t="s">
        <v>408</v>
      </c>
      <c r="S716" s="244" t="s">
        <v>408</v>
      </c>
      <c r="T716" s="235" t="s">
        <v>855</v>
      </c>
      <c r="U716" s="236" t="s">
        <v>408</v>
      </c>
      <c r="V716" s="237" t="s">
        <v>853</v>
      </c>
      <c r="W716" s="238" t="s">
        <v>408</v>
      </c>
      <c r="X716" s="239" t="s">
        <v>408</v>
      </c>
    </row>
    <row r="717" spans="1:24" ht="20.100000000000001" customHeight="1" x14ac:dyDescent="0.25">
      <c r="A717" s="436"/>
      <c r="B717" s="437"/>
      <c r="D717" s="437"/>
      <c r="F717" s="437"/>
      <c r="Q717" s="232" t="s">
        <v>408</v>
      </c>
      <c r="R717" s="238" t="s">
        <v>408</v>
      </c>
      <c r="S717" s="244" t="s">
        <v>408</v>
      </c>
      <c r="T717" s="235" t="s">
        <v>1371</v>
      </c>
      <c r="U717" s="236">
        <v>1</v>
      </c>
      <c r="V717" s="237" t="s">
        <v>408</v>
      </c>
      <c r="W717" s="238" t="s">
        <v>408</v>
      </c>
      <c r="X717" s="239" t="s">
        <v>408</v>
      </c>
    </row>
    <row r="718" spans="1:24" ht="20.100000000000001" customHeight="1" x14ac:dyDescent="0.25">
      <c r="A718" s="436"/>
      <c r="B718" s="437"/>
      <c r="D718" s="437"/>
      <c r="F718" s="437"/>
      <c r="Q718" s="232" t="s">
        <v>408</v>
      </c>
      <c r="R718" s="238" t="s">
        <v>408</v>
      </c>
      <c r="S718" s="244" t="s">
        <v>408</v>
      </c>
      <c r="T718" s="235" t="s">
        <v>856</v>
      </c>
      <c r="U718" s="236" t="s">
        <v>408</v>
      </c>
      <c r="V718" s="237" t="s">
        <v>408</v>
      </c>
      <c r="W718" s="238" t="s">
        <v>408</v>
      </c>
      <c r="X718" s="239" t="s">
        <v>408</v>
      </c>
    </row>
    <row r="719" spans="1:24" ht="20.100000000000001" customHeight="1" x14ac:dyDescent="0.25">
      <c r="A719" s="436"/>
      <c r="B719" s="437"/>
      <c r="D719" s="437"/>
      <c r="F719" s="437"/>
      <c r="Q719" s="232" t="s">
        <v>408</v>
      </c>
      <c r="R719" s="238" t="s">
        <v>408</v>
      </c>
      <c r="S719" s="244" t="s">
        <v>408</v>
      </c>
      <c r="T719" s="235" t="s">
        <v>1372</v>
      </c>
      <c r="U719" s="236">
        <v>1</v>
      </c>
      <c r="V719" s="237" t="s">
        <v>408</v>
      </c>
      <c r="W719" s="238" t="s">
        <v>408</v>
      </c>
      <c r="X719" s="239" t="s">
        <v>408</v>
      </c>
    </row>
    <row r="720" spans="1:24" ht="20.100000000000001" customHeight="1" x14ac:dyDescent="0.25">
      <c r="A720" s="436"/>
      <c r="B720" s="437"/>
      <c r="D720" s="437"/>
      <c r="F720" s="437"/>
      <c r="Q720" s="241" t="s">
        <v>408</v>
      </c>
      <c r="R720" s="264" t="s">
        <v>408</v>
      </c>
      <c r="S720" s="244" t="s">
        <v>408</v>
      </c>
      <c r="T720" s="243" t="s">
        <v>762</v>
      </c>
      <c r="U720" s="236">
        <v>1</v>
      </c>
      <c r="V720" s="237" t="s">
        <v>408</v>
      </c>
      <c r="W720" s="238" t="s">
        <v>408</v>
      </c>
      <c r="X720" s="239" t="s">
        <v>408</v>
      </c>
    </row>
    <row r="721" spans="1:24" ht="20.100000000000001" customHeight="1" x14ac:dyDescent="0.25">
      <c r="A721" s="436"/>
      <c r="B721" s="437"/>
      <c r="D721" s="437"/>
      <c r="F721" s="437"/>
      <c r="Q721" s="232" t="s">
        <v>408</v>
      </c>
      <c r="R721" s="238"/>
      <c r="S721" s="244"/>
      <c r="T721" s="235" t="s">
        <v>766</v>
      </c>
      <c r="U721" s="236">
        <v>1</v>
      </c>
      <c r="V721" s="237" t="s">
        <v>408</v>
      </c>
      <c r="W721" s="238" t="s">
        <v>408</v>
      </c>
      <c r="X721" s="239" t="s">
        <v>408</v>
      </c>
    </row>
    <row r="722" spans="1:24" ht="20.100000000000001" customHeight="1" x14ac:dyDescent="0.25">
      <c r="A722" s="436"/>
      <c r="B722" s="437"/>
      <c r="D722" s="437"/>
      <c r="F722" s="437"/>
      <c r="Q722" s="232" t="s">
        <v>408</v>
      </c>
      <c r="R722" s="238"/>
      <c r="S722" s="244"/>
      <c r="T722" s="235" t="s">
        <v>781</v>
      </c>
      <c r="U722" s="236">
        <v>1</v>
      </c>
      <c r="V722" s="237" t="s">
        <v>408</v>
      </c>
      <c r="W722" s="238" t="s">
        <v>408</v>
      </c>
      <c r="X722" s="239" t="s">
        <v>408</v>
      </c>
    </row>
    <row r="723" spans="1:24" ht="20.100000000000001" customHeight="1" x14ac:dyDescent="0.25">
      <c r="A723" s="436"/>
      <c r="B723" s="437"/>
      <c r="D723" s="437"/>
      <c r="F723" s="437"/>
      <c r="Q723" s="232" t="s">
        <v>408</v>
      </c>
      <c r="R723" s="238"/>
      <c r="S723" s="244"/>
      <c r="T723" s="235" t="s">
        <v>1373</v>
      </c>
      <c r="U723" s="236">
        <v>1</v>
      </c>
      <c r="V723" s="237" t="s">
        <v>408</v>
      </c>
      <c r="W723" s="238" t="s">
        <v>408</v>
      </c>
      <c r="X723" s="239" t="s">
        <v>408</v>
      </c>
    </row>
    <row r="724" spans="1:24" ht="20.100000000000001" customHeight="1" x14ac:dyDescent="0.25">
      <c r="A724" s="436"/>
      <c r="B724" s="437"/>
      <c r="D724" s="437"/>
      <c r="F724" s="437"/>
      <c r="Q724" s="232" t="s">
        <v>408</v>
      </c>
      <c r="R724" s="238"/>
      <c r="S724" s="244"/>
      <c r="T724" s="235" t="s">
        <v>1374</v>
      </c>
      <c r="U724" s="236" t="s">
        <v>408</v>
      </c>
      <c r="V724" s="237" t="s">
        <v>408</v>
      </c>
      <c r="W724" s="238" t="s">
        <v>408</v>
      </c>
      <c r="X724" s="239" t="s">
        <v>408</v>
      </c>
    </row>
    <row r="725" spans="1:24" ht="20.100000000000001" customHeight="1" x14ac:dyDescent="0.25">
      <c r="A725" s="436"/>
      <c r="B725" s="437"/>
      <c r="D725" s="437"/>
      <c r="F725" s="437"/>
      <c r="Q725" s="232" t="s">
        <v>408</v>
      </c>
      <c r="R725" s="238"/>
      <c r="S725" s="244"/>
      <c r="T725" s="235" t="s">
        <v>852</v>
      </c>
      <c r="U725" s="236">
        <v>1</v>
      </c>
      <c r="V725" s="237" t="s">
        <v>408</v>
      </c>
      <c r="W725" s="238" t="s">
        <v>408</v>
      </c>
      <c r="X725" s="239" t="s">
        <v>408</v>
      </c>
    </row>
    <row r="726" spans="1:24" ht="20.100000000000001" customHeight="1" x14ac:dyDescent="0.25">
      <c r="A726" s="436"/>
      <c r="B726" s="437"/>
      <c r="D726" s="437"/>
      <c r="F726" s="437"/>
      <c r="Q726" s="232" t="s">
        <v>408</v>
      </c>
      <c r="R726" s="238"/>
      <c r="S726" s="244"/>
      <c r="T726" s="235" t="s">
        <v>816</v>
      </c>
      <c r="U726" s="236">
        <v>1</v>
      </c>
      <c r="V726" s="237" t="s">
        <v>408</v>
      </c>
      <c r="W726" s="238" t="s">
        <v>408</v>
      </c>
      <c r="X726" s="239" t="s">
        <v>408</v>
      </c>
    </row>
    <row r="727" spans="1:24" ht="20.100000000000001" customHeight="1" x14ac:dyDescent="0.25">
      <c r="A727" s="436"/>
      <c r="B727" s="437"/>
      <c r="D727" s="437"/>
      <c r="F727" s="437"/>
      <c r="Q727" s="232" t="s">
        <v>408</v>
      </c>
      <c r="R727" s="238"/>
      <c r="S727" s="244"/>
      <c r="T727" s="235" t="s">
        <v>818</v>
      </c>
      <c r="U727" s="236">
        <v>1</v>
      </c>
      <c r="V727" s="237" t="s">
        <v>408</v>
      </c>
      <c r="W727" s="238" t="s">
        <v>408</v>
      </c>
      <c r="X727" s="239" t="s">
        <v>408</v>
      </c>
    </row>
    <row r="728" spans="1:24" ht="20.100000000000001" customHeight="1" x14ac:dyDescent="0.25">
      <c r="A728" s="436"/>
      <c r="B728" s="437"/>
      <c r="D728" s="437"/>
      <c r="F728" s="437"/>
      <c r="Q728" s="232" t="s">
        <v>408</v>
      </c>
      <c r="R728" s="238"/>
      <c r="S728" s="244"/>
      <c r="T728" s="235" t="s">
        <v>774</v>
      </c>
      <c r="U728" s="236">
        <v>1</v>
      </c>
      <c r="V728" s="237" t="s">
        <v>408</v>
      </c>
      <c r="W728" s="238" t="s">
        <v>408</v>
      </c>
      <c r="X728" s="239" t="s">
        <v>408</v>
      </c>
    </row>
    <row r="729" spans="1:24" ht="20.100000000000001" customHeight="1" x14ac:dyDescent="0.25">
      <c r="A729" s="436"/>
      <c r="B729" s="437"/>
      <c r="D729" s="437"/>
      <c r="F729" s="437"/>
      <c r="Q729" s="232" t="s">
        <v>408</v>
      </c>
      <c r="R729" s="238" t="s">
        <v>408</v>
      </c>
      <c r="S729" s="244" t="s">
        <v>408</v>
      </c>
      <c r="T729" s="235" t="s">
        <v>778</v>
      </c>
      <c r="U729" s="236">
        <v>1</v>
      </c>
      <c r="V729" s="237" t="s">
        <v>408</v>
      </c>
      <c r="W729" s="238" t="s">
        <v>408</v>
      </c>
      <c r="X729" s="239" t="s">
        <v>408</v>
      </c>
    </row>
    <row r="730" spans="1:24" ht="20.100000000000001" customHeight="1" x14ac:dyDescent="0.25">
      <c r="A730" s="436"/>
      <c r="B730" s="437"/>
      <c r="D730" s="437"/>
      <c r="F730" s="437"/>
      <c r="Q730" s="232" t="s">
        <v>408</v>
      </c>
      <c r="R730" s="238" t="s">
        <v>408</v>
      </c>
      <c r="S730" s="244" t="s">
        <v>408</v>
      </c>
      <c r="T730" s="235" t="s">
        <v>1375</v>
      </c>
      <c r="U730" s="236">
        <v>1</v>
      </c>
      <c r="V730" s="237" t="s">
        <v>408</v>
      </c>
      <c r="W730" s="238" t="s">
        <v>408</v>
      </c>
      <c r="X730" s="239" t="s">
        <v>408</v>
      </c>
    </row>
    <row r="731" spans="1:24" ht="20.100000000000001" customHeight="1" x14ac:dyDescent="0.25">
      <c r="A731" s="436"/>
      <c r="B731" s="437"/>
      <c r="D731" s="437"/>
      <c r="F731" s="437"/>
      <c r="Q731" s="232" t="s">
        <v>408</v>
      </c>
      <c r="R731" s="238" t="s">
        <v>408</v>
      </c>
      <c r="S731" s="244" t="s">
        <v>408</v>
      </c>
      <c r="T731" s="235" t="s">
        <v>1376</v>
      </c>
      <c r="U731" s="236" t="s">
        <v>408</v>
      </c>
      <c r="V731" s="237" t="s">
        <v>408</v>
      </c>
      <c r="W731" s="238" t="s">
        <v>408</v>
      </c>
      <c r="X731" s="239" t="s">
        <v>408</v>
      </c>
    </row>
    <row r="732" spans="1:24" ht="20.100000000000001" customHeight="1" x14ac:dyDescent="0.25">
      <c r="A732" s="436"/>
      <c r="B732" s="437"/>
      <c r="D732" s="437"/>
      <c r="F732" s="437"/>
      <c r="Q732" s="232" t="s">
        <v>408</v>
      </c>
      <c r="R732" s="238" t="s">
        <v>408</v>
      </c>
      <c r="S732" s="244" t="s">
        <v>408</v>
      </c>
      <c r="T732" s="235" t="s">
        <v>1377</v>
      </c>
      <c r="U732" s="236">
        <v>1</v>
      </c>
      <c r="V732" s="237" t="s">
        <v>408</v>
      </c>
      <c r="W732" s="238" t="s">
        <v>408</v>
      </c>
      <c r="X732" s="239" t="s">
        <v>408</v>
      </c>
    </row>
    <row r="733" spans="1:24" ht="20.100000000000001" customHeight="1" x14ac:dyDescent="0.25">
      <c r="A733" s="436"/>
      <c r="B733" s="437"/>
      <c r="D733" s="437"/>
      <c r="F733" s="437"/>
      <c r="Q733" s="232" t="s">
        <v>408</v>
      </c>
      <c r="R733" s="238" t="s">
        <v>408</v>
      </c>
      <c r="S733" s="244" t="s">
        <v>408</v>
      </c>
      <c r="T733" s="235" t="s">
        <v>1378</v>
      </c>
      <c r="U733" s="236" t="s">
        <v>408</v>
      </c>
      <c r="V733" s="237" t="s">
        <v>408</v>
      </c>
      <c r="W733" s="238" t="s">
        <v>408</v>
      </c>
      <c r="X733" s="239" t="s">
        <v>408</v>
      </c>
    </row>
    <row r="734" spans="1:24" ht="20.100000000000001" customHeight="1" x14ac:dyDescent="0.25">
      <c r="A734" s="436"/>
      <c r="B734" s="437"/>
      <c r="D734" s="437"/>
      <c r="F734" s="437"/>
      <c r="Q734" s="232" t="s">
        <v>408</v>
      </c>
      <c r="R734" s="238" t="s">
        <v>408</v>
      </c>
      <c r="S734" s="244" t="s">
        <v>408</v>
      </c>
      <c r="T734" s="235" t="s">
        <v>408</v>
      </c>
      <c r="U734" s="236" t="s">
        <v>408</v>
      </c>
      <c r="V734" s="237" t="s">
        <v>408</v>
      </c>
      <c r="W734" s="238" t="s">
        <v>408</v>
      </c>
      <c r="X734" s="239" t="s">
        <v>408</v>
      </c>
    </row>
    <row r="735" spans="1:24" ht="20.100000000000001" customHeight="1" x14ac:dyDescent="0.25">
      <c r="A735" s="436"/>
      <c r="B735" s="437"/>
      <c r="D735" s="437"/>
      <c r="F735" s="437"/>
      <c r="Q735" s="232" t="s">
        <v>408</v>
      </c>
      <c r="R735" s="238" t="s">
        <v>408</v>
      </c>
      <c r="S735" s="244" t="s">
        <v>408</v>
      </c>
      <c r="T735" s="235" t="s">
        <v>825</v>
      </c>
      <c r="U735" s="236" t="s">
        <v>408</v>
      </c>
      <c r="V735" s="237" t="s">
        <v>408</v>
      </c>
      <c r="W735" s="238" t="s">
        <v>408</v>
      </c>
      <c r="X735" s="239" t="s">
        <v>408</v>
      </c>
    </row>
    <row r="736" spans="1:24" ht="20.100000000000001" customHeight="1" x14ac:dyDescent="0.25">
      <c r="A736" s="436"/>
      <c r="B736" s="437"/>
      <c r="D736" s="437"/>
      <c r="F736" s="437"/>
      <c r="Q736" s="232" t="s">
        <v>408</v>
      </c>
      <c r="R736" s="238" t="s">
        <v>408</v>
      </c>
      <c r="S736" s="244" t="s">
        <v>408</v>
      </c>
      <c r="T736" s="235" t="s">
        <v>750</v>
      </c>
      <c r="U736" s="236" t="s">
        <v>408</v>
      </c>
      <c r="V736" s="237" t="s">
        <v>408</v>
      </c>
      <c r="W736" s="238" t="s">
        <v>408</v>
      </c>
      <c r="X736" s="239" t="s">
        <v>408</v>
      </c>
    </row>
    <row r="737" spans="1:24" ht="20.100000000000001" customHeight="1" x14ac:dyDescent="0.25">
      <c r="A737" s="436"/>
      <c r="B737" s="437"/>
      <c r="D737" s="437"/>
      <c r="F737" s="437"/>
      <c r="Q737" s="232" t="s">
        <v>408</v>
      </c>
      <c r="R737" s="238" t="s">
        <v>408</v>
      </c>
      <c r="S737" s="244" t="s">
        <v>408</v>
      </c>
      <c r="T737" s="235" t="s">
        <v>754</v>
      </c>
      <c r="U737" s="236" t="s">
        <v>408</v>
      </c>
      <c r="V737" s="237" t="s">
        <v>408</v>
      </c>
      <c r="W737" s="238" t="s">
        <v>408</v>
      </c>
      <c r="X737" s="239" t="s">
        <v>408</v>
      </c>
    </row>
    <row r="738" spans="1:24" ht="20.100000000000001" customHeight="1" x14ac:dyDescent="0.25">
      <c r="A738" s="436"/>
      <c r="B738" s="437"/>
      <c r="D738" s="437"/>
      <c r="F738" s="437"/>
      <c r="Q738" s="232" t="s">
        <v>408</v>
      </c>
      <c r="R738" s="238" t="s">
        <v>408</v>
      </c>
      <c r="S738" s="244" t="s">
        <v>408</v>
      </c>
      <c r="T738" s="235" t="s">
        <v>1379</v>
      </c>
      <c r="U738" s="236">
        <v>1</v>
      </c>
      <c r="V738" s="237" t="s">
        <v>408</v>
      </c>
      <c r="W738" s="238" t="s">
        <v>408</v>
      </c>
      <c r="X738" s="239" t="s">
        <v>408</v>
      </c>
    </row>
    <row r="739" spans="1:24" ht="20.100000000000001" customHeight="1" x14ac:dyDescent="0.25">
      <c r="A739" s="436"/>
      <c r="B739" s="437"/>
      <c r="D739" s="437"/>
      <c r="F739" s="437"/>
      <c r="Q739" s="232" t="s">
        <v>408</v>
      </c>
      <c r="R739" s="238" t="s">
        <v>408</v>
      </c>
      <c r="S739" s="244" t="s">
        <v>408</v>
      </c>
      <c r="T739" s="235" t="s">
        <v>1380</v>
      </c>
      <c r="U739" s="236" t="s">
        <v>408</v>
      </c>
      <c r="V739" s="237" t="s">
        <v>408</v>
      </c>
      <c r="W739" s="238" t="s">
        <v>408</v>
      </c>
      <c r="X739" s="239" t="s">
        <v>408</v>
      </c>
    </row>
    <row r="740" spans="1:24" ht="20.100000000000001" customHeight="1" x14ac:dyDescent="0.25">
      <c r="A740" s="436"/>
      <c r="B740" s="437"/>
      <c r="D740" s="437"/>
      <c r="F740" s="437"/>
      <c r="Q740" s="232" t="s">
        <v>408</v>
      </c>
      <c r="R740" s="238" t="s">
        <v>408</v>
      </c>
      <c r="S740" s="244" t="s">
        <v>408</v>
      </c>
      <c r="T740" s="235" t="s">
        <v>1381</v>
      </c>
      <c r="U740" s="236">
        <v>1</v>
      </c>
      <c r="V740" s="237" t="s">
        <v>408</v>
      </c>
      <c r="W740" s="238" t="s">
        <v>408</v>
      </c>
      <c r="X740" s="239" t="s">
        <v>408</v>
      </c>
    </row>
    <row r="741" spans="1:24" ht="20.100000000000001" customHeight="1" x14ac:dyDescent="0.25">
      <c r="A741" s="436"/>
      <c r="B741" s="437"/>
      <c r="D741" s="437"/>
      <c r="F741" s="437"/>
      <c r="Q741" s="232" t="s">
        <v>408</v>
      </c>
      <c r="R741" s="238" t="s">
        <v>408</v>
      </c>
      <c r="S741" s="244" t="s">
        <v>408</v>
      </c>
      <c r="T741" s="235" t="s">
        <v>862</v>
      </c>
      <c r="U741" s="236">
        <v>1</v>
      </c>
      <c r="V741" s="237" t="s">
        <v>408</v>
      </c>
      <c r="W741" s="238" t="s">
        <v>408</v>
      </c>
      <c r="X741" s="239" t="s">
        <v>408</v>
      </c>
    </row>
    <row r="742" spans="1:24" ht="20.100000000000001" customHeight="1" x14ac:dyDescent="0.25">
      <c r="A742" s="436"/>
      <c r="B742" s="437"/>
      <c r="D742" s="437"/>
      <c r="F742" s="437"/>
      <c r="Q742" s="232" t="s">
        <v>408</v>
      </c>
      <c r="R742" s="238" t="s">
        <v>408</v>
      </c>
      <c r="S742" s="244" t="s">
        <v>408</v>
      </c>
      <c r="T742" s="235" t="s">
        <v>831</v>
      </c>
      <c r="U742" s="236" t="s">
        <v>408</v>
      </c>
      <c r="V742" s="237" t="s">
        <v>408</v>
      </c>
      <c r="W742" s="238" t="s">
        <v>408</v>
      </c>
      <c r="X742" s="239" t="s">
        <v>408</v>
      </c>
    </row>
    <row r="743" spans="1:24" ht="20.100000000000001" customHeight="1" x14ac:dyDescent="0.25">
      <c r="A743" s="436"/>
      <c r="B743" s="437"/>
      <c r="D743" s="437"/>
      <c r="F743" s="437"/>
      <c r="Q743" s="232" t="s">
        <v>408</v>
      </c>
      <c r="R743" s="238" t="s">
        <v>408</v>
      </c>
      <c r="S743" s="244" t="s">
        <v>408</v>
      </c>
      <c r="T743" s="235" t="s">
        <v>834</v>
      </c>
      <c r="U743" s="236" t="s">
        <v>408</v>
      </c>
      <c r="V743" s="237" t="s">
        <v>408</v>
      </c>
      <c r="W743" s="238" t="s">
        <v>408</v>
      </c>
      <c r="X743" s="239" t="s">
        <v>408</v>
      </c>
    </row>
    <row r="744" spans="1:24" ht="20.100000000000001" customHeight="1" x14ac:dyDescent="0.25">
      <c r="A744" s="436"/>
      <c r="B744" s="437"/>
      <c r="D744" s="437"/>
      <c r="F744" s="437"/>
      <c r="Q744" s="232" t="s">
        <v>408</v>
      </c>
      <c r="R744" s="238" t="s">
        <v>408</v>
      </c>
      <c r="S744" s="244" t="s">
        <v>408</v>
      </c>
      <c r="T744" s="235" t="s">
        <v>864</v>
      </c>
      <c r="U744" s="236">
        <v>1</v>
      </c>
      <c r="V744" s="237" t="s">
        <v>408</v>
      </c>
      <c r="W744" s="238" t="s">
        <v>408</v>
      </c>
      <c r="X744" s="239" t="s">
        <v>408</v>
      </c>
    </row>
    <row r="745" spans="1:24" ht="20.100000000000001" customHeight="1" x14ac:dyDescent="0.25">
      <c r="A745" s="436"/>
      <c r="B745" s="437"/>
      <c r="D745" s="437"/>
      <c r="F745" s="437"/>
      <c r="Q745" s="232" t="s">
        <v>408</v>
      </c>
      <c r="R745" s="238" t="s">
        <v>408</v>
      </c>
      <c r="S745" s="244" t="s">
        <v>408</v>
      </c>
      <c r="T745" s="235" t="s">
        <v>408</v>
      </c>
      <c r="U745" s="236" t="s">
        <v>408</v>
      </c>
      <c r="V745" s="237" t="s">
        <v>408</v>
      </c>
      <c r="W745" s="238" t="s">
        <v>408</v>
      </c>
      <c r="X745" s="239" t="s">
        <v>408</v>
      </c>
    </row>
    <row r="746" spans="1:24" ht="20.100000000000001" customHeight="1" x14ac:dyDescent="0.25">
      <c r="A746" s="436"/>
      <c r="B746" s="437"/>
      <c r="D746" s="437"/>
      <c r="F746" s="437"/>
      <c r="Q746" s="232" t="s">
        <v>408</v>
      </c>
      <c r="R746" s="238" t="s">
        <v>408</v>
      </c>
      <c r="S746" s="244" t="s">
        <v>408</v>
      </c>
      <c r="T746" s="235" t="s">
        <v>840</v>
      </c>
      <c r="U746" s="236" t="s">
        <v>408</v>
      </c>
      <c r="V746" s="237" t="s">
        <v>408</v>
      </c>
      <c r="W746" s="238" t="s">
        <v>408</v>
      </c>
      <c r="X746" s="239" t="s">
        <v>408</v>
      </c>
    </row>
    <row r="747" spans="1:24" ht="20.100000000000001" customHeight="1" x14ac:dyDescent="0.25">
      <c r="A747" s="436"/>
      <c r="B747" s="437"/>
      <c r="D747" s="437"/>
      <c r="F747" s="437"/>
      <c r="Q747" s="232" t="s">
        <v>408</v>
      </c>
      <c r="R747" s="238" t="s">
        <v>408</v>
      </c>
      <c r="S747" s="244" t="s">
        <v>408</v>
      </c>
      <c r="T747" s="235" t="s">
        <v>841</v>
      </c>
      <c r="U747" s="236" t="s">
        <v>408</v>
      </c>
      <c r="V747" s="237" t="s">
        <v>408</v>
      </c>
      <c r="W747" s="238" t="s">
        <v>408</v>
      </c>
      <c r="X747" s="239" t="s">
        <v>408</v>
      </c>
    </row>
    <row r="748" spans="1:24" ht="20.100000000000001" customHeight="1" x14ac:dyDescent="0.25">
      <c r="A748" s="436"/>
      <c r="B748" s="437"/>
      <c r="D748" s="437"/>
      <c r="F748" s="437"/>
      <c r="Q748" s="232" t="s">
        <v>408</v>
      </c>
      <c r="R748" s="238" t="s">
        <v>408</v>
      </c>
      <c r="S748" s="244" t="s">
        <v>408</v>
      </c>
      <c r="T748" s="235" t="s">
        <v>794</v>
      </c>
      <c r="U748" s="236" t="s">
        <v>408</v>
      </c>
      <c r="V748" s="237" t="s">
        <v>408</v>
      </c>
      <c r="W748" s="238" t="s">
        <v>408</v>
      </c>
      <c r="X748" s="239" t="s">
        <v>408</v>
      </c>
    </row>
    <row r="749" spans="1:24" ht="20.100000000000001" customHeight="1" x14ac:dyDescent="0.25">
      <c r="A749" s="436"/>
      <c r="B749" s="437"/>
      <c r="D749" s="437"/>
      <c r="F749" s="437"/>
      <c r="Q749" s="232" t="s">
        <v>408</v>
      </c>
      <c r="R749" s="238" t="s">
        <v>408</v>
      </c>
      <c r="S749" s="244" t="s">
        <v>408</v>
      </c>
      <c r="T749" s="235" t="s">
        <v>913</v>
      </c>
      <c r="U749" s="236">
        <v>1</v>
      </c>
      <c r="V749" s="237" t="s">
        <v>408</v>
      </c>
      <c r="W749" s="238" t="s">
        <v>408</v>
      </c>
      <c r="X749" s="239" t="s">
        <v>408</v>
      </c>
    </row>
    <row r="750" spans="1:24" ht="20.100000000000001" customHeight="1" x14ac:dyDescent="0.25">
      <c r="A750" s="436"/>
      <c r="B750" s="437"/>
      <c r="D750" s="437"/>
      <c r="F750" s="437"/>
      <c r="Q750" s="232" t="s">
        <v>408</v>
      </c>
      <c r="R750" s="238" t="s">
        <v>408</v>
      </c>
      <c r="S750" s="244" t="s">
        <v>408</v>
      </c>
      <c r="T750" s="235" t="s">
        <v>1382</v>
      </c>
      <c r="U750" s="236">
        <v>1</v>
      </c>
      <c r="V750" s="237" t="s">
        <v>408</v>
      </c>
      <c r="W750" s="238" t="s">
        <v>408</v>
      </c>
      <c r="X750" s="239" t="s">
        <v>408</v>
      </c>
    </row>
    <row r="751" spans="1:24" ht="20.100000000000001" customHeight="1" x14ac:dyDescent="0.25">
      <c r="A751" s="436"/>
      <c r="B751" s="437"/>
      <c r="D751" s="437"/>
      <c r="F751" s="437"/>
      <c r="Q751" s="232" t="s">
        <v>408</v>
      </c>
      <c r="R751" s="238" t="s">
        <v>408</v>
      </c>
      <c r="S751" s="244" t="s">
        <v>408</v>
      </c>
      <c r="T751" s="235" t="s">
        <v>844</v>
      </c>
      <c r="U751" s="236">
        <v>1</v>
      </c>
      <c r="V751" s="237" t="s">
        <v>408</v>
      </c>
      <c r="W751" s="238" t="s">
        <v>408</v>
      </c>
      <c r="X751" s="239" t="s">
        <v>408</v>
      </c>
    </row>
    <row r="752" spans="1:24" ht="20.100000000000001" customHeight="1" x14ac:dyDescent="0.25">
      <c r="A752" s="436"/>
      <c r="B752" s="437"/>
      <c r="D752" s="437"/>
      <c r="F752" s="437"/>
      <c r="Q752" s="232" t="s">
        <v>408</v>
      </c>
      <c r="R752" s="238" t="s">
        <v>408</v>
      </c>
      <c r="S752" s="244" t="s">
        <v>408</v>
      </c>
      <c r="T752" s="235" t="s">
        <v>845</v>
      </c>
      <c r="U752" s="236">
        <v>1</v>
      </c>
      <c r="V752" s="237" t="s">
        <v>408</v>
      </c>
      <c r="W752" s="238" t="s">
        <v>408</v>
      </c>
      <c r="X752" s="239" t="s">
        <v>408</v>
      </c>
    </row>
    <row r="753" spans="1:24" ht="20.100000000000001" customHeight="1" x14ac:dyDescent="0.25">
      <c r="A753" s="436"/>
      <c r="B753" s="437"/>
      <c r="D753" s="437"/>
      <c r="F753" s="437"/>
      <c r="Q753" s="232" t="s">
        <v>408</v>
      </c>
      <c r="R753" s="238" t="s">
        <v>408</v>
      </c>
      <c r="S753" s="244" t="s">
        <v>408</v>
      </c>
      <c r="T753" s="235" t="s">
        <v>846</v>
      </c>
      <c r="U753" s="236" t="s">
        <v>408</v>
      </c>
      <c r="V753" s="237" t="s">
        <v>408</v>
      </c>
      <c r="W753" s="238" t="s">
        <v>408</v>
      </c>
      <c r="X753" s="239" t="s">
        <v>408</v>
      </c>
    </row>
    <row r="754" spans="1:24" ht="20.100000000000001" customHeight="1" x14ac:dyDescent="0.25">
      <c r="A754" s="436"/>
      <c r="B754" s="437"/>
      <c r="D754" s="437"/>
      <c r="F754" s="437"/>
      <c r="Q754" s="247" t="s">
        <v>408</v>
      </c>
      <c r="R754" s="248" t="s">
        <v>408</v>
      </c>
      <c r="S754" s="249" t="s">
        <v>408</v>
      </c>
      <c r="T754" s="266" t="s">
        <v>408</v>
      </c>
      <c r="U754" s="251" t="s">
        <v>408</v>
      </c>
      <c r="V754" s="252" t="s">
        <v>408</v>
      </c>
      <c r="W754" s="248" t="s">
        <v>408</v>
      </c>
      <c r="X754" s="253" t="s">
        <v>408</v>
      </c>
    </row>
    <row r="755" spans="1:24" ht="20.100000000000001" customHeight="1" x14ac:dyDescent="0.25">
      <c r="A755" s="436"/>
      <c r="B755" s="437"/>
      <c r="D755" s="437"/>
      <c r="F755" s="437"/>
      <c r="Q755" s="224" t="s">
        <v>1383</v>
      </c>
      <c r="R755" s="225"/>
      <c r="S755" s="261" t="s">
        <v>1384</v>
      </c>
      <c r="T755" s="227" t="s">
        <v>746</v>
      </c>
      <c r="U755" s="228" t="s">
        <v>408</v>
      </c>
      <c r="V755" s="229" t="s">
        <v>747</v>
      </c>
      <c r="W755" s="230">
        <v>5</v>
      </c>
      <c r="X755" s="231" t="s">
        <v>869</v>
      </c>
    </row>
    <row r="756" spans="1:24" ht="20.100000000000001" customHeight="1" x14ac:dyDescent="0.25">
      <c r="A756" s="436"/>
      <c r="B756" s="437"/>
      <c r="D756" s="437"/>
      <c r="F756" s="437"/>
      <c r="Q756" s="232" t="s">
        <v>408</v>
      </c>
      <c r="R756" s="225" t="s">
        <v>408</v>
      </c>
      <c r="S756" s="262" t="s">
        <v>408</v>
      </c>
      <c r="T756" s="235" t="s">
        <v>750</v>
      </c>
      <c r="U756" s="236" t="s">
        <v>408</v>
      </c>
      <c r="V756" s="237" t="s">
        <v>751</v>
      </c>
      <c r="W756" s="238" t="s">
        <v>408</v>
      </c>
      <c r="X756" s="239" t="s">
        <v>1269</v>
      </c>
    </row>
    <row r="757" spans="1:24" ht="20.100000000000001" customHeight="1" x14ac:dyDescent="0.25">
      <c r="A757" s="436"/>
      <c r="B757" s="437"/>
      <c r="D757" s="437"/>
      <c r="F757" s="437"/>
      <c r="Q757" s="232" t="s">
        <v>408</v>
      </c>
      <c r="R757" s="230" t="s">
        <v>1385</v>
      </c>
      <c r="S757" s="263" t="s">
        <v>1386</v>
      </c>
      <c r="T757" s="235" t="s">
        <v>754</v>
      </c>
      <c r="U757" s="236" t="s">
        <v>408</v>
      </c>
      <c r="V757" s="237" t="s">
        <v>896</v>
      </c>
      <c r="W757" s="238" t="s">
        <v>408</v>
      </c>
      <c r="X757" s="239" t="s">
        <v>408</v>
      </c>
    </row>
    <row r="758" spans="1:24" ht="20.100000000000001" customHeight="1" x14ac:dyDescent="0.25">
      <c r="A758" s="436"/>
      <c r="B758" s="437"/>
      <c r="D758" s="437"/>
      <c r="F758" s="437"/>
      <c r="Q758" s="232" t="s">
        <v>408</v>
      </c>
      <c r="R758" s="238" t="s">
        <v>715</v>
      </c>
      <c r="S758" s="244" t="s">
        <v>1387</v>
      </c>
      <c r="T758" s="235" t="s">
        <v>758</v>
      </c>
      <c r="U758" s="236">
        <v>2</v>
      </c>
      <c r="V758" s="237" t="s">
        <v>771</v>
      </c>
      <c r="W758" s="238" t="s">
        <v>408</v>
      </c>
      <c r="X758" s="239" t="s">
        <v>408</v>
      </c>
    </row>
    <row r="759" spans="1:24" ht="20.100000000000001" customHeight="1" x14ac:dyDescent="0.25">
      <c r="A759" s="436"/>
      <c r="B759" s="437"/>
      <c r="D759" s="437"/>
      <c r="F759" s="437"/>
      <c r="Q759" s="232" t="s">
        <v>408</v>
      </c>
      <c r="R759" s="238" t="s">
        <v>408</v>
      </c>
      <c r="S759" s="244" t="s">
        <v>1388</v>
      </c>
      <c r="T759" s="235" t="s">
        <v>762</v>
      </c>
      <c r="U759" s="236">
        <v>1</v>
      </c>
      <c r="V759" s="237" t="s">
        <v>767</v>
      </c>
      <c r="W759" s="238" t="s">
        <v>408</v>
      </c>
      <c r="X759" s="239" t="s">
        <v>408</v>
      </c>
    </row>
    <row r="760" spans="1:24" ht="20.100000000000001" customHeight="1" x14ac:dyDescent="0.25">
      <c r="A760" s="436"/>
      <c r="B760" s="437"/>
      <c r="D760" s="437"/>
      <c r="F760" s="437"/>
      <c r="Q760" s="232" t="s">
        <v>408</v>
      </c>
      <c r="R760" s="238" t="s">
        <v>621</v>
      </c>
      <c r="S760" s="244" t="s">
        <v>973</v>
      </c>
      <c r="T760" s="235" t="s">
        <v>766</v>
      </c>
      <c r="U760" s="236">
        <v>1</v>
      </c>
      <c r="V760" s="237"/>
      <c r="W760" s="238" t="s">
        <v>408</v>
      </c>
      <c r="X760" s="239" t="s">
        <v>408</v>
      </c>
    </row>
    <row r="761" spans="1:24" ht="20.100000000000001" customHeight="1" x14ac:dyDescent="0.25">
      <c r="A761" s="436"/>
      <c r="B761" s="437"/>
      <c r="D761" s="437"/>
      <c r="F761" s="437"/>
      <c r="Q761" s="232" t="s">
        <v>408</v>
      </c>
      <c r="R761" s="238" t="s">
        <v>717</v>
      </c>
      <c r="S761" s="244" t="s">
        <v>1389</v>
      </c>
      <c r="T761" s="235" t="s">
        <v>784</v>
      </c>
      <c r="U761" s="236">
        <v>1</v>
      </c>
      <c r="V761" s="237" t="s">
        <v>813</v>
      </c>
      <c r="W761" s="238" t="s">
        <v>408</v>
      </c>
      <c r="X761" s="239" t="s">
        <v>408</v>
      </c>
    </row>
    <row r="762" spans="1:24" ht="20.100000000000001" customHeight="1" x14ac:dyDescent="0.25">
      <c r="A762" s="436"/>
      <c r="B762" s="437"/>
      <c r="D762" s="437"/>
      <c r="F762" s="437"/>
      <c r="Q762" s="232" t="s">
        <v>408</v>
      </c>
      <c r="R762" s="238" t="s">
        <v>408</v>
      </c>
      <c r="S762" s="244" t="s">
        <v>1390</v>
      </c>
      <c r="T762" s="235" t="s">
        <v>787</v>
      </c>
      <c r="U762" s="236">
        <v>1</v>
      </c>
      <c r="V762" s="237" t="s">
        <v>751</v>
      </c>
      <c r="W762" s="238" t="s">
        <v>408</v>
      </c>
      <c r="X762" s="239" t="s">
        <v>408</v>
      </c>
    </row>
    <row r="763" spans="1:24" ht="20.100000000000001" customHeight="1" x14ac:dyDescent="0.25">
      <c r="A763" s="436"/>
      <c r="B763" s="437"/>
      <c r="D763" s="437"/>
      <c r="F763" s="437"/>
      <c r="Q763" s="232" t="s">
        <v>408</v>
      </c>
      <c r="R763" s="238" t="s">
        <v>408</v>
      </c>
      <c r="S763" s="244" t="s">
        <v>408</v>
      </c>
      <c r="T763" s="235" t="s">
        <v>793</v>
      </c>
      <c r="U763" s="236">
        <v>2</v>
      </c>
      <c r="V763" s="237" t="s">
        <v>1391</v>
      </c>
      <c r="W763" s="238" t="s">
        <v>408</v>
      </c>
      <c r="X763" s="239" t="s">
        <v>408</v>
      </c>
    </row>
    <row r="764" spans="1:24" ht="20.100000000000001" customHeight="1" x14ac:dyDescent="0.25">
      <c r="A764" s="436"/>
      <c r="B764" s="437"/>
      <c r="D764" s="437"/>
      <c r="F764" s="437"/>
      <c r="Q764" s="232" t="s">
        <v>408</v>
      </c>
      <c r="R764" s="238" t="s">
        <v>408</v>
      </c>
      <c r="S764" s="244" t="s">
        <v>408</v>
      </c>
      <c r="T764" s="235" t="s">
        <v>1392</v>
      </c>
      <c r="U764" s="236">
        <v>1</v>
      </c>
      <c r="V764" s="237" t="s">
        <v>1393</v>
      </c>
      <c r="W764" s="238" t="s">
        <v>408</v>
      </c>
      <c r="X764" s="239" t="s">
        <v>408</v>
      </c>
    </row>
    <row r="765" spans="1:24" ht="20.100000000000001" customHeight="1" x14ac:dyDescent="0.25">
      <c r="A765" s="436"/>
      <c r="B765" s="437"/>
      <c r="D765" s="437"/>
      <c r="F765" s="437"/>
      <c r="Q765" s="232" t="s">
        <v>408</v>
      </c>
      <c r="R765" s="238" t="s">
        <v>408</v>
      </c>
      <c r="S765" s="244" t="s">
        <v>408</v>
      </c>
      <c r="T765" s="235" t="s">
        <v>1394</v>
      </c>
      <c r="U765" s="236" t="s">
        <v>408</v>
      </c>
      <c r="V765" s="237" t="s">
        <v>1395</v>
      </c>
      <c r="W765" s="238" t="s">
        <v>408</v>
      </c>
      <c r="X765" s="239" t="s">
        <v>408</v>
      </c>
    </row>
    <row r="766" spans="1:24" ht="20.100000000000001" customHeight="1" x14ac:dyDescent="0.25">
      <c r="A766" s="436"/>
      <c r="B766" s="437"/>
      <c r="D766" s="437"/>
      <c r="F766" s="437"/>
      <c r="Q766" s="232" t="s">
        <v>408</v>
      </c>
      <c r="R766" s="238" t="s">
        <v>408</v>
      </c>
      <c r="S766" s="244" t="s">
        <v>408</v>
      </c>
      <c r="T766" s="235" t="s">
        <v>1396</v>
      </c>
      <c r="U766" s="236" t="s">
        <v>408</v>
      </c>
      <c r="V766" s="237" t="s">
        <v>1397</v>
      </c>
      <c r="W766" s="238" t="s">
        <v>408</v>
      </c>
      <c r="X766" s="239" t="s">
        <v>408</v>
      </c>
    </row>
    <row r="767" spans="1:24" ht="20.100000000000001" customHeight="1" x14ac:dyDescent="0.25">
      <c r="A767" s="436"/>
      <c r="B767" s="437"/>
      <c r="D767" s="437"/>
      <c r="F767" s="437"/>
      <c r="Q767" s="232" t="s">
        <v>408</v>
      </c>
      <c r="R767" s="238" t="s">
        <v>408</v>
      </c>
      <c r="S767" s="244" t="s">
        <v>408</v>
      </c>
      <c r="T767" s="235" t="s">
        <v>812</v>
      </c>
      <c r="U767" s="236" t="s">
        <v>408</v>
      </c>
      <c r="V767" s="237" t="s">
        <v>1398</v>
      </c>
      <c r="W767" s="238" t="s">
        <v>408</v>
      </c>
      <c r="X767" s="239" t="s">
        <v>408</v>
      </c>
    </row>
    <row r="768" spans="1:24" ht="20.100000000000001" customHeight="1" x14ac:dyDescent="0.25">
      <c r="A768" s="436"/>
      <c r="B768" s="437"/>
      <c r="D768" s="437"/>
      <c r="F768" s="437"/>
      <c r="Q768" s="232" t="s">
        <v>408</v>
      </c>
      <c r="R768" s="238" t="s">
        <v>408</v>
      </c>
      <c r="S768" s="244" t="s">
        <v>408</v>
      </c>
      <c r="T768" s="235" t="s">
        <v>852</v>
      </c>
      <c r="U768" s="236">
        <v>1</v>
      </c>
      <c r="V768" s="237" t="s">
        <v>1399</v>
      </c>
      <c r="W768" s="238" t="s">
        <v>408</v>
      </c>
      <c r="X768" s="239" t="s">
        <v>408</v>
      </c>
    </row>
    <row r="769" spans="1:24" ht="20.100000000000001" customHeight="1" x14ac:dyDescent="0.25">
      <c r="A769" s="436"/>
      <c r="B769" s="437"/>
      <c r="D769" s="437"/>
      <c r="F769" s="437"/>
      <c r="Q769" s="232" t="s">
        <v>408</v>
      </c>
      <c r="R769" s="238" t="s">
        <v>408</v>
      </c>
      <c r="S769" s="244" t="s">
        <v>408</v>
      </c>
      <c r="T769" s="235" t="s">
        <v>816</v>
      </c>
      <c r="U769" s="236">
        <v>1</v>
      </c>
      <c r="V769" s="237" t="s">
        <v>1395</v>
      </c>
      <c r="W769" s="238" t="s">
        <v>408</v>
      </c>
      <c r="X769" s="239" t="s">
        <v>408</v>
      </c>
    </row>
    <row r="770" spans="1:24" ht="20.100000000000001" customHeight="1" x14ac:dyDescent="0.25">
      <c r="A770" s="436"/>
      <c r="B770" s="437"/>
      <c r="D770" s="437"/>
      <c r="F770" s="437"/>
      <c r="Q770" s="232" t="s">
        <v>408</v>
      </c>
      <c r="R770" s="238" t="s">
        <v>408</v>
      </c>
      <c r="S770" s="244" t="s">
        <v>408</v>
      </c>
      <c r="T770" s="235" t="s">
        <v>818</v>
      </c>
      <c r="U770" s="236">
        <v>1</v>
      </c>
      <c r="V770" s="237" t="s">
        <v>408</v>
      </c>
      <c r="W770" s="238" t="s">
        <v>408</v>
      </c>
      <c r="X770" s="239" t="s">
        <v>408</v>
      </c>
    </row>
    <row r="771" spans="1:24" ht="20.100000000000001" customHeight="1" x14ac:dyDescent="0.25">
      <c r="A771" s="436"/>
      <c r="B771" s="437"/>
      <c r="D771" s="437"/>
      <c r="F771" s="437"/>
      <c r="Q771" s="232" t="s">
        <v>408</v>
      </c>
      <c r="R771" s="238" t="s">
        <v>408</v>
      </c>
      <c r="S771" s="244" t="s">
        <v>408</v>
      </c>
      <c r="T771" s="235" t="s">
        <v>408</v>
      </c>
      <c r="U771" s="236" t="s">
        <v>408</v>
      </c>
      <c r="V771" s="237" t="s">
        <v>408</v>
      </c>
      <c r="W771" s="238" t="s">
        <v>408</v>
      </c>
      <c r="X771" s="239" t="s">
        <v>408</v>
      </c>
    </row>
    <row r="772" spans="1:24" ht="20.100000000000001" customHeight="1" x14ac:dyDescent="0.25">
      <c r="A772" s="436"/>
      <c r="B772" s="437"/>
      <c r="D772" s="437"/>
      <c r="F772" s="437"/>
      <c r="Q772" s="232" t="s">
        <v>408</v>
      </c>
      <c r="R772" s="238" t="s">
        <v>408</v>
      </c>
      <c r="S772" s="244" t="s">
        <v>408</v>
      </c>
      <c r="T772" s="235" t="s">
        <v>825</v>
      </c>
      <c r="U772" s="236" t="s">
        <v>408</v>
      </c>
      <c r="V772" s="237" t="s">
        <v>408</v>
      </c>
      <c r="W772" s="238" t="s">
        <v>408</v>
      </c>
      <c r="X772" s="239" t="s">
        <v>408</v>
      </c>
    </row>
    <row r="773" spans="1:24" ht="20.100000000000001" customHeight="1" x14ac:dyDescent="0.25">
      <c r="A773" s="436"/>
      <c r="B773" s="437"/>
      <c r="D773" s="437"/>
      <c r="F773" s="437"/>
      <c r="Q773" s="232" t="s">
        <v>408</v>
      </c>
      <c r="R773" s="238" t="s">
        <v>408</v>
      </c>
      <c r="S773" s="244" t="s">
        <v>408</v>
      </c>
      <c r="T773" s="235" t="s">
        <v>750</v>
      </c>
      <c r="U773" s="236" t="s">
        <v>408</v>
      </c>
      <c r="V773" s="237" t="s">
        <v>408</v>
      </c>
      <c r="W773" s="238" t="s">
        <v>408</v>
      </c>
      <c r="X773" s="239" t="s">
        <v>408</v>
      </c>
    </row>
    <row r="774" spans="1:24" ht="20.100000000000001" customHeight="1" x14ac:dyDescent="0.25">
      <c r="A774" s="436"/>
      <c r="B774" s="437"/>
      <c r="D774" s="437"/>
      <c r="F774" s="437"/>
      <c r="Q774" s="232" t="s">
        <v>408</v>
      </c>
      <c r="R774" s="238" t="s">
        <v>408</v>
      </c>
      <c r="S774" s="244" t="s">
        <v>408</v>
      </c>
      <c r="T774" s="235" t="s">
        <v>754</v>
      </c>
      <c r="U774" s="236" t="s">
        <v>408</v>
      </c>
      <c r="V774" s="237" t="s">
        <v>408</v>
      </c>
      <c r="W774" s="238" t="s">
        <v>408</v>
      </c>
      <c r="X774" s="239" t="s">
        <v>408</v>
      </c>
    </row>
    <row r="775" spans="1:24" ht="20.100000000000001" customHeight="1" x14ac:dyDescent="0.25">
      <c r="A775" s="436"/>
      <c r="B775" s="437"/>
      <c r="D775" s="437"/>
      <c r="F775" s="437"/>
      <c r="Q775" s="232" t="s">
        <v>408</v>
      </c>
      <c r="R775" s="238" t="s">
        <v>408</v>
      </c>
      <c r="S775" s="244" t="s">
        <v>408</v>
      </c>
      <c r="T775" s="235" t="s">
        <v>826</v>
      </c>
      <c r="U775" s="236">
        <v>1</v>
      </c>
      <c r="V775" s="237" t="s">
        <v>408</v>
      </c>
      <c r="W775" s="238" t="s">
        <v>408</v>
      </c>
      <c r="X775" s="239" t="s">
        <v>408</v>
      </c>
    </row>
    <row r="776" spans="1:24" ht="20.100000000000001" customHeight="1" x14ac:dyDescent="0.25">
      <c r="A776" s="436"/>
      <c r="B776" s="437"/>
      <c r="D776" s="437"/>
      <c r="F776" s="437"/>
      <c r="Q776" s="232" t="s">
        <v>408</v>
      </c>
      <c r="R776" s="238" t="s">
        <v>408</v>
      </c>
      <c r="S776" s="244" t="s">
        <v>408</v>
      </c>
      <c r="T776" s="235" t="s">
        <v>832</v>
      </c>
      <c r="U776" s="236">
        <v>1</v>
      </c>
      <c r="V776" s="237" t="s">
        <v>408</v>
      </c>
      <c r="W776" s="238" t="s">
        <v>408</v>
      </c>
      <c r="X776" s="239" t="s">
        <v>408</v>
      </c>
    </row>
    <row r="777" spans="1:24" ht="20.100000000000001" customHeight="1" x14ac:dyDescent="0.25">
      <c r="A777" s="436"/>
      <c r="B777" s="437"/>
      <c r="D777" s="437"/>
      <c r="F777" s="437"/>
      <c r="Q777" s="232" t="s">
        <v>408</v>
      </c>
      <c r="R777" s="238" t="s">
        <v>408</v>
      </c>
      <c r="S777" s="244" t="s">
        <v>408</v>
      </c>
      <c r="T777" s="235" t="s">
        <v>833</v>
      </c>
      <c r="U777" s="236" t="s">
        <v>408</v>
      </c>
      <c r="V777" s="237" t="s">
        <v>408</v>
      </c>
      <c r="W777" s="238" t="s">
        <v>408</v>
      </c>
      <c r="X777" s="239" t="s">
        <v>408</v>
      </c>
    </row>
    <row r="778" spans="1:24" ht="20.100000000000001" customHeight="1" x14ac:dyDescent="0.25">
      <c r="A778" s="436"/>
      <c r="B778" s="437"/>
      <c r="D778" s="437"/>
      <c r="F778" s="437"/>
      <c r="Q778" s="232" t="s">
        <v>408</v>
      </c>
      <c r="R778" s="238" t="s">
        <v>408</v>
      </c>
      <c r="S778" s="244" t="s">
        <v>408</v>
      </c>
      <c r="T778" s="235" t="s">
        <v>904</v>
      </c>
      <c r="U778" s="236">
        <v>1</v>
      </c>
      <c r="V778" s="237" t="s">
        <v>408</v>
      </c>
      <c r="W778" s="238" t="s">
        <v>408</v>
      </c>
      <c r="X778" s="239" t="s">
        <v>408</v>
      </c>
    </row>
    <row r="779" spans="1:24" ht="20.100000000000001" customHeight="1" x14ac:dyDescent="0.25">
      <c r="A779" s="436"/>
      <c r="B779" s="437"/>
      <c r="D779" s="437"/>
      <c r="F779" s="437"/>
      <c r="Q779" s="232" t="s">
        <v>408</v>
      </c>
      <c r="R779" s="238" t="s">
        <v>408</v>
      </c>
      <c r="S779" s="244" t="s">
        <v>408</v>
      </c>
      <c r="T779" s="235" t="s">
        <v>939</v>
      </c>
      <c r="U779" s="236">
        <v>1</v>
      </c>
      <c r="V779" s="237" t="s">
        <v>408</v>
      </c>
      <c r="W779" s="238" t="s">
        <v>408</v>
      </c>
      <c r="X779" s="239" t="s">
        <v>408</v>
      </c>
    </row>
    <row r="780" spans="1:24" ht="20.100000000000001" customHeight="1" x14ac:dyDescent="0.25">
      <c r="A780" s="436"/>
      <c r="B780" s="437"/>
      <c r="D780" s="437"/>
      <c r="F780" s="437"/>
      <c r="Q780" s="232" t="s">
        <v>408</v>
      </c>
      <c r="R780" s="238" t="s">
        <v>408</v>
      </c>
      <c r="S780" s="244" t="s">
        <v>408</v>
      </c>
      <c r="T780" s="235" t="s">
        <v>831</v>
      </c>
      <c r="U780" s="236" t="s">
        <v>408</v>
      </c>
      <c r="V780" s="237" t="s">
        <v>408</v>
      </c>
      <c r="W780" s="238" t="s">
        <v>408</v>
      </c>
      <c r="X780" s="239" t="s">
        <v>408</v>
      </c>
    </row>
    <row r="781" spans="1:24" ht="20.100000000000001" customHeight="1" x14ac:dyDescent="0.25">
      <c r="A781" s="436"/>
      <c r="B781" s="437"/>
      <c r="D781" s="437"/>
      <c r="F781" s="437"/>
      <c r="Q781" s="232" t="s">
        <v>408</v>
      </c>
      <c r="R781" s="238" t="s">
        <v>408</v>
      </c>
      <c r="S781" s="244" t="s">
        <v>408</v>
      </c>
      <c r="T781" s="235" t="s">
        <v>862</v>
      </c>
      <c r="U781" s="236">
        <v>1</v>
      </c>
      <c r="V781" s="237" t="s">
        <v>408</v>
      </c>
      <c r="W781" s="238" t="s">
        <v>408</v>
      </c>
      <c r="X781" s="239" t="s">
        <v>408</v>
      </c>
    </row>
    <row r="782" spans="1:24" ht="20.100000000000001" customHeight="1" x14ac:dyDescent="0.25">
      <c r="A782" s="436"/>
      <c r="B782" s="437"/>
      <c r="D782" s="437"/>
      <c r="F782" s="437"/>
      <c r="Q782" s="232" t="s">
        <v>408</v>
      </c>
      <c r="R782" s="238" t="s">
        <v>408</v>
      </c>
      <c r="S782" s="244" t="s">
        <v>408</v>
      </c>
      <c r="T782" s="235" t="s">
        <v>831</v>
      </c>
      <c r="U782" s="236" t="s">
        <v>408</v>
      </c>
      <c r="V782" s="237" t="s">
        <v>408</v>
      </c>
      <c r="W782" s="238" t="s">
        <v>408</v>
      </c>
      <c r="X782" s="239" t="s">
        <v>408</v>
      </c>
    </row>
    <row r="783" spans="1:24" ht="20.100000000000001" customHeight="1" x14ac:dyDescent="0.25">
      <c r="A783" s="436"/>
      <c r="B783" s="437"/>
      <c r="D783" s="437"/>
      <c r="F783" s="437"/>
      <c r="Q783" s="232" t="s">
        <v>408</v>
      </c>
      <c r="R783" s="238" t="s">
        <v>408</v>
      </c>
      <c r="S783" s="244" t="s">
        <v>408</v>
      </c>
      <c r="T783" s="235" t="s">
        <v>408</v>
      </c>
      <c r="U783" s="236" t="s">
        <v>408</v>
      </c>
      <c r="V783" s="237" t="s">
        <v>408</v>
      </c>
      <c r="W783" s="238" t="s">
        <v>408</v>
      </c>
      <c r="X783" s="239" t="s">
        <v>408</v>
      </c>
    </row>
    <row r="784" spans="1:24" ht="20.100000000000001" customHeight="1" x14ac:dyDescent="0.25">
      <c r="A784" s="436"/>
      <c r="B784" s="437"/>
      <c r="D784" s="437"/>
      <c r="F784" s="437"/>
      <c r="Q784" s="232" t="s">
        <v>408</v>
      </c>
      <c r="R784" s="238" t="s">
        <v>408</v>
      </c>
      <c r="S784" s="244" t="s">
        <v>408</v>
      </c>
      <c r="T784" s="235" t="s">
        <v>840</v>
      </c>
      <c r="U784" s="236" t="s">
        <v>408</v>
      </c>
      <c r="V784" s="237" t="s">
        <v>408</v>
      </c>
      <c r="W784" s="238" t="s">
        <v>408</v>
      </c>
      <c r="X784" s="239" t="s">
        <v>408</v>
      </c>
    </row>
    <row r="785" spans="1:24" ht="20.100000000000001" customHeight="1" x14ac:dyDescent="0.25">
      <c r="A785" s="436"/>
      <c r="B785" s="437"/>
      <c r="D785" s="437"/>
      <c r="F785" s="437"/>
      <c r="Q785" s="232" t="s">
        <v>408</v>
      </c>
      <c r="R785" s="238" t="s">
        <v>408</v>
      </c>
      <c r="S785" s="244" t="s">
        <v>408</v>
      </c>
      <c r="T785" s="235" t="s">
        <v>841</v>
      </c>
      <c r="U785" s="236" t="s">
        <v>408</v>
      </c>
      <c r="V785" s="237" t="s">
        <v>408</v>
      </c>
      <c r="W785" s="238" t="s">
        <v>408</v>
      </c>
      <c r="X785" s="239" t="s">
        <v>408</v>
      </c>
    </row>
    <row r="786" spans="1:24" ht="20.100000000000001" customHeight="1" x14ac:dyDescent="0.25">
      <c r="A786" s="436"/>
      <c r="B786" s="437"/>
      <c r="D786" s="437"/>
      <c r="F786" s="437"/>
      <c r="Q786" s="232" t="s">
        <v>408</v>
      </c>
      <c r="R786" s="238" t="s">
        <v>408</v>
      </c>
      <c r="S786" s="244" t="s">
        <v>408</v>
      </c>
      <c r="T786" s="235" t="s">
        <v>794</v>
      </c>
      <c r="U786" s="236" t="s">
        <v>408</v>
      </c>
      <c r="V786" s="237" t="s">
        <v>408</v>
      </c>
      <c r="W786" s="238" t="s">
        <v>408</v>
      </c>
      <c r="X786" s="239" t="s">
        <v>408</v>
      </c>
    </row>
    <row r="787" spans="1:24" ht="20.100000000000001" customHeight="1" x14ac:dyDescent="0.25">
      <c r="A787" s="436"/>
      <c r="B787" s="437"/>
      <c r="D787" s="437"/>
      <c r="F787" s="437"/>
      <c r="Q787" s="232" t="s">
        <v>408</v>
      </c>
      <c r="R787" s="238" t="s">
        <v>408</v>
      </c>
      <c r="S787" s="244" t="s">
        <v>408</v>
      </c>
      <c r="T787" s="235" t="s">
        <v>943</v>
      </c>
      <c r="U787" s="236">
        <v>1</v>
      </c>
      <c r="V787" s="237" t="s">
        <v>408</v>
      </c>
      <c r="W787" s="238" t="s">
        <v>408</v>
      </c>
      <c r="X787" s="239" t="s">
        <v>408</v>
      </c>
    </row>
    <row r="788" spans="1:24" ht="20.100000000000001" customHeight="1" thickBot="1" x14ac:dyDescent="0.3">
      <c r="A788" s="436"/>
      <c r="B788" s="437"/>
      <c r="D788" s="437"/>
      <c r="F788" s="437"/>
      <c r="Q788" s="276" t="s">
        <v>408</v>
      </c>
      <c r="R788" s="277" t="s">
        <v>408</v>
      </c>
      <c r="S788" s="278" t="s">
        <v>408</v>
      </c>
      <c r="T788" s="279" t="s">
        <v>408</v>
      </c>
      <c r="U788" s="280" t="s">
        <v>408</v>
      </c>
      <c r="V788" s="281" t="s">
        <v>408</v>
      </c>
      <c r="W788" s="277" t="s">
        <v>408</v>
      </c>
      <c r="X788" s="282" t="s">
        <v>408</v>
      </c>
    </row>
    <row r="789" spans="1:24" ht="20.100000000000001" customHeight="1" x14ac:dyDescent="0.25">
      <c r="A789" s="436"/>
      <c r="B789" s="437"/>
      <c r="D789" s="437"/>
      <c r="F789" s="437"/>
      <c r="Q789" s="283"/>
      <c r="R789" s="283"/>
      <c r="S789" s="283"/>
      <c r="T789" s="283"/>
      <c r="U789" s="283"/>
      <c r="V789" s="283"/>
      <c r="W789" s="283"/>
      <c r="X789" s="283"/>
    </row>
  </sheetData>
  <sheetProtection formatCells="0"/>
  <mergeCells count="49">
    <mergeCell ref="AH1:AN1"/>
    <mergeCell ref="F38:O38"/>
    <mergeCell ref="F37:O37"/>
    <mergeCell ref="F16:O16"/>
    <mergeCell ref="F17:O17"/>
    <mergeCell ref="F18:O18"/>
    <mergeCell ref="F19:O19"/>
    <mergeCell ref="F20:O20"/>
    <mergeCell ref="F21:O21"/>
    <mergeCell ref="F12:O12"/>
    <mergeCell ref="Q2:X2"/>
    <mergeCell ref="F24:O24"/>
    <mergeCell ref="F25:O25"/>
    <mergeCell ref="F26:O26"/>
    <mergeCell ref="F31:O31"/>
    <mergeCell ref="F36:O36"/>
    <mergeCell ref="F8:O8"/>
    <mergeCell ref="F13:O13"/>
    <mergeCell ref="F14:O14"/>
    <mergeCell ref="F15:O15"/>
    <mergeCell ref="F22:O22"/>
    <mergeCell ref="F9:O9"/>
    <mergeCell ref="F10:O10"/>
    <mergeCell ref="F11:O11"/>
    <mergeCell ref="F3:O3"/>
    <mergeCell ref="F4:O4"/>
    <mergeCell ref="F5:O5"/>
    <mergeCell ref="F6:O6"/>
    <mergeCell ref="F7:O7"/>
    <mergeCell ref="A53:A54"/>
    <mergeCell ref="B53:B54"/>
    <mergeCell ref="A74:A75"/>
    <mergeCell ref="B74:B75"/>
    <mergeCell ref="F40:O40"/>
    <mergeCell ref="A47:A48"/>
    <mergeCell ref="B47:B48"/>
    <mergeCell ref="F35:O35"/>
    <mergeCell ref="F41:O41"/>
    <mergeCell ref="F42:O42"/>
    <mergeCell ref="F43:O43"/>
    <mergeCell ref="F23:O23"/>
    <mergeCell ref="F32:O32"/>
    <mergeCell ref="F39:O39"/>
    <mergeCell ref="F27:O27"/>
    <mergeCell ref="F28:O28"/>
    <mergeCell ref="F29:O29"/>
    <mergeCell ref="F30:O30"/>
    <mergeCell ref="F33:O33"/>
    <mergeCell ref="F34:O34"/>
  </mergeCells>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2"/>
  <dimension ref="A1:L57"/>
  <sheetViews>
    <sheetView view="pageLayout" zoomScale="85" zoomScaleNormal="100" zoomScaleSheetLayoutView="85" zoomScalePageLayoutView="85" workbookViewId="0">
      <selection activeCell="F5" sqref="F5:G5"/>
    </sheetView>
  </sheetViews>
  <sheetFormatPr defaultRowHeight="18.75" x14ac:dyDescent="0.3"/>
  <cols>
    <col min="1" max="1" width="5" style="8" customWidth="1"/>
    <col min="2" max="4" width="9.140625" style="8"/>
    <col min="5" max="5" width="11.5703125" style="8" customWidth="1"/>
    <col min="6" max="6" width="14.42578125" style="8" customWidth="1"/>
    <col min="7" max="8" width="11.140625" style="8" bestFit="1" customWidth="1"/>
    <col min="9" max="10" width="9.140625" style="8"/>
    <col min="11" max="11" width="9.140625" style="8" customWidth="1"/>
    <col min="12" max="12" width="95.85546875" style="474" hidden="1" customWidth="1"/>
    <col min="13" max="16384" width="9.140625" style="8"/>
  </cols>
  <sheetData>
    <row r="1" spans="2:12" ht="37.5" x14ac:dyDescent="0.3">
      <c r="F1" s="402" t="s">
        <v>199</v>
      </c>
      <c r="L1" s="474" t="s">
        <v>2104</v>
      </c>
    </row>
    <row r="2" spans="2:12" ht="37.5" x14ac:dyDescent="0.3">
      <c r="F2" s="20" t="s">
        <v>200</v>
      </c>
      <c r="L2" s="474" t="s">
        <v>2104</v>
      </c>
    </row>
    <row r="4" spans="2:12" ht="37.5" x14ac:dyDescent="0.3">
      <c r="B4" s="99" t="s">
        <v>201</v>
      </c>
      <c r="C4" s="99"/>
      <c r="D4" s="99"/>
      <c r="E4" s="99" t="s">
        <v>2109</v>
      </c>
      <c r="F4" s="99"/>
      <c r="G4" s="99"/>
      <c r="H4" s="99"/>
      <c r="I4" s="99"/>
      <c r="J4" s="99"/>
      <c r="L4" s="474" t="s">
        <v>2104</v>
      </c>
    </row>
    <row r="5" spans="2:12" ht="39" x14ac:dyDescent="0.4">
      <c r="B5" s="99" t="s">
        <v>202</v>
      </c>
      <c r="C5" s="99"/>
      <c r="D5" s="99"/>
      <c r="E5" s="99"/>
      <c r="F5" s="1102">
        <v>41773</v>
      </c>
      <c r="G5" s="1103"/>
      <c r="H5" s="99" t="s">
        <v>1470</v>
      </c>
      <c r="I5" s="99"/>
      <c r="J5" s="99"/>
      <c r="L5" s="474" t="s">
        <v>2104</v>
      </c>
    </row>
    <row r="6" spans="2:12" ht="39" x14ac:dyDescent="0.4">
      <c r="B6" s="99" t="s">
        <v>203</v>
      </c>
      <c r="C6" s="99"/>
      <c r="D6" s="99"/>
      <c r="E6" s="99" t="s">
        <v>236</v>
      </c>
      <c r="F6" s="1107" t="str">
        <f>Лечащий_врач</f>
        <v>Еременко А. Н.</v>
      </c>
      <c r="G6" s="1103"/>
      <c r="H6" s="99" t="s">
        <v>1470</v>
      </c>
      <c r="I6" s="99"/>
      <c r="J6" s="99"/>
      <c r="L6" s="474" t="s">
        <v>2104</v>
      </c>
    </row>
    <row r="7" spans="2:12" ht="26.25" x14ac:dyDescent="0.4">
      <c r="B7" s="99" t="s">
        <v>204</v>
      </c>
      <c r="C7" s="99"/>
      <c r="D7" s="99"/>
      <c r="E7" s="288" t="s">
        <v>235</v>
      </c>
      <c r="F7" s="157"/>
      <c r="G7" s="157"/>
      <c r="I7" s="99" t="s">
        <v>1466</v>
      </c>
      <c r="J7" s="99"/>
    </row>
    <row r="8" spans="2:12" x14ac:dyDescent="0.3">
      <c r="B8" s="99" t="s">
        <v>205</v>
      </c>
      <c r="C8" s="99"/>
      <c r="D8" s="99"/>
      <c r="E8" s="99"/>
      <c r="F8" s="99"/>
      <c r="G8" s="99"/>
      <c r="H8" s="99"/>
      <c r="I8" s="99"/>
      <c r="J8" s="99"/>
    </row>
    <row r="9" spans="2:12" ht="39" x14ac:dyDescent="0.4">
      <c r="B9" s="99" t="s">
        <v>206</v>
      </c>
      <c r="C9" s="99"/>
      <c r="D9" s="99"/>
      <c r="E9" s="1106" t="str">
        <f>ФИО</f>
        <v>Иванова Е.П.</v>
      </c>
      <c r="F9" s="1106"/>
      <c r="G9" s="1106"/>
      <c r="H9" s="1106"/>
      <c r="I9" s="986"/>
      <c r="J9" s="986"/>
      <c r="L9" s="474" t="s">
        <v>2104</v>
      </c>
    </row>
    <row r="10" spans="2:12" ht="37.5" x14ac:dyDescent="0.3">
      <c r="B10" s="21" t="s">
        <v>207</v>
      </c>
      <c r="C10" s="99"/>
      <c r="D10" s="99"/>
      <c r="E10" s="99"/>
      <c r="F10" s="99"/>
      <c r="G10" s="99"/>
      <c r="H10" s="99"/>
      <c r="I10" s="99"/>
      <c r="J10" s="99"/>
      <c r="L10" s="474" t="s">
        <v>2104</v>
      </c>
    </row>
    <row r="11" spans="2:12" ht="26.25" x14ac:dyDescent="0.4">
      <c r="B11" s="99" t="s">
        <v>237</v>
      </c>
      <c r="C11" s="1106">
        <f>№_и_б</f>
        <v>21949</v>
      </c>
      <c r="D11" s="986"/>
      <c r="E11" s="99" t="s">
        <v>2108</v>
      </c>
      <c r="F11" s="99"/>
      <c r="G11" s="99"/>
      <c r="H11" s="99"/>
      <c r="I11" s="99"/>
      <c r="J11" s="99"/>
    </row>
    <row r="12" spans="2:12" ht="26.25" x14ac:dyDescent="0.4">
      <c r="B12" s="99" t="s">
        <v>208</v>
      </c>
      <c r="C12" s="99"/>
      <c r="D12" s="99"/>
      <c r="E12" s="99"/>
      <c r="F12" s="1104" t="e">
        <f>дата_рождения</f>
        <v>#REF!</v>
      </c>
      <c r="G12" s="986"/>
      <c r="H12" s="285" t="s">
        <v>2107</v>
      </c>
      <c r="I12" s="99"/>
      <c r="J12" s="99"/>
    </row>
    <row r="13" spans="2:12" ht="37.5" x14ac:dyDescent="0.3">
      <c r="B13" s="99" t="s">
        <v>414</v>
      </c>
      <c r="C13" s="99" t="str">
        <f>IF(ПОЛ=1, "____М", "____Ж")</f>
        <v>____М</v>
      </c>
      <c r="D13" s="99"/>
      <c r="E13" s="99"/>
      <c r="F13" s="99"/>
      <c r="G13" s="99"/>
      <c r="H13" s="99"/>
      <c r="I13" s="99"/>
      <c r="J13" s="99"/>
      <c r="L13" s="474" t="s">
        <v>2104</v>
      </c>
    </row>
    <row r="14" spans="2:12" ht="37.5" x14ac:dyDescent="0.3">
      <c r="B14" s="99" t="s">
        <v>209</v>
      </c>
      <c r="C14" s="99"/>
      <c r="D14" s="99"/>
      <c r="E14" s="99"/>
      <c r="F14" s="99"/>
      <c r="G14" s="99"/>
      <c r="H14" s="99"/>
      <c r="I14" s="99"/>
      <c r="J14" s="99"/>
      <c r="L14" s="474" t="s">
        <v>2104</v>
      </c>
    </row>
    <row r="15" spans="2:12" x14ac:dyDescent="0.3">
      <c r="B15" s="1108" t="str">
        <f>трудовой_анамнез</f>
        <v>пенсионер, в б\л не нуждается</v>
      </c>
      <c r="C15" s="1108"/>
      <c r="D15" s="1108"/>
      <c r="E15" s="1108"/>
      <c r="F15" s="1108"/>
      <c r="G15" s="1108"/>
      <c r="H15" s="1108"/>
      <c r="I15" s="1108"/>
      <c r="J15" s="1108"/>
      <c r="L15" s="474" t="str">
        <f>трудовой_анамнез</f>
        <v>пенсионер, в б\л не нуждается</v>
      </c>
    </row>
    <row r="16" spans="2:12" ht="39" x14ac:dyDescent="0.4">
      <c r="B16" s="99" t="s">
        <v>210</v>
      </c>
      <c r="C16" s="99"/>
      <c r="D16" s="99"/>
      <c r="E16" s="99"/>
      <c r="F16" s="99"/>
      <c r="G16" s="99"/>
      <c r="H16" s="287">
        <f>Код_заболевания</f>
        <v>0</v>
      </c>
      <c r="I16" s="8" t="s">
        <v>1467</v>
      </c>
      <c r="J16" s="99"/>
      <c r="L16" s="474" t="s">
        <v>2104</v>
      </c>
    </row>
    <row r="17" spans="1:12" x14ac:dyDescent="0.3">
      <c r="B17" s="25" t="s">
        <v>71</v>
      </c>
      <c r="C17" s="26"/>
      <c r="D17" s="26"/>
      <c r="E17" s="29"/>
      <c r="F17" s="26"/>
      <c r="G17" s="26"/>
      <c r="H17" s="26"/>
      <c r="I17" s="26"/>
      <c r="J17" s="26"/>
    </row>
    <row r="18" spans="1:12" ht="56.25" x14ac:dyDescent="0.3">
      <c r="B18" s="1113"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C18" s="1113"/>
      <c r="D18" s="1113"/>
      <c r="E18" s="1113"/>
      <c r="F18" s="1113"/>
      <c r="G18" s="1113"/>
      <c r="H18" s="1113"/>
      <c r="I18" s="1113"/>
      <c r="J18" s="1113"/>
      <c r="L18" s="474" t="str">
        <f>B18</f>
        <v>МКБ, рецидив. Резидуальный камень н\чашки справа 20 мм.                                                                                                                                                                                                                                                                                                                                                           Гидронефроз справа 1 ст. Хронический калькулезный пиелонефрит , латентное течение. ХПН 0-1</v>
      </c>
    </row>
    <row r="19" spans="1:12" x14ac:dyDescent="0.3">
      <c r="B19" s="25" t="str">
        <f>IF(Сопутствующий_диагноз=0, "                                                                                                                                               ", "Сопутствующий диагноз:")</f>
        <v>Сопутствующий диагноз:</v>
      </c>
      <c r="C19" s="26"/>
      <c r="D19" s="26"/>
      <c r="E19" s="26"/>
      <c r="F19" s="29"/>
      <c r="G19" s="26"/>
      <c r="H19" s="26"/>
      <c r="I19" s="26"/>
      <c r="J19" s="26"/>
    </row>
    <row r="20" spans="1:12" x14ac:dyDescent="0.3">
      <c r="B20" s="1113" t="str">
        <f>IF(Сопутствующий_диагноз=0, "                                                                                                                                               ", Сопутствующий_диагноз)</f>
        <v xml:space="preserve">ИБС: АКС. САГ 2 ст, 2 ст, риск 3. Ожирение 3-4 ст. П\о вентральная грыжа. </v>
      </c>
      <c r="C20" s="1113"/>
      <c r="D20" s="1113"/>
      <c r="E20" s="1113"/>
      <c r="F20" s="1113"/>
      <c r="G20" s="1113"/>
      <c r="H20" s="1113"/>
      <c r="I20" s="1113"/>
      <c r="J20" s="1113"/>
      <c r="L20" s="474" t="str">
        <f>B20</f>
        <v xml:space="preserve">ИБС: АКС. САГ 2 ст, 2 ст, риск 3. Ожирение 3-4 ст. П\о вентральная грыжа. </v>
      </c>
    </row>
    <row r="21" spans="1:12" ht="37.5" x14ac:dyDescent="0.3">
      <c r="B21" s="99" t="s">
        <v>211</v>
      </c>
      <c r="C21" s="99"/>
      <c r="D21" s="99"/>
      <c r="E21" s="99"/>
      <c r="F21" s="99"/>
      <c r="G21" s="99"/>
      <c r="H21" s="99"/>
      <c r="I21" s="99"/>
      <c r="J21" s="99"/>
      <c r="L21" s="474" t="s">
        <v>2104</v>
      </c>
    </row>
    <row r="22" spans="1:12" ht="26.25" x14ac:dyDescent="0.4">
      <c r="B22" s="1109" t="s">
        <v>1425</v>
      </c>
      <c r="C22" s="1110"/>
      <c r="D22" s="1110"/>
      <c r="E22" s="1110"/>
      <c r="F22" s="1110"/>
      <c r="G22" s="1110"/>
      <c r="H22" s="1110"/>
      <c r="I22" s="1110"/>
      <c r="J22" s="1110"/>
      <c r="L22" s="475" t="str">
        <f>B22</f>
        <v>Продление сроков ВН</v>
      </c>
    </row>
    <row r="23" spans="1:12" ht="37.5" x14ac:dyDescent="0.3">
      <c r="B23" s="99" t="s">
        <v>212</v>
      </c>
      <c r="C23" s="99"/>
      <c r="D23" s="99"/>
      <c r="E23" s="99"/>
      <c r="F23" s="99"/>
      <c r="G23" s="99"/>
      <c r="H23" s="99"/>
      <c r="I23" s="99"/>
      <c r="J23" s="99"/>
      <c r="L23" s="474" t="s">
        <v>2104</v>
      </c>
    </row>
    <row r="24" spans="1:12" ht="26.25" x14ac:dyDescent="0.4">
      <c r="B24" s="1109" t="s">
        <v>1426</v>
      </c>
      <c r="C24" s="1110"/>
      <c r="D24" s="1110"/>
      <c r="E24" s="1110"/>
      <c r="F24" s="1110"/>
      <c r="G24" s="1110"/>
      <c r="H24" s="1110"/>
      <c r="I24" s="1110"/>
      <c r="J24" s="1110"/>
      <c r="L24" s="475" t="str">
        <f>B24</f>
        <v>ЭВН по заболеванию взрослого</v>
      </c>
    </row>
    <row r="25" spans="1:12" ht="37.5" x14ac:dyDescent="0.3">
      <c r="B25" s="22" t="s">
        <v>234</v>
      </c>
      <c r="C25" s="99"/>
      <c r="D25" s="99"/>
      <c r="E25" s="99"/>
      <c r="F25" s="99"/>
      <c r="G25" s="99"/>
      <c r="H25" s="99"/>
      <c r="I25" s="99"/>
      <c r="J25" s="99"/>
      <c r="L25" s="474" t="s">
        <v>2104</v>
      </c>
    </row>
    <row r="26" spans="1:12" ht="26.25" x14ac:dyDescent="0.4">
      <c r="B26" s="99" t="s">
        <v>213</v>
      </c>
      <c r="C26" s="99"/>
      <c r="D26" s="99"/>
      <c r="E26" s="99"/>
      <c r="F26" s="1111" t="s">
        <v>1468</v>
      </c>
      <c r="G26" s="1112"/>
      <c r="H26" s="1112"/>
      <c r="I26" s="1112"/>
      <c r="J26" s="1112"/>
    </row>
    <row r="27" spans="1:12" ht="26.25" x14ac:dyDescent="0.4">
      <c r="B27" s="99" t="s">
        <v>214</v>
      </c>
      <c r="C27" s="99"/>
      <c r="D27" s="99"/>
      <c r="E27" s="99"/>
      <c r="F27" s="99"/>
      <c r="G27" s="99"/>
      <c r="H27" s="540">
        <f>IF(WEEKDAY(F5,2)=5, (F5-Данные!J25+4), (F5-Данные!J25+2))</f>
        <v>-817</v>
      </c>
      <c r="I27" s="285" t="s">
        <v>2105</v>
      </c>
      <c r="J27" s="99"/>
    </row>
    <row r="28" spans="1:12" ht="26.25" x14ac:dyDescent="0.4">
      <c r="B28" s="99" t="s">
        <v>215</v>
      </c>
      <c r="C28" s="99"/>
      <c r="D28" s="99"/>
      <c r="E28" s="99"/>
      <c r="F28" s="99"/>
      <c r="G28" s="540">
        <f>F5-дата_поступления</f>
        <v>-819</v>
      </c>
      <c r="H28" s="285" t="s">
        <v>2106</v>
      </c>
      <c r="I28" s="99"/>
      <c r="J28" s="99"/>
    </row>
    <row r="29" spans="1:12" x14ac:dyDescent="0.3">
      <c r="B29" s="99"/>
      <c r="C29" s="99"/>
      <c r="D29" s="99"/>
      <c r="E29" s="99"/>
      <c r="F29" s="99"/>
      <c r="G29" s="99"/>
      <c r="H29" s="99"/>
      <c r="I29" s="99"/>
      <c r="J29" s="99"/>
    </row>
    <row r="30" spans="1:12" ht="26.25" x14ac:dyDescent="0.4">
      <c r="B30" s="99" t="s">
        <v>216</v>
      </c>
      <c r="C30" s="99"/>
      <c r="D30" s="99"/>
      <c r="E30" s="99"/>
      <c r="F30" s="99"/>
      <c r="G30" s="99"/>
      <c r="H30" s="286" t="e">
        <f>Код_МЭС</f>
        <v>#N/A</v>
      </c>
      <c r="I30" s="34" t="e">
        <f>Койкодень_МЭС</f>
        <v>#N/A</v>
      </c>
      <c r="J30" s="34" t="s">
        <v>238</v>
      </c>
    </row>
    <row r="31" spans="1:12" x14ac:dyDescent="0.3">
      <c r="B31" s="99"/>
      <c r="C31" s="99"/>
      <c r="D31" s="99"/>
      <c r="E31" s="99"/>
      <c r="F31" s="99"/>
      <c r="G31" s="99"/>
      <c r="H31" s="99"/>
      <c r="I31" s="99"/>
      <c r="J31" s="99"/>
    </row>
    <row r="32" spans="1:12" x14ac:dyDescent="0.3">
      <c r="A32" s="1105" t="s">
        <v>239</v>
      </c>
      <c r="B32" s="99" t="s">
        <v>217</v>
      </c>
      <c r="C32" s="99"/>
      <c r="D32" s="99"/>
      <c r="E32" s="99"/>
      <c r="F32" s="99"/>
      <c r="G32" s="99"/>
      <c r="H32" s="99"/>
      <c r="I32" s="99"/>
      <c r="J32" s="99"/>
    </row>
    <row r="33" spans="1:12" x14ac:dyDescent="0.3">
      <c r="A33" s="1105"/>
      <c r="B33" s="22" t="s">
        <v>218</v>
      </c>
      <c r="C33" s="99"/>
      <c r="D33" s="99"/>
      <c r="E33" s="99"/>
      <c r="F33" s="99"/>
      <c r="G33" s="99"/>
      <c r="H33" s="99"/>
      <c r="I33" s="99"/>
      <c r="J33" s="99"/>
    </row>
    <row r="34" spans="1:12" ht="37.5" x14ac:dyDescent="0.3">
      <c r="A34" s="1105"/>
      <c r="B34" s="99" t="s">
        <v>219</v>
      </c>
      <c r="C34" s="99"/>
      <c r="D34" s="99"/>
      <c r="E34" s="99"/>
      <c r="F34" s="99"/>
      <c r="G34" s="99"/>
      <c r="H34" s="99"/>
      <c r="I34" s="99"/>
      <c r="J34" s="99"/>
      <c r="L34" s="474" t="s">
        <v>2104</v>
      </c>
    </row>
    <row r="35" spans="1:12" x14ac:dyDescent="0.3">
      <c r="A35" s="1105"/>
      <c r="B35" s="99" t="s">
        <v>233</v>
      </c>
      <c r="C35" s="99"/>
      <c r="D35" s="99"/>
      <c r="E35" s="99"/>
      <c r="F35" s="99"/>
      <c r="G35" s="99"/>
      <c r="H35" s="99"/>
      <c r="I35" s="99"/>
      <c r="J35" s="99"/>
    </row>
    <row r="36" spans="1:12" x14ac:dyDescent="0.3">
      <c r="A36" s="1105"/>
      <c r="B36" s="99" t="s">
        <v>233</v>
      </c>
      <c r="C36" s="99"/>
      <c r="D36" s="99"/>
      <c r="E36" s="99"/>
      <c r="F36" s="99"/>
      <c r="G36" s="99"/>
      <c r="H36" s="99"/>
      <c r="I36" s="99"/>
      <c r="J36" s="99"/>
    </row>
    <row r="37" spans="1:12" x14ac:dyDescent="0.3">
      <c r="A37" s="1105"/>
      <c r="B37" s="99" t="s">
        <v>233</v>
      </c>
      <c r="C37" s="99"/>
      <c r="D37" s="99"/>
      <c r="E37" s="99"/>
      <c r="F37" s="99"/>
      <c r="G37" s="99"/>
      <c r="H37" s="99"/>
      <c r="I37" s="99"/>
      <c r="J37" s="99"/>
    </row>
    <row r="38" spans="1:12" ht="37.5" x14ac:dyDescent="0.3">
      <c r="B38" s="99" t="s">
        <v>220</v>
      </c>
      <c r="C38" s="99"/>
      <c r="D38" s="99"/>
      <c r="E38" s="99"/>
      <c r="F38" s="99"/>
      <c r="G38" s="99"/>
      <c r="H38" s="99"/>
      <c r="I38" s="99"/>
      <c r="J38" s="99"/>
      <c r="L38" s="474" t="s">
        <v>2104</v>
      </c>
    </row>
    <row r="39" spans="1:12" x14ac:dyDescent="0.3">
      <c r="B39" s="99" t="s">
        <v>221</v>
      </c>
      <c r="C39" s="99"/>
      <c r="D39" s="99"/>
      <c r="E39" s="99"/>
      <c r="F39" s="99"/>
      <c r="G39" s="99"/>
      <c r="H39" s="99"/>
      <c r="I39" s="99"/>
      <c r="J39" s="99"/>
    </row>
    <row r="40" spans="1:12" x14ac:dyDescent="0.3">
      <c r="B40" s="99" t="s">
        <v>233</v>
      </c>
      <c r="C40" s="99"/>
      <c r="D40" s="99"/>
      <c r="E40" s="99"/>
      <c r="F40" s="99"/>
      <c r="G40" s="99"/>
      <c r="H40" s="99"/>
      <c r="I40" s="99"/>
      <c r="J40" s="99"/>
    </row>
    <row r="41" spans="1:12" ht="37.5" x14ac:dyDescent="0.3">
      <c r="B41" s="99" t="s">
        <v>222</v>
      </c>
      <c r="C41" s="99"/>
      <c r="D41" s="99"/>
      <c r="E41" s="99"/>
      <c r="F41" s="99"/>
      <c r="G41" s="99"/>
      <c r="H41" s="99"/>
      <c r="I41" s="99"/>
      <c r="J41" s="99"/>
      <c r="L41" s="474" t="s">
        <v>2104</v>
      </c>
    </row>
    <row r="42" spans="1:12" x14ac:dyDescent="0.3">
      <c r="B42" s="99" t="s">
        <v>233</v>
      </c>
      <c r="C42" s="99"/>
      <c r="D42" s="99"/>
      <c r="E42" s="99"/>
      <c r="F42" s="99"/>
      <c r="G42" s="99"/>
      <c r="H42" s="99"/>
      <c r="I42" s="99"/>
      <c r="J42" s="99"/>
    </row>
    <row r="43" spans="1:12" ht="37.5" x14ac:dyDescent="0.3">
      <c r="B43" s="99" t="s">
        <v>223</v>
      </c>
      <c r="C43" s="99"/>
      <c r="D43" s="99"/>
      <c r="E43" s="99"/>
      <c r="F43" s="99"/>
      <c r="G43" s="99"/>
      <c r="H43" s="99"/>
      <c r="I43" s="99"/>
      <c r="J43" s="99"/>
      <c r="L43" s="474" t="s">
        <v>2104</v>
      </c>
    </row>
    <row r="44" spans="1:12" x14ac:dyDescent="0.3">
      <c r="B44" s="99" t="s">
        <v>224</v>
      </c>
      <c r="C44" s="99"/>
      <c r="D44" s="99" t="s">
        <v>382</v>
      </c>
      <c r="E44" s="99"/>
      <c r="F44" s="99"/>
      <c r="G44" s="99"/>
      <c r="H44" s="99"/>
      <c r="I44" s="99"/>
      <c r="J44" s="99"/>
    </row>
    <row r="45" spans="1:12" ht="37.5" x14ac:dyDescent="0.3">
      <c r="B45" s="99" t="s">
        <v>225</v>
      </c>
      <c r="C45" s="99"/>
      <c r="D45" s="99"/>
      <c r="E45" s="99"/>
      <c r="F45" s="99"/>
      <c r="G45" s="99"/>
      <c r="H45" s="99"/>
      <c r="I45" s="99"/>
      <c r="J45" s="99"/>
      <c r="L45" s="474" t="s">
        <v>2104</v>
      </c>
    </row>
    <row r="46" spans="1:12" x14ac:dyDescent="0.3">
      <c r="B46" s="99" t="s">
        <v>233</v>
      </c>
      <c r="C46" s="99"/>
      <c r="D46" s="99"/>
      <c r="E46" s="99"/>
      <c r="F46" s="99"/>
      <c r="G46" s="99"/>
      <c r="H46" s="99"/>
      <c r="I46" s="99"/>
      <c r="J46" s="99"/>
    </row>
    <row r="47" spans="1:12" ht="37.5" x14ac:dyDescent="0.3">
      <c r="B47" s="99" t="s">
        <v>226</v>
      </c>
      <c r="C47" s="99"/>
      <c r="D47" s="99"/>
      <c r="E47" s="99"/>
      <c r="F47" s="99"/>
      <c r="G47" s="99"/>
      <c r="H47" s="99"/>
      <c r="I47" s="99"/>
      <c r="J47" s="99"/>
      <c r="L47" s="474" t="s">
        <v>2104</v>
      </c>
    </row>
    <row r="48" spans="1:12" x14ac:dyDescent="0.3">
      <c r="B48" s="99" t="s">
        <v>227</v>
      </c>
      <c r="C48" s="99"/>
      <c r="D48" s="99" t="s">
        <v>382</v>
      </c>
      <c r="E48" s="99"/>
      <c r="F48" s="99"/>
      <c r="G48" s="99"/>
      <c r="H48" s="99"/>
      <c r="I48" s="99"/>
      <c r="J48" s="99"/>
    </row>
    <row r="49" spans="2:12" ht="37.5" x14ac:dyDescent="0.3">
      <c r="B49" s="99" t="s">
        <v>228</v>
      </c>
      <c r="C49" s="99"/>
      <c r="D49" s="99"/>
      <c r="E49" s="99"/>
      <c r="F49" s="99" t="s">
        <v>381</v>
      </c>
      <c r="G49" s="99"/>
      <c r="H49" s="99"/>
      <c r="I49" s="99"/>
      <c r="J49" s="99"/>
      <c r="L49" s="474" t="s">
        <v>2104</v>
      </c>
    </row>
    <row r="50" spans="2:12" x14ac:dyDescent="0.3">
      <c r="B50" s="99" t="s">
        <v>233</v>
      </c>
      <c r="C50" s="99"/>
      <c r="D50" s="99"/>
      <c r="E50" s="99"/>
      <c r="F50" s="99"/>
      <c r="G50" s="99"/>
      <c r="H50" s="99"/>
      <c r="I50" s="99"/>
      <c r="J50" s="99"/>
    </row>
    <row r="51" spans="2:12" ht="37.5" x14ac:dyDescent="0.3">
      <c r="B51" s="99" t="s">
        <v>229</v>
      </c>
      <c r="C51" s="99"/>
      <c r="D51" s="99"/>
      <c r="E51" s="99"/>
      <c r="F51" s="99"/>
      <c r="G51" s="99"/>
      <c r="H51" s="99" t="s">
        <v>230</v>
      </c>
      <c r="I51" s="99"/>
      <c r="J51" s="99"/>
      <c r="L51" s="474" t="s">
        <v>2104</v>
      </c>
    </row>
    <row r="52" spans="2:12" x14ac:dyDescent="0.3">
      <c r="B52" s="99"/>
      <c r="C52" s="99"/>
      <c r="D52" s="99"/>
      <c r="E52" s="99"/>
      <c r="F52" s="99"/>
      <c r="G52" s="99"/>
      <c r="H52" s="99"/>
      <c r="I52" s="99"/>
      <c r="J52" s="99"/>
    </row>
    <row r="53" spans="2:12" ht="37.5" x14ac:dyDescent="0.3">
      <c r="B53" s="27" t="s">
        <v>1445</v>
      </c>
      <c r="C53" s="99"/>
      <c r="D53" s="99"/>
      <c r="E53" s="99"/>
      <c r="F53" s="99"/>
      <c r="G53" s="99"/>
      <c r="H53" s="99" t="s">
        <v>232</v>
      </c>
      <c r="I53" s="99"/>
      <c r="J53" s="99"/>
      <c r="L53" s="474" t="s">
        <v>2104</v>
      </c>
    </row>
    <row r="54" spans="2:12" ht="37.5" x14ac:dyDescent="0.3">
      <c r="B54" s="99" t="s">
        <v>231</v>
      </c>
      <c r="C54" s="99"/>
      <c r="D54" s="99"/>
      <c r="E54" s="99"/>
      <c r="F54" s="99"/>
      <c r="G54" s="99"/>
      <c r="H54" s="99" t="s">
        <v>232</v>
      </c>
      <c r="I54" s="99"/>
      <c r="J54" s="99"/>
      <c r="L54" s="474" t="s">
        <v>2104</v>
      </c>
    </row>
    <row r="55" spans="2:12" ht="37.5" x14ac:dyDescent="0.3">
      <c r="B55" s="27" t="str">
        <f>IF(И.О.ЗАВ.ОТД.=1,"И.о. зав.отд.","Зав.отд.")</f>
        <v>Зав.отд.</v>
      </c>
      <c r="C55" s="27" t="str">
        <f>Зав.отд.</f>
        <v>Еременко С. Н.</v>
      </c>
      <c r="D55" s="99"/>
      <c r="E55" s="99"/>
      <c r="F55" s="99"/>
      <c r="G55" s="99"/>
      <c r="H55" s="99" t="s">
        <v>232</v>
      </c>
      <c r="I55" s="99"/>
      <c r="J55" s="99"/>
      <c r="L55" s="474" t="s">
        <v>2104</v>
      </c>
    </row>
    <row r="56" spans="2:12" ht="37.5" x14ac:dyDescent="0.3">
      <c r="B56" s="99" t="s">
        <v>231</v>
      </c>
      <c r="C56" s="99"/>
      <c r="D56" s="99"/>
      <c r="E56" s="99"/>
      <c r="F56" s="99"/>
      <c r="G56" s="99"/>
      <c r="H56" s="99" t="s">
        <v>232</v>
      </c>
      <c r="I56" s="99"/>
      <c r="J56" s="99"/>
      <c r="L56" s="474" t="s">
        <v>2104</v>
      </c>
    </row>
    <row r="57" spans="2:12" ht="37.5" x14ac:dyDescent="0.3">
      <c r="B57" s="27" t="s">
        <v>1424</v>
      </c>
      <c r="C57" s="27" t="str">
        <f>Лечащий_врач</f>
        <v>Еременко А. Н.</v>
      </c>
      <c r="D57" s="99"/>
      <c r="E57" s="99"/>
      <c r="F57" s="99"/>
      <c r="G57" s="99"/>
      <c r="H57" s="99" t="s">
        <v>232</v>
      </c>
      <c r="I57" s="99"/>
      <c r="J57" s="99"/>
      <c r="L57" s="474" t="s">
        <v>2104</v>
      </c>
    </row>
  </sheetData>
  <sheetProtection formatCells="0" formatRows="0"/>
  <mergeCells count="12">
    <mergeCell ref="F5:G5"/>
    <mergeCell ref="F12:G12"/>
    <mergeCell ref="A32:A37"/>
    <mergeCell ref="C11:D11"/>
    <mergeCell ref="E9:J9"/>
    <mergeCell ref="F6:G6"/>
    <mergeCell ref="B15:J15"/>
    <mergeCell ref="B22:J22"/>
    <mergeCell ref="B24:J24"/>
    <mergeCell ref="F26:J26"/>
    <mergeCell ref="B20:J20"/>
    <mergeCell ref="B18:J18"/>
  </mergeCells>
  <pageMargins left="0.72549019607843135" right="0.5757575757575758" top="0.59375" bottom="0.75" header="0.3" footer="0.3"/>
  <pageSetup paperSize="9" scale="85" orientation="portrait" r:id="rId1"/>
  <rowBreaks count="1" manualBreakCount="1">
    <brk id="29" max="16383" man="1"/>
  </rowBreaks>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filterMode="1"/>
  <dimension ref="A1:P48"/>
  <sheetViews>
    <sheetView view="pageLayout" topLeftCell="A4" zoomScale="85" zoomScaleNormal="100" zoomScaleSheetLayoutView="100" zoomScalePageLayoutView="85" workbookViewId="0">
      <selection activeCell="F23" sqref="F23"/>
    </sheetView>
  </sheetViews>
  <sheetFormatPr defaultRowHeight="15" x14ac:dyDescent="0.25"/>
  <cols>
    <col min="1" max="1" width="18.28515625" style="8" customWidth="1"/>
    <col min="2" max="2" width="17.7109375" style="8" customWidth="1"/>
    <col min="3" max="3" width="9.140625" style="8"/>
    <col min="4" max="4" width="10.42578125" style="8" customWidth="1"/>
    <col min="5" max="5" width="9.7109375" style="8" customWidth="1"/>
    <col min="6" max="8" width="9.140625" style="8"/>
    <col min="9" max="9" width="15" style="8" hidden="1" customWidth="1"/>
    <col min="10" max="10" width="15.140625" style="8" hidden="1" customWidth="1"/>
    <col min="11" max="11" width="13.85546875" style="8" hidden="1" customWidth="1"/>
    <col min="12" max="16" width="0" style="8" hidden="1" customWidth="1"/>
    <col min="17" max="16384" width="9.140625" style="8"/>
  </cols>
  <sheetData>
    <row r="1" spans="1:16" ht="15.75" x14ac:dyDescent="0.25">
      <c r="H1" s="10" t="s">
        <v>240</v>
      </c>
      <c r="P1" s="10" t="s">
        <v>240</v>
      </c>
    </row>
    <row r="2" spans="1:16" ht="15.75" x14ac:dyDescent="0.25">
      <c r="C2" s="12" t="s">
        <v>241</v>
      </c>
      <c r="K2" s="12" t="s">
        <v>241</v>
      </c>
    </row>
    <row r="3" spans="1:16" ht="15.75" x14ac:dyDescent="0.25">
      <c r="C3" s="12" t="s">
        <v>242</v>
      </c>
      <c r="K3" s="12" t="s">
        <v>242</v>
      </c>
    </row>
    <row r="4" spans="1:16" ht="15.75" x14ac:dyDescent="0.25">
      <c r="C4" s="12" t="s">
        <v>243</v>
      </c>
      <c r="K4" s="12" t="s">
        <v>243</v>
      </c>
    </row>
    <row r="5" spans="1:16" ht="15.75" x14ac:dyDescent="0.25">
      <c r="C5" s="12" t="s">
        <v>244</v>
      </c>
      <c r="K5" s="12" t="s">
        <v>244</v>
      </c>
    </row>
    <row r="8" spans="1:16" ht="16.5" x14ac:dyDescent="0.25">
      <c r="C8" s="30" t="s">
        <v>245</v>
      </c>
      <c r="K8" s="30" t="s">
        <v>245</v>
      </c>
    </row>
    <row r="9" spans="1:16" ht="16.5" x14ac:dyDescent="0.25">
      <c r="C9" s="30" t="s">
        <v>246</v>
      </c>
      <c r="K9" s="30" t="s">
        <v>246</v>
      </c>
    </row>
    <row r="11" spans="1:16" ht="18.75" x14ac:dyDescent="0.3">
      <c r="A11" s="36" t="str">
        <f>IF(Дата_выписки=0, "________ 2014г.", Дата_выписки)</f>
        <v>________ 2014г.</v>
      </c>
      <c r="I11" s="36" t="str">
        <f>IF(Дата_выписки=0, "________ 2014г.", Дата_выписки)</f>
        <v>________ 2014г.</v>
      </c>
    </row>
    <row r="13" spans="1:16" ht="16.5" x14ac:dyDescent="0.25">
      <c r="A13" s="31" t="s">
        <v>247</v>
      </c>
      <c r="C13" s="33" t="s">
        <v>248</v>
      </c>
      <c r="E13" s="8" t="s">
        <v>250</v>
      </c>
      <c r="I13" s="31" t="s">
        <v>247</v>
      </c>
      <c r="K13" s="33" t="s">
        <v>248</v>
      </c>
      <c r="M13" s="8" t="s">
        <v>250</v>
      </c>
    </row>
    <row r="14" spans="1:16" ht="16.5" x14ac:dyDescent="0.25">
      <c r="C14" s="30" t="s">
        <v>249</v>
      </c>
      <c r="K14" s="30" t="s">
        <v>249</v>
      </c>
    </row>
    <row r="15" spans="1:16" x14ac:dyDescent="0.25">
      <c r="A15" s="15" t="s">
        <v>253</v>
      </c>
      <c r="B15" s="15" t="s">
        <v>90</v>
      </c>
      <c r="I15" s="15" t="s">
        <v>253</v>
      </c>
      <c r="J15" s="15" t="s">
        <v>90</v>
      </c>
    </row>
    <row r="16" spans="1:16" x14ac:dyDescent="0.25">
      <c r="A16" s="15" t="str">
        <f>IF(И.О.ЗАВ.ОТД.=1,"И.о. зав.отделением_________","Зав.отделением_______________")</f>
        <v>Зав.отделением_______________</v>
      </c>
      <c r="B16" s="15" t="str">
        <f>Зав.отд.</f>
        <v>Еременко С. Н.</v>
      </c>
      <c r="I16" s="15" t="s">
        <v>254</v>
      </c>
      <c r="J16" s="15" t="str">
        <f>Зав.отд.</f>
        <v>Еременко С. Н.</v>
      </c>
    </row>
    <row r="17" spans="1:13" x14ac:dyDescent="0.25">
      <c r="A17" s="15" t="s">
        <v>255</v>
      </c>
      <c r="B17" s="15" t="str">
        <f>Лечащий_врач</f>
        <v>Еременко А. Н.</v>
      </c>
      <c r="I17" s="15" t="s">
        <v>255</v>
      </c>
      <c r="J17" s="15" t="str">
        <f>Лечащий_врач</f>
        <v>Еременко А. Н.</v>
      </c>
    </row>
    <row r="19" spans="1:13" ht="16.5" x14ac:dyDescent="0.25">
      <c r="A19" s="31" t="s">
        <v>251</v>
      </c>
      <c r="I19" s="31" t="s">
        <v>251</v>
      </c>
    </row>
    <row r="20" spans="1:13" ht="26.25" x14ac:dyDescent="0.4">
      <c r="A20" s="34" t="str">
        <f>ФИО</f>
        <v>Иванова Е.П.</v>
      </c>
      <c r="I20" s="34" t="str">
        <f>ФИО</f>
        <v>Иванова Е.П.</v>
      </c>
    </row>
    <row r="21" spans="1:13" ht="16.5" x14ac:dyDescent="0.25">
      <c r="A21" s="31" t="s">
        <v>252</v>
      </c>
      <c r="E21" s="16">
        <f>№_и_б</f>
        <v>21949</v>
      </c>
      <c r="I21" s="31" t="s">
        <v>252</v>
      </c>
      <c r="M21" s="16">
        <f>№_и_б</f>
        <v>21949</v>
      </c>
    </row>
    <row r="22" spans="1:13" ht="16.5" x14ac:dyDescent="0.25">
      <c r="A22" s="31" t="s">
        <v>256</v>
      </c>
      <c r="I22" s="31" t="s">
        <v>256</v>
      </c>
    </row>
    <row r="23" spans="1:13" ht="16.5" x14ac:dyDescent="0.25">
      <c r="A23" s="31" t="s">
        <v>257</v>
      </c>
      <c r="I23" s="31" t="s">
        <v>257</v>
      </c>
    </row>
    <row r="24" spans="1:13" ht="16.5" x14ac:dyDescent="0.25">
      <c r="A24" s="31" t="s">
        <v>258</v>
      </c>
      <c r="B24" s="35" t="e">
        <f>Код_МЭС</f>
        <v>#N/A</v>
      </c>
      <c r="C24" s="31" t="s">
        <v>259</v>
      </c>
      <c r="I24" s="31" t="s">
        <v>258</v>
      </c>
      <c r="J24" s="35" t="e">
        <f>Код_МЭС</f>
        <v>#N/A</v>
      </c>
      <c r="K24" s="31" t="s">
        <v>259</v>
      </c>
    </row>
    <row r="25" spans="1:13" ht="16.5" x14ac:dyDescent="0.25">
      <c r="A25" s="31" t="s">
        <v>260</v>
      </c>
      <c r="I25" s="31" t="s">
        <v>260</v>
      </c>
    </row>
    <row r="27" spans="1:13" ht="16.5" hidden="1" x14ac:dyDescent="0.25">
      <c r="A27" s="32" t="s">
        <v>270</v>
      </c>
      <c r="I27" s="32" t="s">
        <v>270</v>
      </c>
    </row>
    <row r="28" spans="1:13" ht="16.5" hidden="1" x14ac:dyDescent="0.25">
      <c r="A28" s="32" t="s">
        <v>269</v>
      </c>
      <c r="I28" s="32" t="s">
        <v>269</v>
      </c>
    </row>
    <row r="29" spans="1:13" ht="16.5" hidden="1" x14ac:dyDescent="0.25">
      <c r="A29" s="32" t="s">
        <v>271</v>
      </c>
      <c r="I29" s="32" t="s">
        <v>271</v>
      </c>
    </row>
    <row r="30" spans="1:13" ht="16.5" hidden="1" x14ac:dyDescent="0.25">
      <c r="A30" s="32" t="s">
        <v>272</v>
      </c>
      <c r="I30" s="32" t="s">
        <v>272</v>
      </c>
    </row>
    <row r="31" spans="1:13" ht="16.5" x14ac:dyDescent="0.25">
      <c r="A31" s="32" t="s">
        <v>273</v>
      </c>
      <c r="I31" s="32" t="s">
        <v>273</v>
      </c>
    </row>
    <row r="32" spans="1:13" ht="16.5" hidden="1" x14ac:dyDescent="0.25">
      <c r="A32" s="32" t="s">
        <v>274</v>
      </c>
      <c r="I32" s="32" t="s">
        <v>274</v>
      </c>
    </row>
    <row r="33" spans="1:15" ht="16.5" hidden="1" x14ac:dyDescent="0.25">
      <c r="A33" s="32" t="s">
        <v>275</v>
      </c>
      <c r="I33" s="32" t="s">
        <v>275</v>
      </c>
    </row>
    <row r="34" spans="1:15" ht="16.5" hidden="1" x14ac:dyDescent="0.25">
      <c r="A34" s="32" t="s">
        <v>276</v>
      </c>
      <c r="I34" s="32" t="s">
        <v>276</v>
      </c>
    </row>
    <row r="35" spans="1:15" ht="16.5" x14ac:dyDescent="0.25">
      <c r="A35" s="32"/>
    </row>
    <row r="36" spans="1:15" ht="16.5" x14ac:dyDescent="0.25">
      <c r="A36" s="31" t="s">
        <v>261</v>
      </c>
      <c r="I36" s="31" t="s">
        <v>261</v>
      </c>
    </row>
    <row r="38" spans="1:15" ht="16.5" x14ac:dyDescent="0.25">
      <c r="A38" s="31" t="s">
        <v>262</v>
      </c>
      <c r="J38" s="12" t="s">
        <v>265</v>
      </c>
    </row>
    <row r="39" spans="1:15" ht="16.5" x14ac:dyDescent="0.25">
      <c r="A39" s="31" t="s">
        <v>263</v>
      </c>
      <c r="F39" s="8" t="s">
        <v>264</v>
      </c>
      <c r="J39" s="15" t="s">
        <v>253</v>
      </c>
      <c r="K39" s="15" t="s">
        <v>90</v>
      </c>
      <c r="M39" s="8" t="s">
        <v>267</v>
      </c>
      <c r="O39" s="8" t="s">
        <v>268</v>
      </c>
    </row>
    <row r="40" spans="1:15" ht="15.75" x14ac:dyDescent="0.25">
      <c r="J40" s="12" t="s">
        <v>266</v>
      </c>
    </row>
    <row r="41" spans="1:15" ht="15.75" x14ac:dyDescent="0.25">
      <c r="B41" s="12" t="s">
        <v>265</v>
      </c>
      <c r="J41" s="15" t="s">
        <v>254</v>
      </c>
      <c r="K41" s="15" t="str">
        <f>Зав.отд.</f>
        <v>Еременко С. Н.</v>
      </c>
      <c r="M41" s="8" t="s">
        <v>267</v>
      </c>
      <c r="O41" s="8" t="s">
        <v>268</v>
      </c>
    </row>
    <row r="42" spans="1:15" x14ac:dyDescent="0.25">
      <c r="B42" s="15" t="s">
        <v>253</v>
      </c>
      <c r="C42" s="15" t="s">
        <v>90</v>
      </c>
      <c r="E42" s="8" t="s">
        <v>267</v>
      </c>
      <c r="G42" s="8" t="s">
        <v>268</v>
      </c>
      <c r="J42" s="15" t="s">
        <v>255</v>
      </c>
      <c r="K42" s="15" t="str">
        <f>Лечащий_врач</f>
        <v>Еременко А. Н.</v>
      </c>
      <c r="M42" s="8" t="s">
        <v>267</v>
      </c>
      <c r="O42" s="8" t="s">
        <v>268</v>
      </c>
    </row>
    <row r="43" spans="1:15" ht="15.75" x14ac:dyDescent="0.25">
      <c r="B43" s="12" t="s">
        <v>266</v>
      </c>
    </row>
    <row r="44" spans="1:15" x14ac:dyDescent="0.25">
      <c r="B44" s="15" t="str">
        <f>IF(И.О.ЗАВ.ОТД.=1,"И.о. зав.отделением_________","Зав.отделением_______________")</f>
        <v>Зав.отделением_______________</v>
      </c>
      <c r="C44" s="15" t="str">
        <f>Зав.отд.</f>
        <v>Еременко С. Н.</v>
      </c>
      <c r="E44" s="8" t="s">
        <v>267</v>
      </c>
      <c r="G44" s="8" t="s">
        <v>268</v>
      </c>
    </row>
    <row r="45" spans="1:15" x14ac:dyDescent="0.25">
      <c r="B45" s="15" t="s">
        <v>255</v>
      </c>
      <c r="C45" s="15" t="str">
        <f>Лечащий_врач</f>
        <v>Еременко А. Н.</v>
      </c>
      <c r="E45" s="8" t="s">
        <v>267</v>
      </c>
      <c r="G45" s="8" t="s">
        <v>268</v>
      </c>
    </row>
    <row r="48" spans="1:15" ht="16.5" x14ac:dyDescent="0.25">
      <c r="I48" s="31"/>
    </row>
  </sheetData>
  <sheetProtection autoFilter="0"/>
  <autoFilter ref="A26:A34">
    <filterColumn colId="0">
      <filters>
        <filter val="Использование современного оборудования дистанционной литотрипсии"/>
      </filters>
    </filterColumn>
  </autoFilter>
  <pageMargins left="0.95267857142857137" right="0.33913043478260868" top="0.75" bottom="0.75" header="0.3" footer="0.3"/>
  <pageSetup paperSize="9" scale="90" orientation="portrait" r:id="rId1"/>
  <colBreaks count="1" manualBreakCount="1">
    <brk id="16" max="44" man="1"/>
  </col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filterMode="1"/>
  <dimension ref="A1:N106"/>
  <sheetViews>
    <sheetView view="pageLayout" topLeftCell="A11" zoomScale="85" zoomScaleNormal="100" zoomScaleSheetLayoutView="85" zoomScalePageLayoutView="85" workbookViewId="0">
      <selection activeCell="E114" sqref="E114"/>
    </sheetView>
  </sheetViews>
  <sheetFormatPr defaultRowHeight="15.75" x14ac:dyDescent="0.25"/>
  <cols>
    <col min="1" max="1" width="9.140625" style="12"/>
    <col min="2" max="2" width="13" style="12" bestFit="1" customWidth="1"/>
    <col min="3" max="4" width="9.140625" style="12"/>
    <col min="5" max="5" width="13" style="12" bestFit="1" customWidth="1"/>
    <col min="6" max="13" width="9.140625" style="12"/>
    <col min="14" max="14" width="115.85546875" style="150" hidden="1" customWidth="1"/>
    <col min="15" max="16384" width="9.140625" style="12"/>
  </cols>
  <sheetData>
    <row r="1" spans="1:12" x14ac:dyDescent="0.25">
      <c r="L1" s="10" t="s">
        <v>277</v>
      </c>
    </row>
    <row r="2" spans="1:12" x14ac:dyDescent="0.25">
      <c r="L2" s="10" t="s">
        <v>278</v>
      </c>
    </row>
    <row r="4" spans="1:12" x14ac:dyDescent="0.25">
      <c r="L4" s="84" t="s">
        <v>279</v>
      </c>
    </row>
    <row r="5" spans="1:12" x14ac:dyDescent="0.25">
      <c r="L5" s="53" t="s">
        <v>280</v>
      </c>
    </row>
    <row r="6" spans="1:12" x14ac:dyDescent="0.25">
      <c r="L6" s="53" t="s">
        <v>281</v>
      </c>
    </row>
    <row r="7" spans="1:12" x14ac:dyDescent="0.25">
      <c r="F7" s="3" t="s">
        <v>282</v>
      </c>
      <c r="L7" s="12">
        <f>№_и_б</f>
        <v>21949</v>
      </c>
    </row>
    <row r="8" spans="1:12" x14ac:dyDescent="0.25">
      <c r="F8" s="3" t="s">
        <v>283</v>
      </c>
      <c r="H8" s="1040">
        <f>Место_жительства</f>
        <v>0</v>
      </c>
      <c r="I8" s="1118"/>
      <c r="J8" s="1118"/>
      <c r="K8" s="1118"/>
      <c r="L8" s="1118"/>
    </row>
    <row r="9" spans="1:12" x14ac:dyDescent="0.25">
      <c r="F9" s="3" t="s">
        <v>284</v>
      </c>
      <c r="I9" s="1114">
        <f>Телефон</f>
        <v>0</v>
      </c>
      <c r="J9" s="1114"/>
    </row>
    <row r="13" spans="1:12" x14ac:dyDescent="0.25">
      <c r="A13" s="12" t="s">
        <v>415</v>
      </c>
      <c r="C13" s="1115" t="str">
        <f>ФИО</f>
        <v>Иванова Е.П.</v>
      </c>
      <c r="D13" s="1115"/>
      <c r="E13" s="1115"/>
      <c r="F13" s="1115"/>
      <c r="G13" s="1115"/>
      <c r="I13" s="12" t="s">
        <v>4</v>
      </c>
      <c r="J13" s="13" t="e">
        <f ca="1">Возраст_лет</f>
        <v>#REF!</v>
      </c>
    </row>
    <row r="14" spans="1:12" x14ac:dyDescent="0.25">
      <c r="E14" s="41" t="s">
        <v>285</v>
      </c>
      <c r="J14" s="41" t="s">
        <v>286</v>
      </c>
    </row>
    <row r="15" spans="1:12" x14ac:dyDescent="0.25">
      <c r="A15" s="12" t="s">
        <v>287</v>
      </c>
      <c r="E15" s="13" t="s">
        <v>288</v>
      </c>
    </row>
    <row r="16" spans="1:12" x14ac:dyDescent="0.25">
      <c r="A16" s="10" t="s">
        <v>289</v>
      </c>
      <c r="B16" s="79">
        <f>дата_поступления</f>
        <v>42592</v>
      </c>
      <c r="C16" s="12" t="s">
        <v>290</v>
      </c>
      <c r="D16" s="10" t="s">
        <v>100</v>
      </c>
      <c r="E16" s="79">
        <f>Дата_выписки</f>
        <v>0</v>
      </c>
      <c r="F16" s="12" t="s">
        <v>290</v>
      </c>
    </row>
    <row r="17" spans="1:14" x14ac:dyDescent="0.25">
      <c r="A17" s="39" t="s">
        <v>71</v>
      </c>
    </row>
    <row r="18" spans="1:14" ht="31.5" x14ac:dyDescent="0.25">
      <c r="A18" s="1116"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18" s="1117"/>
      <c r="C18" s="1117"/>
      <c r="D18" s="1117"/>
      <c r="E18" s="1117"/>
      <c r="F18" s="1117"/>
      <c r="G18" s="1117"/>
      <c r="H18" s="1117"/>
      <c r="I18" s="1117"/>
      <c r="J18" s="1117"/>
      <c r="K18" s="1117"/>
      <c r="L18" s="1117"/>
      <c r="N18" s="150" t="str">
        <f>A18</f>
        <v>МКБ, рецидив. Резидуальный камень н\чашки справа 20 мм.                                                                                                                                                                                                                                                                                                                                                           Гидронефроз справа 1 ст. Хронический калькулезный пиелонефрит , латентное течение. ХПН 0-1</v>
      </c>
    </row>
    <row r="19" spans="1:14" x14ac:dyDescent="0.25">
      <c r="A19" s="39" t="str">
        <f>IF(Сопутствующий_диагноз = 0, " ", "Сопутствующий диагноз:")</f>
        <v>Сопутствующий диагноз:</v>
      </c>
    </row>
    <row r="20" spans="1:14" x14ac:dyDescent="0.25">
      <c r="A20" s="1077" t="str">
        <f>IF(Сопутствующий_диагноз = 0, " ", Сопутствующий_диагноз)</f>
        <v xml:space="preserve">ИБС: АКС. САГ 2 ст, 2 ст, риск 3. Ожирение 3-4 ст. П\о вентральная грыжа. </v>
      </c>
      <c r="B20" s="1078"/>
      <c r="C20" s="1078"/>
      <c r="D20" s="1078"/>
      <c r="E20" s="1078"/>
      <c r="F20" s="1078"/>
      <c r="G20" s="1078"/>
      <c r="H20" s="1078"/>
      <c r="I20" s="1078"/>
      <c r="J20" s="1078"/>
      <c r="K20" s="1078"/>
      <c r="L20" s="1078"/>
      <c r="N20" s="150" t="str">
        <f>A20</f>
        <v xml:space="preserve">ИБС: АКС. САГ 2 ст, 2 ст, риск 3. Ожирение 3-4 ст. П\о вентральная грыжа. </v>
      </c>
    </row>
    <row r="21" spans="1:14" x14ac:dyDescent="0.25">
      <c r="A21" s="3" t="s">
        <v>291</v>
      </c>
    </row>
    <row r="22" spans="1:14" x14ac:dyDescent="0.25">
      <c r="A22" s="12" t="s">
        <v>416</v>
      </c>
    </row>
    <row r="23" spans="1:14" x14ac:dyDescent="0.25">
      <c r="A23" s="12" t="s">
        <v>1427</v>
      </c>
    </row>
    <row r="24" spans="1:14" x14ac:dyDescent="0.25">
      <c r="E24" s="41" t="s">
        <v>292</v>
      </c>
    </row>
    <row r="25" spans="1:14" x14ac:dyDescent="0.25">
      <c r="A25" s="12" t="s">
        <v>293</v>
      </c>
    </row>
    <row r="26" spans="1:14" x14ac:dyDescent="0.25">
      <c r="A26" s="12" t="s">
        <v>1428</v>
      </c>
    </row>
    <row r="27" spans="1:14" x14ac:dyDescent="0.25">
      <c r="A27" s="12" t="s">
        <v>294</v>
      </c>
    </row>
    <row r="28" spans="1:14" x14ac:dyDescent="0.25">
      <c r="A28" s="12" t="s">
        <v>295</v>
      </c>
    </row>
    <row r="29" spans="1:14" x14ac:dyDescent="0.25">
      <c r="E29" s="41" t="s">
        <v>292</v>
      </c>
    </row>
    <row r="30" spans="1:14" x14ac:dyDescent="0.25">
      <c r="A30" s="12" t="s">
        <v>296</v>
      </c>
    </row>
    <row r="31" spans="1:14" x14ac:dyDescent="0.25">
      <c r="A31" s="12" t="s">
        <v>297</v>
      </c>
      <c r="D31" s="13" t="str">
        <f>ДИЕТА_ОВД</f>
        <v>ОВД</v>
      </c>
    </row>
    <row r="32" spans="1:14" x14ac:dyDescent="0.25">
      <c r="A32" s="12" t="s">
        <v>1429</v>
      </c>
    </row>
    <row r="33" spans="1:14" x14ac:dyDescent="0.25">
      <c r="A33" s="12" t="s">
        <v>300</v>
      </c>
      <c r="E33" s="2"/>
    </row>
    <row r="34" spans="1:14" x14ac:dyDescent="0.25">
      <c r="E34" s="2"/>
    </row>
    <row r="35" spans="1:14" hidden="1" x14ac:dyDescent="0.25">
      <c r="C35" s="45" t="s">
        <v>429</v>
      </c>
      <c r="F35" s="8"/>
      <c r="N35" s="78"/>
    </row>
    <row r="36" spans="1:14" hidden="1" x14ac:dyDescent="0.25">
      <c r="C36" s="95" t="s">
        <v>437</v>
      </c>
      <c r="F36" s="8"/>
      <c r="N36" s="78"/>
    </row>
    <row r="37" spans="1:14" hidden="1" x14ac:dyDescent="0.25">
      <c r="C37" s="45" t="s">
        <v>448</v>
      </c>
      <c r="F37" s="17"/>
      <c r="N37" s="78"/>
    </row>
    <row r="38" spans="1:14" hidden="1" x14ac:dyDescent="0.25">
      <c r="C38" s="45" t="s">
        <v>447</v>
      </c>
      <c r="F38" s="17"/>
      <c r="N38" s="78"/>
    </row>
    <row r="39" spans="1:14" hidden="1" x14ac:dyDescent="0.25">
      <c r="C39" s="45" t="s">
        <v>428</v>
      </c>
      <c r="F39" s="8"/>
      <c r="N39" s="78"/>
    </row>
    <row r="40" spans="1:14" hidden="1" x14ac:dyDescent="0.25">
      <c r="C40" s="45" t="s">
        <v>146</v>
      </c>
      <c r="F40" s="8"/>
      <c r="N40" s="78"/>
    </row>
    <row r="41" spans="1:14" hidden="1" x14ac:dyDescent="0.25">
      <c r="C41" s="45" t="s">
        <v>451</v>
      </c>
      <c r="F41" s="8"/>
      <c r="N41" s="78"/>
    </row>
    <row r="42" spans="1:14" hidden="1" x14ac:dyDescent="0.25">
      <c r="C42" s="95" t="s">
        <v>430</v>
      </c>
      <c r="F42" s="8"/>
      <c r="N42" s="78"/>
    </row>
    <row r="43" spans="1:14" hidden="1" x14ac:dyDescent="0.25">
      <c r="C43" s="95" t="s">
        <v>438</v>
      </c>
      <c r="F43" s="8"/>
      <c r="N43" s="78"/>
    </row>
    <row r="44" spans="1:14" x14ac:dyDescent="0.25">
      <c r="C44" s="95" t="s">
        <v>431</v>
      </c>
      <c r="F44" s="8"/>
    </row>
    <row r="45" spans="1:14" hidden="1" x14ac:dyDescent="0.25">
      <c r="C45" s="95" t="s">
        <v>435</v>
      </c>
      <c r="F45" s="8"/>
      <c r="N45" s="78"/>
    </row>
    <row r="46" spans="1:14" hidden="1" x14ac:dyDescent="0.25">
      <c r="C46" s="45" t="s">
        <v>439</v>
      </c>
      <c r="F46" s="8"/>
      <c r="N46" s="78"/>
    </row>
    <row r="47" spans="1:14" hidden="1" x14ac:dyDescent="0.25">
      <c r="C47" s="45" t="s">
        <v>449</v>
      </c>
      <c r="F47" s="8"/>
      <c r="N47" s="78"/>
    </row>
    <row r="48" spans="1:14" hidden="1" x14ac:dyDescent="0.25">
      <c r="C48" s="45" t="s">
        <v>443</v>
      </c>
      <c r="F48" s="8"/>
      <c r="N48" s="78"/>
    </row>
    <row r="49" spans="1:14" hidden="1" x14ac:dyDescent="0.25">
      <c r="C49" s="45" t="s">
        <v>444</v>
      </c>
      <c r="F49" s="8"/>
      <c r="N49" s="78"/>
    </row>
    <row r="50" spans="1:14" hidden="1" x14ac:dyDescent="0.25">
      <c r="C50" s="45" t="s">
        <v>445</v>
      </c>
      <c r="F50" s="8"/>
      <c r="N50" s="78"/>
    </row>
    <row r="51" spans="1:14" hidden="1" x14ac:dyDescent="0.25">
      <c r="C51" s="45" t="s">
        <v>446</v>
      </c>
      <c r="F51" s="8"/>
      <c r="N51" s="78"/>
    </row>
    <row r="52" spans="1:14" hidden="1" x14ac:dyDescent="0.25">
      <c r="C52" s="45" t="s">
        <v>450</v>
      </c>
      <c r="F52" s="8"/>
      <c r="N52" s="78"/>
    </row>
    <row r="53" spans="1:14" hidden="1" x14ac:dyDescent="0.25">
      <c r="C53" s="45" t="s">
        <v>454</v>
      </c>
      <c r="F53" s="8"/>
      <c r="N53" s="78"/>
    </row>
    <row r="54" spans="1:14" hidden="1" x14ac:dyDescent="0.25">
      <c r="C54" s="45" t="s">
        <v>455</v>
      </c>
      <c r="F54" s="8"/>
      <c r="N54" s="78"/>
    </row>
    <row r="55" spans="1:14" hidden="1" x14ac:dyDescent="0.25">
      <c r="C55" s="45" t="s">
        <v>456</v>
      </c>
      <c r="F55" s="8"/>
      <c r="N55" s="78"/>
    </row>
    <row r="56" spans="1:14" hidden="1" x14ac:dyDescent="0.25">
      <c r="C56" s="45" t="s">
        <v>457</v>
      </c>
      <c r="F56" s="8"/>
      <c r="N56" s="78"/>
    </row>
    <row r="57" spans="1:14" hidden="1" x14ac:dyDescent="0.25">
      <c r="C57" s="45" t="s">
        <v>460</v>
      </c>
      <c r="F57" s="8"/>
      <c r="N57" s="78"/>
    </row>
    <row r="58" spans="1:14" hidden="1" x14ac:dyDescent="0.25">
      <c r="C58" s="45" t="s">
        <v>464</v>
      </c>
      <c r="F58" s="8"/>
      <c r="N58" s="78"/>
    </row>
    <row r="59" spans="1:14" hidden="1" x14ac:dyDescent="0.25">
      <c r="C59" s="45" t="s">
        <v>475</v>
      </c>
      <c r="F59" s="8"/>
      <c r="N59" s="78"/>
    </row>
    <row r="60" spans="1:14" hidden="1" x14ac:dyDescent="0.25">
      <c r="C60" s="95" t="s">
        <v>476</v>
      </c>
      <c r="F60" s="8"/>
      <c r="N60" s="78"/>
    </row>
    <row r="61" spans="1:14" hidden="1" x14ac:dyDescent="0.25">
      <c r="C61" s="45" t="s">
        <v>436</v>
      </c>
      <c r="F61" s="8"/>
      <c r="N61" s="78"/>
    </row>
    <row r="62" spans="1:14" hidden="1" x14ac:dyDescent="0.25">
      <c r="C62" s="95" t="s">
        <v>474</v>
      </c>
      <c r="F62" s="8"/>
      <c r="N62" s="78"/>
    </row>
    <row r="63" spans="1:14" hidden="1" x14ac:dyDescent="0.25">
      <c r="C63" s="45" t="s">
        <v>465</v>
      </c>
      <c r="F63" s="8"/>
      <c r="N63" s="78"/>
    </row>
    <row r="64" spans="1:14" x14ac:dyDescent="0.25">
      <c r="A64" s="12" t="s">
        <v>303</v>
      </c>
    </row>
    <row r="65" spans="1:14" x14ac:dyDescent="0.25">
      <c r="B65" s="89" t="s">
        <v>301</v>
      </c>
    </row>
    <row r="66" spans="1:14" x14ac:dyDescent="0.25">
      <c r="A66" s="12" t="s">
        <v>417</v>
      </c>
    </row>
    <row r="67" spans="1:14" x14ac:dyDescent="0.25">
      <c r="D67" s="89" t="s">
        <v>302</v>
      </c>
    </row>
    <row r="68" spans="1:14" x14ac:dyDescent="0.25">
      <c r="A68" s="12" t="s">
        <v>304</v>
      </c>
    </row>
    <row r="69" spans="1:14" hidden="1" x14ac:dyDescent="0.25">
      <c r="C69" s="45" t="s">
        <v>477</v>
      </c>
      <c r="N69" s="78"/>
    </row>
    <row r="70" spans="1:14" hidden="1" x14ac:dyDescent="0.25">
      <c r="C70" s="45" t="s">
        <v>473</v>
      </c>
      <c r="N70" s="78"/>
    </row>
    <row r="71" spans="1:14" hidden="1" x14ac:dyDescent="0.25">
      <c r="C71" s="45" t="s">
        <v>471</v>
      </c>
      <c r="N71" s="78"/>
    </row>
    <row r="72" spans="1:14" hidden="1" x14ac:dyDescent="0.25">
      <c r="C72" s="45" t="s">
        <v>462</v>
      </c>
      <c r="N72" s="78"/>
    </row>
    <row r="73" spans="1:14" hidden="1" x14ac:dyDescent="0.25">
      <c r="C73" s="95" t="s">
        <v>421</v>
      </c>
      <c r="N73" s="78"/>
    </row>
    <row r="74" spans="1:14" hidden="1" x14ac:dyDescent="0.25">
      <c r="C74" s="95" t="s">
        <v>469</v>
      </c>
      <c r="N74" s="78"/>
    </row>
    <row r="75" spans="1:14" hidden="1" x14ac:dyDescent="0.25">
      <c r="C75" s="95" t="s">
        <v>468</v>
      </c>
      <c r="N75" s="78"/>
    </row>
    <row r="76" spans="1:14" hidden="1" x14ac:dyDescent="0.25">
      <c r="C76" s="45" t="s">
        <v>459</v>
      </c>
      <c r="N76" s="78"/>
    </row>
    <row r="77" spans="1:14" hidden="1" x14ac:dyDescent="0.25">
      <c r="C77" s="45" t="s">
        <v>461</v>
      </c>
      <c r="N77" s="78"/>
    </row>
    <row r="78" spans="1:14" x14ac:dyDescent="0.25">
      <c r="A78" s="12" t="s">
        <v>306</v>
      </c>
      <c r="C78" s="2"/>
    </row>
    <row r="79" spans="1:14" hidden="1" x14ac:dyDescent="0.25">
      <c r="C79" s="97" t="s">
        <v>440</v>
      </c>
      <c r="N79" s="78"/>
    </row>
    <row r="80" spans="1:14" hidden="1" x14ac:dyDescent="0.25">
      <c r="C80" s="97" t="s">
        <v>470</v>
      </c>
      <c r="N80" s="78"/>
    </row>
    <row r="81" spans="1:14" hidden="1" x14ac:dyDescent="0.25">
      <c r="C81" s="97" t="s">
        <v>467</v>
      </c>
      <c r="N81" s="78"/>
    </row>
    <row r="82" spans="1:14" hidden="1" x14ac:dyDescent="0.25">
      <c r="C82" s="97" t="s">
        <v>423</v>
      </c>
      <c r="N82" s="78"/>
    </row>
    <row r="83" spans="1:14" hidden="1" x14ac:dyDescent="0.25">
      <c r="C83" s="97" t="s">
        <v>426</v>
      </c>
      <c r="N83" s="78"/>
    </row>
    <row r="84" spans="1:14" hidden="1" x14ac:dyDescent="0.25">
      <c r="C84" s="97" t="s">
        <v>424</v>
      </c>
      <c r="N84" s="78"/>
    </row>
    <row r="85" spans="1:14" hidden="1" x14ac:dyDescent="0.25">
      <c r="C85" s="97" t="s">
        <v>424</v>
      </c>
      <c r="N85" s="78"/>
    </row>
    <row r="86" spans="1:14" hidden="1" x14ac:dyDescent="0.25">
      <c r="C86" s="97" t="s">
        <v>441</v>
      </c>
      <c r="N86" s="78"/>
    </row>
    <row r="87" spans="1:14" hidden="1" x14ac:dyDescent="0.25">
      <c r="C87" s="97" t="s">
        <v>425</v>
      </c>
      <c r="N87" s="78"/>
    </row>
    <row r="88" spans="1:14" hidden="1" x14ac:dyDescent="0.25">
      <c r="C88" s="97" t="s">
        <v>422</v>
      </c>
      <c r="N88" s="78"/>
    </row>
    <row r="89" spans="1:14" hidden="1" x14ac:dyDescent="0.25">
      <c r="C89" s="96" t="s">
        <v>472</v>
      </c>
      <c r="N89" s="78"/>
    </row>
    <row r="90" spans="1:14" hidden="1" x14ac:dyDescent="0.25">
      <c r="C90" s="96" t="s">
        <v>463</v>
      </c>
      <c r="N90" s="78"/>
    </row>
    <row r="91" spans="1:14" hidden="1" x14ac:dyDescent="0.25">
      <c r="C91" s="96" t="s">
        <v>452</v>
      </c>
      <c r="N91" s="78"/>
    </row>
    <row r="92" spans="1:14" x14ac:dyDescent="0.25">
      <c r="G92" s="40" t="s">
        <v>305</v>
      </c>
    </row>
    <row r="93" spans="1:14" x14ac:dyDescent="0.25">
      <c r="A93" s="12" t="s">
        <v>418</v>
      </c>
    </row>
    <row r="94" spans="1:14" x14ac:dyDescent="0.25">
      <c r="A94" s="12" t="s">
        <v>307</v>
      </c>
    </row>
    <row r="95" spans="1:14" x14ac:dyDescent="0.25">
      <c r="A95" s="12" t="s">
        <v>1430</v>
      </c>
      <c r="J95" s="12" t="s">
        <v>237</v>
      </c>
    </row>
    <row r="96" spans="1:14" x14ac:dyDescent="0.25">
      <c r="A96" s="12" t="s">
        <v>308</v>
      </c>
    </row>
    <row r="97" spans="1:6" x14ac:dyDescent="0.25">
      <c r="A97" s="12" t="s">
        <v>1431</v>
      </c>
    </row>
    <row r="99" spans="1:6" x14ac:dyDescent="0.25">
      <c r="B99" s="12" t="s">
        <v>309</v>
      </c>
      <c r="F99" s="13" t="str">
        <f>Лечащий_врач</f>
        <v>Еременко А. Н.</v>
      </c>
    </row>
    <row r="100" spans="1:6" x14ac:dyDescent="0.25">
      <c r="F100" s="41" t="s">
        <v>285</v>
      </c>
    </row>
    <row r="102" spans="1:6" x14ac:dyDescent="0.25">
      <c r="B102" s="12" t="s">
        <v>311</v>
      </c>
      <c r="F102" s="13" t="str">
        <f>Зав.отд.</f>
        <v>Еременко С. Н.</v>
      </c>
    </row>
    <row r="103" spans="1:6" x14ac:dyDescent="0.25">
      <c r="F103" s="41" t="s">
        <v>285</v>
      </c>
    </row>
    <row r="104" spans="1:6" x14ac:dyDescent="0.25">
      <c r="B104" s="40" t="s">
        <v>312</v>
      </c>
    </row>
    <row r="106" spans="1:6" x14ac:dyDescent="0.25">
      <c r="B106" s="12" t="s">
        <v>313</v>
      </c>
      <c r="F106" s="13" t="str">
        <f>ФИО</f>
        <v>Иванова Е.П.</v>
      </c>
    </row>
  </sheetData>
  <sheetProtection formatRows="0" autoFilter="0"/>
  <autoFilter ref="C34:C91">
    <filterColumn colId="0">
      <filters>
        <filter val="Таб. Трентал ретард 400мг 1-2 р/сут 1 мес."/>
      </filters>
    </filterColumn>
    <sortState ref="C45:C78">
      <sortCondition ref="C34:C91"/>
    </sortState>
  </autoFilter>
  <mergeCells count="5">
    <mergeCell ref="I9:J9"/>
    <mergeCell ref="C13:G13"/>
    <mergeCell ref="A18:L18"/>
    <mergeCell ref="A20:L20"/>
    <mergeCell ref="H8:L8"/>
  </mergeCells>
  <pageMargins left="0.90297619047619049" right="0.48452380952380952" top="0.44117647058823528" bottom="0.75" header="0.3" footer="0.3"/>
  <pageSetup paperSize="9" scale="74"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1:N64"/>
  <sheetViews>
    <sheetView view="pageLayout" zoomScale="70" zoomScaleNormal="100" zoomScaleSheetLayoutView="55" zoomScalePageLayoutView="70" workbookViewId="0">
      <selection activeCell="C18" sqref="C18:K18"/>
    </sheetView>
  </sheetViews>
  <sheetFormatPr defaultRowHeight="18.75" x14ac:dyDescent="0.3"/>
  <cols>
    <col min="1" max="1" width="13.42578125" style="99" bestFit="1" customWidth="1"/>
    <col min="2" max="2" width="15.28515625" style="99" customWidth="1"/>
    <col min="3" max="4" width="13.42578125" style="99" bestFit="1" customWidth="1"/>
    <col min="5" max="5" width="9.140625" style="99"/>
    <col min="6" max="6" width="9.42578125" style="99" bestFit="1" customWidth="1"/>
    <col min="7" max="12" width="9.140625" style="99"/>
    <col min="13" max="13" width="118.85546875" style="158" hidden="1" customWidth="1"/>
    <col min="14" max="14" width="90" style="158" hidden="1" customWidth="1"/>
    <col min="15" max="16384" width="9.140625" style="99"/>
  </cols>
  <sheetData>
    <row r="1" spans="1:13" x14ac:dyDescent="0.3">
      <c r="K1" s="145" t="s">
        <v>149</v>
      </c>
      <c r="M1" s="522"/>
    </row>
    <row r="2" spans="1:13" x14ac:dyDescent="0.3">
      <c r="K2" s="145" t="s">
        <v>150</v>
      </c>
      <c r="M2" s="522"/>
    </row>
    <row r="3" spans="1:13" x14ac:dyDescent="0.3">
      <c r="K3" s="145" t="s">
        <v>151</v>
      </c>
      <c r="M3" s="522"/>
    </row>
    <row r="4" spans="1:13" x14ac:dyDescent="0.3">
      <c r="K4" s="145" t="s">
        <v>152</v>
      </c>
      <c r="M4" s="522"/>
    </row>
    <row r="5" spans="1:13" x14ac:dyDescent="0.3">
      <c r="M5" s="522"/>
    </row>
    <row r="6" spans="1:13" ht="20.25" x14ac:dyDescent="0.3">
      <c r="F6" s="210" t="s">
        <v>153</v>
      </c>
      <c r="G6" s="537">
        <f>№_и_б</f>
        <v>21949</v>
      </c>
      <c r="M6" s="522"/>
    </row>
    <row r="7" spans="1:13" ht="37.5" x14ac:dyDescent="0.3">
      <c r="E7" s="535" t="s">
        <v>154</v>
      </c>
      <c r="M7" s="522" t="s">
        <v>2104</v>
      </c>
    </row>
    <row r="8" spans="1:13" ht="20.25" x14ac:dyDescent="0.3">
      <c r="E8" s="535" t="s">
        <v>155</v>
      </c>
      <c r="M8" s="522"/>
    </row>
    <row r="9" spans="1:13" x14ac:dyDescent="0.3">
      <c r="M9" s="522"/>
    </row>
    <row r="10" spans="1:13" ht="20.25" x14ac:dyDescent="0.3">
      <c r="A10" s="164" t="s">
        <v>164</v>
      </c>
      <c r="M10" s="522"/>
    </row>
    <row r="11" spans="1:13" ht="37.5" x14ac:dyDescent="0.3">
      <c r="A11" s="27" t="s">
        <v>156</v>
      </c>
      <c r="M11" s="522" t="s">
        <v>2104</v>
      </c>
    </row>
    <row r="12" spans="1:13" ht="37.5" x14ac:dyDescent="0.3">
      <c r="A12" s="164" t="s">
        <v>163</v>
      </c>
      <c r="M12" s="522" t="s">
        <v>2104</v>
      </c>
    </row>
    <row r="13" spans="1:13" ht="37.5" x14ac:dyDescent="0.3">
      <c r="A13" s="27" t="s">
        <v>157</v>
      </c>
      <c r="M13" s="522" t="s">
        <v>2104</v>
      </c>
    </row>
    <row r="14" spans="1:13" ht="37.5" x14ac:dyDescent="0.3">
      <c r="A14" s="164" t="s">
        <v>158</v>
      </c>
      <c r="J14" s="362" t="s">
        <v>159</v>
      </c>
      <c r="K14" s="363" t="s">
        <v>160</v>
      </c>
      <c r="M14" s="522" t="s">
        <v>2104</v>
      </c>
    </row>
    <row r="15" spans="1:13" ht="37.5" x14ac:dyDescent="0.3">
      <c r="A15" s="164" t="s">
        <v>161</v>
      </c>
      <c r="E15" s="1121" t="str">
        <f>ФИО</f>
        <v>Иванова Е.П.</v>
      </c>
      <c r="F15" s="851"/>
      <c r="G15" s="851"/>
      <c r="H15" s="851"/>
      <c r="I15" s="851"/>
      <c r="J15" s="851"/>
      <c r="K15" s="851"/>
      <c r="M15" s="522" t="s">
        <v>2104</v>
      </c>
    </row>
    <row r="16" spans="1:13" ht="37.5" x14ac:dyDescent="0.3">
      <c r="A16" s="164" t="s">
        <v>2122</v>
      </c>
      <c r="B16" s="80" t="str">
        <f>IF(ПОЛ=1, "Муж – 1; ", "Жен – 2")</f>
        <v xml:space="preserve">Муж – 1; </v>
      </c>
      <c r="C16" s="80"/>
      <c r="E16" s="164" t="s">
        <v>165</v>
      </c>
      <c r="H16" s="24" t="s">
        <v>162</v>
      </c>
      <c r="M16" s="522" t="s">
        <v>2104</v>
      </c>
    </row>
    <row r="17" spans="1:14" ht="37.5" x14ac:dyDescent="0.3">
      <c r="A17" s="164" t="s">
        <v>2123</v>
      </c>
      <c r="C17" s="28" t="e">
        <f>дата_рождения</f>
        <v>#REF!</v>
      </c>
      <c r="M17" s="522" t="s">
        <v>2104</v>
      </c>
    </row>
    <row r="18" spans="1:14" ht="37.5" x14ac:dyDescent="0.3">
      <c r="A18" s="164" t="s">
        <v>166</v>
      </c>
      <c r="C18" s="1119" t="str">
        <f>трудовой_анамнез</f>
        <v>пенсионер, в б\л не нуждается</v>
      </c>
      <c r="D18" s="1120"/>
      <c r="E18" s="1120"/>
      <c r="F18" s="1120"/>
      <c r="G18" s="1120"/>
      <c r="H18" s="1120"/>
      <c r="I18" s="1120"/>
      <c r="J18" s="1120"/>
      <c r="K18" s="1120"/>
      <c r="M18" s="522" t="s">
        <v>2104</v>
      </c>
      <c r="N18" s="158" t="str">
        <f>C18</f>
        <v>пенсионер, в б\л не нуждается</v>
      </c>
    </row>
    <row r="19" spans="1:14" ht="37.5" x14ac:dyDescent="0.3">
      <c r="A19" s="164" t="s">
        <v>167</v>
      </c>
      <c r="C19" s="27" t="s">
        <v>189</v>
      </c>
      <c r="M19" s="522" t="s">
        <v>2104</v>
      </c>
    </row>
    <row r="20" spans="1:14" ht="37.5" x14ac:dyDescent="0.3">
      <c r="A20" s="164" t="s">
        <v>168</v>
      </c>
      <c r="C20" s="1121">
        <f>Место_жительства</f>
        <v>0</v>
      </c>
      <c r="D20" s="851"/>
      <c r="E20" s="851"/>
      <c r="F20" s="851"/>
      <c r="G20" s="851"/>
      <c r="H20" s="851"/>
      <c r="I20" s="851"/>
      <c r="J20" s="851"/>
      <c r="K20" s="851"/>
      <c r="M20" s="522" t="s">
        <v>2104</v>
      </c>
    </row>
    <row r="21" spans="1:14" ht="37.5" x14ac:dyDescent="0.3">
      <c r="A21" s="164" t="s">
        <v>22</v>
      </c>
      <c r="B21" s="863">
        <f>Телефон</f>
        <v>0</v>
      </c>
      <c r="C21" s="1128"/>
      <c r="M21" s="522" t="s">
        <v>2104</v>
      </c>
    </row>
    <row r="22" spans="1:14" ht="37.5" x14ac:dyDescent="0.3">
      <c r="A22" s="164" t="s">
        <v>169</v>
      </c>
      <c r="D22" s="28">
        <f>дата_поступления</f>
        <v>42592</v>
      </c>
      <c r="M22" s="522" t="s">
        <v>2104</v>
      </c>
    </row>
    <row r="23" spans="1:14" ht="37.5" x14ac:dyDescent="0.3">
      <c r="A23" s="1135" t="s">
        <v>2124</v>
      </c>
      <c r="B23" s="848"/>
      <c r="C23" s="848"/>
      <c r="D23" s="28">
        <f>Дата_выписки</f>
        <v>0</v>
      </c>
      <c r="M23" s="522" t="s">
        <v>2104</v>
      </c>
    </row>
    <row r="24" spans="1:14" ht="37.5" x14ac:dyDescent="0.3">
      <c r="A24" s="164" t="s">
        <v>170</v>
      </c>
      <c r="F24" s="538">
        <f ca="1">Койкодень_общий</f>
        <v>9</v>
      </c>
      <c r="G24" s="27" t="s">
        <v>378</v>
      </c>
      <c r="M24" s="522" t="s">
        <v>2104</v>
      </c>
    </row>
    <row r="25" spans="1:14" x14ac:dyDescent="0.3">
      <c r="B25" s="74"/>
      <c r="C25" s="74"/>
      <c r="D25" s="74"/>
      <c r="E25" s="74"/>
      <c r="F25" s="74"/>
      <c r="G25" s="74"/>
      <c r="H25" s="74"/>
      <c r="M25" s="522"/>
    </row>
    <row r="26" spans="1:14" ht="20.25" x14ac:dyDescent="0.3">
      <c r="A26" s="536" t="s">
        <v>71</v>
      </c>
      <c r="K26" s="149"/>
      <c r="L26" s="149"/>
    </row>
    <row r="27" spans="1:14" ht="37.5" x14ac:dyDescent="0.3">
      <c r="A27" s="1130"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27" s="1131"/>
      <c r="C27" s="1131"/>
      <c r="D27" s="1131"/>
      <c r="E27" s="1131"/>
      <c r="F27" s="1131"/>
      <c r="G27" s="1131"/>
      <c r="H27" s="1131"/>
      <c r="I27" s="1131"/>
      <c r="J27" s="1131"/>
      <c r="K27" s="1131"/>
      <c r="M27" s="158" t="str">
        <f>A27</f>
        <v>МКБ, рецидив. Резидуальный камень н\чашки справа 20 мм.                                                                                                                                                                                                                                                                                                                                                           Гидронефроз справа 1 ст. Хронический калькулезный пиелонефрит , латентное течение. ХПН 0-1</v>
      </c>
    </row>
    <row r="28" spans="1:14" ht="20.25" x14ac:dyDescent="0.3">
      <c r="A28" s="536" t="str">
        <f>IF(Сопутствующий_диагноз=0, " ", "Сопутствующий диагноз:")</f>
        <v>Сопутствующий диагноз:</v>
      </c>
      <c r="K28" s="149"/>
      <c r="L28" s="149"/>
    </row>
    <row r="29" spans="1:14" x14ac:dyDescent="0.3">
      <c r="A29" s="1130" t="str">
        <f>IF(Сопутствующий_диагноз=0, " ", Сопутствующий_диагноз)</f>
        <v xml:space="preserve">ИБС: АКС. САГ 2 ст, 2 ст, риск 3. Ожирение 3-4 ст. П\о вентральная грыжа. </v>
      </c>
      <c r="B29" s="1132"/>
      <c r="C29" s="1132"/>
      <c r="D29" s="1132"/>
      <c r="E29" s="1132"/>
      <c r="F29" s="1132"/>
      <c r="G29" s="1132"/>
      <c r="H29" s="1132"/>
      <c r="I29" s="1132"/>
      <c r="J29" s="1132"/>
      <c r="K29" s="1132"/>
      <c r="M29" s="158" t="str">
        <f>A29</f>
        <v xml:space="preserve">ИБС: АКС. САГ 2 ст, 2 ст, риск 3. Ожирение 3-4 ст. П\о вентральная грыжа. </v>
      </c>
    </row>
    <row r="30" spans="1:14" ht="37.5" x14ac:dyDescent="0.3">
      <c r="A30" s="164" t="s">
        <v>171</v>
      </c>
      <c r="B30" s="539">
        <v>1</v>
      </c>
      <c r="M30" s="522" t="s">
        <v>2104</v>
      </c>
    </row>
    <row r="31" spans="1:14" ht="20.25" x14ac:dyDescent="0.3">
      <c r="A31" s="164" t="s">
        <v>172</v>
      </c>
      <c r="M31" s="522"/>
    </row>
    <row r="32" spans="1:14" x14ac:dyDescent="0.3">
      <c r="A32" s="1129" t="str">
        <f>IF(ГИСТОЛОГИЯ=0, " ", ГИСТОЛОГИЯ)</f>
        <v xml:space="preserve"> </v>
      </c>
      <c r="B32" s="1129"/>
      <c r="C32" s="1129"/>
      <c r="D32" s="1129"/>
      <c r="E32" s="1129"/>
      <c r="F32" s="1129"/>
      <c r="G32" s="1129"/>
      <c r="H32" s="1129"/>
      <c r="I32" s="1129"/>
      <c r="J32" s="1129"/>
      <c r="K32" s="855"/>
      <c r="M32" s="158" t="str">
        <f>A32</f>
        <v xml:space="preserve"> </v>
      </c>
    </row>
    <row r="33" spans="1:14" ht="20.25" x14ac:dyDescent="0.3">
      <c r="A33" s="164" t="s">
        <v>1432</v>
      </c>
      <c r="B33" s="80" t="str">
        <f>IF( Радикальность_операции =1, "радикальное - 1", "паллиативное - 2")</f>
        <v>радикальное - 1</v>
      </c>
      <c r="C33" s="80"/>
      <c r="D33" s="80"/>
      <c r="M33" s="522"/>
    </row>
    <row r="34" spans="1:14" ht="37.5" x14ac:dyDescent="0.3">
      <c r="A34" s="164" t="s">
        <v>173</v>
      </c>
      <c r="M34" s="522" t="s">
        <v>2104</v>
      </c>
    </row>
    <row r="35" spans="1:14" x14ac:dyDescent="0.3">
      <c r="A35" s="81">
        <f>IF(Химиотерапия=1, " ", Дата_операции)</f>
        <v>42587</v>
      </c>
      <c r="C35" s="1133" t="str">
        <f>IF(Химиотерапия=1, " ", Планируемое_оперативное_вмешательство__проведенное)</f>
        <v xml:space="preserve">Комбинированная нефролитолапаксия. Стентирование справа. </v>
      </c>
      <c r="D35" s="1133"/>
      <c r="E35" s="1133"/>
      <c r="F35" s="1133"/>
      <c r="G35" s="1133"/>
      <c r="H35" s="1133"/>
      <c r="I35" s="1133"/>
      <c r="J35" s="1133"/>
      <c r="K35" s="1134"/>
      <c r="M35" s="522"/>
      <c r="N35" s="158" t="str">
        <f>C35</f>
        <v xml:space="preserve">Комбинированная нефролитолапаксия. Стентирование справа. </v>
      </c>
    </row>
    <row r="36" spans="1:14" x14ac:dyDescent="0.3">
      <c r="A36" s="73"/>
      <c r="C36" s="1122"/>
      <c r="D36" s="1123"/>
      <c r="E36" s="1123"/>
      <c r="F36" s="1123"/>
      <c r="G36" s="1123"/>
      <c r="H36" s="1123"/>
      <c r="I36" s="1123"/>
      <c r="J36" s="1123"/>
      <c r="K36" s="1123"/>
    </row>
    <row r="37" spans="1:14" ht="37.5" x14ac:dyDescent="0.3">
      <c r="A37" s="164" t="s">
        <v>174</v>
      </c>
      <c r="M37" s="522" t="s">
        <v>2104</v>
      </c>
    </row>
    <row r="38" spans="1:14" ht="37.5" x14ac:dyDescent="0.3">
      <c r="A38" s="99" t="s">
        <v>188</v>
      </c>
      <c r="M38" s="522" t="s">
        <v>2104</v>
      </c>
    </row>
    <row r="39" spans="1:14" ht="37.5" x14ac:dyDescent="0.3">
      <c r="A39" s="164" t="s">
        <v>175</v>
      </c>
      <c r="M39" s="522" t="s">
        <v>2104</v>
      </c>
    </row>
    <row r="40" spans="1:14" ht="37.5" x14ac:dyDescent="0.3">
      <c r="A40" s="99" t="s">
        <v>188</v>
      </c>
      <c r="M40" s="522" t="s">
        <v>2104</v>
      </c>
    </row>
    <row r="41" spans="1:14" ht="37.5" x14ac:dyDescent="0.3">
      <c r="A41" s="164" t="s">
        <v>176</v>
      </c>
      <c r="M41" s="522" t="s">
        <v>2104</v>
      </c>
    </row>
    <row r="42" spans="1:14" ht="37.5" x14ac:dyDescent="0.3">
      <c r="A42" s="99" t="s">
        <v>188</v>
      </c>
      <c r="M42" s="522" t="s">
        <v>2104</v>
      </c>
    </row>
    <row r="43" spans="1:14" ht="37.5" x14ac:dyDescent="0.3">
      <c r="A43" s="164" t="s">
        <v>177</v>
      </c>
      <c r="M43" s="522" t="s">
        <v>2104</v>
      </c>
    </row>
    <row r="44" spans="1:14" ht="37.5" x14ac:dyDescent="0.3">
      <c r="A44" s="99" t="s">
        <v>188</v>
      </c>
      <c r="M44" s="522" t="s">
        <v>2104</v>
      </c>
    </row>
    <row r="45" spans="1:14" ht="37.5" x14ac:dyDescent="0.3">
      <c r="A45" s="164" t="s">
        <v>178</v>
      </c>
      <c r="M45" s="522" t="s">
        <v>2104</v>
      </c>
    </row>
    <row r="46" spans="1:14" ht="37.5" x14ac:dyDescent="0.3">
      <c r="A46" s="99" t="s">
        <v>188</v>
      </c>
      <c r="M46" s="522" t="s">
        <v>2104</v>
      </c>
    </row>
    <row r="47" spans="1:14" ht="37.5" x14ac:dyDescent="0.3">
      <c r="A47" s="164" t="s">
        <v>179</v>
      </c>
      <c r="M47" s="522" t="s">
        <v>2104</v>
      </c>
    </row>
    <row r="48" spans="1:14" ht="37.5" x14ac:dyDescent="0.3">
      <c r="A48" s="99" t="s">
        <v>188</v>
      </c>
      <c r="M48" s="522" t="s">
        <v>2104</v>
      </c>
    </row>
    <row r="49" spans="1:14" ht="37.5" x14ac:dyDescent="0.3">
      <c r="A49" s="164" t="s">
        <v>180</v>
      </c>
      <c r="M49" s="522" t="s">
        <v>2104</v>
      </c>
    </row>
    <row r="50" spans="1:14" ht="37.5" x14ac:dyDescent="0.3">
      <c r="A50" s="164" t="s">
        <v>181</v>
      </c>
      <c r="M50" s="522" t="s">
        <v>2104</v>
      </c>
    </row>
    <row r="51" spans="1:14" x14ac:dyDescent="0.3">
      <c r="A51" s="1124" t="str">
        <f>IF(Химиотерапия=2, "_____________________________________________", Дата_операции)</f>
        <v>_____________________________________________</v>
      </c>
      <c r="B51" s="1127"/>
      <c r="C51" s="1126" t="str">
        <f>IF(Химиотерапия=1, Планируемое_оперативное_вмешательство__проведенное, "___________________нет___________________________________________ ")</f>
        <v xml:space="preserve">___________________нет___________________________________________ </v>
      </c>
      <c r="D51" s="1126"/>
      <c r="E51" s="1126"/>
      <c r="F51" s="1126"/>
      <c r="G51" s="1126"/>
      <c r="H51" s="1126"/>
      <c r="I51" s="1126"/>
      <c r="J51" s="1126"/>
      <c r="K51" s="1126"/>
      <c r="N51" s="158" t="str">
        <f>C51</f>
        <v xml:space="preserve">___________________нет___________________________________________ </v>
      </c>
    </row>
    <row r="52" spans="1:14" x14ac:dyDescent="0.3">
      <c r="A52" s="1124" t="str">
        <f>IF(Химиотерапия=1, "Внутрипузырная химиотерапия Митомицином С", " ")</f>
        <v xml:space="preserve"> </v>
      </c>
      <c r="B52" s="1125"/>
      <c r="C52" s="1125"/>
      <c r="D52" s="1125"/>
      <c r="E52" s="1125"/>
      <c r="F52" s="1125"/>
      <c r="G52" s="1125"/>
      <c r="H52" s="1125"/>
      <c r="I52" s="1125"/>
      <c r="J52" s="1125"/>
      <c r="K52" s="1125"/>
    </row>
    <row r="53" spans="1:14" ht="37.5" x14ac:dyDescent="0.3">
      <c r="A53" s="164" t="s">
        <v>182</v>
      </c>
      <c r="M53" s="522" t="s">
        <v>2104</v>
      </c>
    </row>
    <row r="54" spans="1:14" ht="37.5" x14ac:dyDescent="0.3">
      <c r="A54" s="99" t="s">
        <v>188</v>
      </c>
      <c r="M54" s="522" t="s">
        <v>2104</v>
      </c>
    </row>
    <row r="55" spans="1:14" ht="37.5" x14ac:dyDescent="0.3">
      <c r="A55" s="164" t="s">
        <v>183</v>
      </c>
      <c r="M55" s="522" t="s">
        <v>2104</v>
      </c>
    </row>
    <row r="56" spans="1:14" ht="37.5" x14ac:dyDescent="0.3">
      <c r="A56" s="99" t="s">
        <v>188</v>
      </c>
      <c r="M56" s="522" t="s">
        <v>2104</v>
      </c>
    </row>
    <row r="57" spans="1:14" ht="37.5" x14ac:dyDescent="0.3">
      <c r="A57" s="164" t="s">
        <v>184</v>
      </c>
      <c r="M57" s="522" t="s">
        <v>2104</v>
      </c>
    </row>
    <row r="58" spans="1:14" ht="37.5" x14ac:dyDescent="0.3">
      <c r="A58" s="99" t="s">
        <v>188</v>
      </c>
      <c r="M58" s="522" t="s">
        <v>2104</v>
      </c>
    </row>
    <row r="59" spans="1:14" ht="37.5" x14ac:dyDescent="0.3">
      <c r="A59" s="164" t="s">
        <v>185</v>
      </c>
      <c r="M59" s="522" t="s">
        <v>2104</v>
      </c>
    </row>
    <row r="60" spans="1:14" ht="37.5" x14ac:dyDescent="0.3">
      <c r="A60" s="99" t="s">
        <v>188</v>
      </c>
      <c r="M60" s="522" t="s">
        <v>2104</v>
      </c>
    </row>
    <row r="61" spans="1:14" ht="37.5" x14ac:dyDescent="0.3">
      <c r="M61" s="522" t="s">
        <v>2104</v>
      </c>
    </row>
    <row r="62" spans="1:14" x14ac:dyDescent="0.3">
      <c r="A62" s="99" t="s">
        <v>186</v>
      </c>
    </row>
    <row r="64" spans="1:14" x14ac:dyDescent="0.3">
      <c r="A64" s="73">
        <f>Дата_выписки</f>
        <v>0</v>
      </c>
      <c r="D64" s="99" t="s">
        <v>187</v>
      </c>
      <c r="F64" s="99" t="str">
        <f>Лечащий_врач</f>
        <v>Еременко А. Н.</v>
      </c>
    </row>
  </sheetData>
  <sheetProtection formatCells="0" formatRows="0"/>
  <mergeCells count="13">
    <mergeCell ref="C18:K18"/>
    <mergeCell ref="E15:K15"/>
    <mergeCell ref="C20:K20"/>
    <mergeCell ref="C36:K36"/>
    <mergeCell ref="A52:K52"/>
    <mergeCell ref="C51:K51"/>
    <mergeCell ref="A51:B51"/>
    <mergeCell ref="B21:C21"/>
    <mergeCell ref="A32:K32"/>
    <mergeCell ref="A27:K27"/>
    <mergeCell ref="A29:K29"/>
    <mergeCell ref="C35:K35"/>
    <mergeCell ref="A23:C23"/>
  </mergeCells>
  <pageMargins left="0.6919642857142857" right="0.4017857142857143" top="0.21205357142857142" bottom="0.27901785714285715" header="0.3" footer="0.3"/>
  <pageSetup paperSize="9" scale="75" orientation="portrait" r:id="rId1"/>
  <rowBreaks count="1" manualBreakCount="1">
    <brk id="36"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J18"/>
  <sheetViews>
    <sheetView view="pageLayout" topLeftCell="A13" zoomScaleNormal="100" zoomScaleSheetLayoutView="70" workbookViewId="0">
      <selection activeCell="C11" sqref="C11"/>
    </sheetView>
  </sheetViews>
  <sheetFormatPr defaultRowHeight="18.75" x14ac:dyDescent="0.25"/>
  <cols>
    <col min="1" max="1" width="26.140625" style="140" customWidth="1"/>
    <col min="2" max="2" width="4.28515625" style="140" customWidth="1"/>
    <col min="3" max="3" width="91.140625" style="146" customWidth="1"/>
    <col min="4" max="4" width="9.140625" style="133"/>
    <col min="5" max="5" width="91.28515625" style="147" hidden="1" customWidth="1"/>
    <col min="6" max="16384" width="9.140625" style="133"/>
  </cols>
  <sheetData>
    <row r="1" spans="1:10" x14ac:dyDescent="0.25">
      <c r="A1" s="104" t="s">
        <v>0</v>
      </c>
      <c r="B1" s="105"/>
      <c r="C1" s="106" t="str">
        <f>ФИО</f>
        <v>Иванова Е.П.</v>
      </c>
    </row>
    <row r="2" spans="1:10" x14ac:dyDescent="0.25">
      <c r="A2" s="107" t="s">
        <v>190</v>
      </c>
      <c r="B2" s="108"/>
      <c r="C2" s="109">
        <f>№_и_б</f>
        <v>21949</v>
      </c>
    </row>
    <row r="3" spans="1:10" x14ac:dyDescent="0.25">
      <c r="A3" s="110" t="s">
        <v>7</v>
      </c>
      <c r="B3" s="111"/>
      <c r="C3" s="112">
        <f>Телефон</f>
        <v>0</v>
      </c>
    </row>
    <row r="4" spans="1:10" x14ac:dyDescent="0.25">
      <c r="A4" s="1136" t="s">
        <v>191</v>
      </c>
      <c r="B4" s="113"/>
      <c r="C4" s="114" t="s">
        <v>71</v>
      </c>
      <c r="D4" s="64"/>
      <c r="E4" s="159"/>
      <c r="F4" s="64"/>
      <c r="G4" s="64"/>
      <c r="H4" s="64"/>
      <c r="I4" s="64"/>
      <c r="J4" s="64"/>
    </row>
    <row r="5" spans="1:10" ht="56.25" x14ac:dyDescent="0.25">
      <c r="A5" s="1137"/>
      <c r="B5" s="111"/>
      <c r="C5" s="115"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D5" s="160"/>
      <c r="E5" s="148" t="str">
        <f>C5</f>
        <v>МКБ, рецидив. Резидуальный камень н\чашки справа 20 мм.                                                                                                                                                                                                                                                                                                                                                           Гидронефроз справа 1 ст. Хронический калькулезный пиелонефрит , латентное течение. ХПН 0-1</v>
      </c>
      <c r="F5" s="160"/>
      <c r="G5" s="160"/>
      <c r="H5" s="160"/>
      <c r="I5" s="160"/>
      <c r="J5" s="160"/>
    </row>
    <row r="6" spans="1:10" x14ac:dyDescent="0.25">
      <c r="A6" s="1137"/>
      <c r="B6" s="111"/>
      <c r="C6" s="116" t="str">
        <f>IF(Сопутствующий_диагноз=0, " ", "Сопутствующий диагноз:")</f>
        <v>Сопутствующий диагноз:</v>
      </c>
      <c r="D6" s="64"/>
      <c r="E6" s="159"/>
      <c r="F6" s="64"/>
      <c r="G6" s="64"/>
      <c r="H6" s="64"/>
      <c r="I6" s="64"/>
      <c r="J6" s="64"/>
    </row>
    <row r="7" spans="1:10" ht="37.5" x14ac:dyDescent="0.25">
      <c r="A7" s="1138"/>
      <c r="B7" s="118"/>
      <c r="C7" s="295" t="str">
        <f>IF(Сопутствующий_диагноз=0, " ", Сопутствующий_диагноз)</f>
        <v xml:space="preserve">ИБС: АКС. САГ 2 ст, 2 ст, риск 3. Ожирение 3-4 ст. П\о вентральная грыжа. </v>
      </c>
      <c r="D7" s="141"/>
      <c r="E7" s="148" t="str">
        <f>C7</f>
        <v xml:space="preserve">ИБС: АКС. САГ 2 ст, 2 ст, риск 3. Ожирение 3-4 ст. П\о вентральная грыжа. </v>
      </c>
      <c r="F7" s="141"/>
      <c r="G7" s="141"/>
      <c r="H7" s="141"/>
      <c r="I7" s="141"/>
      <c r="J7" s="141"/>
    </row>
    <row r="8" spans="1:10" ht="30" x14ac:dyDescent="0.25">
      <c r="A8" s="117" t="s">
        <v>192</v>
      </c>
      <c r="B8" s="118"/>
      <c r="C8" s="112" t="str">
        <f>IF(Канал_поступления=2, "Э", "П")</f>
        <v>П</v>
      </c>
    </row>
    <row r="9" spans="1:10" x14ac:dyDescent="0.25">
      <c r="A9" s="107" t="s">
        <v>193</v>
      </c>
      <c r="B9" s="111"/>
      <c r="C9" s="119">
        <f>дата_поступления</f>
        <v>42592</v>
      </c>
    </row>
    <row r="10" spans="1:10" x14ac:dyDescent="0.25">
      <c r="A10" s="107" t="s">
        <v>194</v>
      </c>
      <c r="B10" s="108"/>
      <c r="C10" s="119" t="str">
        <f>IF(Дата_выписки=0, "-", Дата_выписки)</f>
        <v>-</v>
      </c>
    </row>
    <row r="11" spans="1:10" x14ac:dyDescent="0.25">
      <c r="A11" s="107" t="s">
        <v>720</v>
      </c>
      <c r="B11" s="111"/>
      <c r="C11" s="112">
        <f ca="1">Койкодень_общий</f>
        <v>9</v>
      </c>
    </row>
    <row r="12" spans="1:10" x14ac:dyDescent="0.25">
      <c r="A12" s="107" t="s">
        <v>721</v>
      </c>
      <c r="B12" s="108"/>
      <c r="C12" s="112">
        <f>Койкодень_до_опер</f>
        <v>-5</v>
      </c>
    </row>
    <row r="13" spans="1:10" x14ac:dyDescent="0.25">
      <c r="A13" s="107" t="s">
        <v>195</v>
      </c>
      <c r="B13" s="111"/>
      <c r="C13" s="366" t="str">
        <f>IF(Планируемое_оперативное_вмешательство__проведенное=0, "-", Планируемое_оперативное_вмешательство__проведенное)</f>
        <v xml:space="preserve">Комбинированная нефролитолапаксия. Стентирование справа. </v>
      </c>
      <c r="E13" s="147" t="str">
        <f>C13</f>
        <v xml:space="preserve">Комбинированная нефролитолапаксия. Стентирование справа. </v>
      </c>
    </row>
    <row r="14" spans="1:10" ht="29.25" x14ac:dyDescent="0.25">
      <c r="A14" s="107" t="s">
        <v>722</v>
      </c>
      <c r="B14" s="108"/>
      <c r="C14" s="112">
        <f ca="1">Койкодень_после_опер</f>
        <v>14</v>
      </c>
    </row>
    <row r="15" spans="1:10" ht="30" x14ac:dyDescent="0.25">
      <c r="A15" s="107" t="s">
        <v>196</v>
      </c>
      <c r="B15" s="111"/>
      <c r="C15" s="526" t="s">
        <v>198</v>
      </c>
    </row>
    <row r="16" spans="1:10" x14ac:dyDescent="0.25">
      <c r="A16" s="107" t="s">
        <v>197</v>
      </c>
      <c r="B16" s="108"/>
      <c r="C16" s="526" t="s">
        <v>198</v>
      </c>
    </row>
    <row r="17" spans="1:3" x14ac:dyDescent="0.25">
      <c r="A17" s="107" t="str">
        <f>IF(КОД_ВМТ=0,"Код выписки","Код выписки (ВМТ)")</f>
        <v>Код выписки</v>
      </c>
      <c r="B17" s="111"/>
      <c r="C17" s="161" t="str">
        <f>IF(КОД_ВМТ=0,КОД_ВЫПИСКИ,IF(КОД_ВМТ="-",КОД_ВЫПИСКИ,КОД_ВМТ))</f>
        <v>отрицательно</v>
      </c>
    </row>
    <row r="18" spans="1:3" ht="19.5" thickBot="1" x14ac:dyDescent="0.3">
      <c r="A18" s="120" t="s">
        <v>74</v>
      </c>
      <c r="B18" s="121"/>
      <c r="C18" s="122" t="str">
        <f>Лечащий_врач</f>
        <v>Еременко А. Н.</v>
      </c>
    </row>
  </sheetData>
  <sheetProtection formatCells="0" formatRows="0"/>
  <mergeCells count="1">
    <mergeCell ref="A4:A7"/>
  </mergeCells>
  <pageMargins left="0.36416666666666669" right="0.39583333333333331" top="0.41166666666666668" bottom="0.75" header="0.3" footer="0.3"/>
  <pageSetup paperSize="9" scale="76"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N102"/>
  <sheetViews>
    <sheetView view="pageLayout" zoomScale="115" zoomScaleNormal="100" zoomScaleSheetLayoutView="145" zoomScalePageLayoutView="115" workbookViewId="0">
      <selection activeCell="A98" sqref="A98"/>
    </sheetView>
  </sheetViews>
  <sheetFormatPr defaultRowHeight="15.75" x14ac:dyDescent="0.25"/>
  <cols>
    <col min="3" max="3" width="9.140625" customWidth="1"/>
    <col min="4" max="4" width="12" bestFit="1" customWidth="1"/>
    <col min="5" max="5" width="10.85546875" bestFit="1" customWidth="1"/>
    <col min="6" max="6" width="12" bestFit="1" customWidth="1"/>
    <col min="9" max="12" width="9.140625" style="5"/>
    <col min="13" max="13" width="98.5703125" style="333" hidden="1" customWidth="1"/>
    <col min="14" max="14" width="66.5703125" style="338" hidden="1" customWidth="1"/>
    <col min="18" max="18" width="9.140625" customWidth="1"/>
  </cols>
  <sheetData>
    <row r="1" spans="1:13" x14ac:dyDescent="0.25">
      <c r="F1" s="329" t="s">
        <v>1623</v>
      </c>
    </row>
    <row r="2" spans="1:13" x14ac:dyDescent="0.25">
      <c r="F2" s="329" t="s">
        <v>1624</v>
      </c>
    </row>
    <row r="3" spans="1:13" x14ac:dyDescent="0.25">
      <c r="F3" s="329" t="s">
        <v>1625</v>
      </c>
    </row>
    <row r="4" spans="1:13" x14ac:dyDescent="0.25">
      <c r="A4" s="82" t="s">
        <v>1626</v>
      </c>
      <c r="B4" s="82" t="s">
        <v>1627</v>
      </c>
      <c r="C4" s="82"/>
      <c r="D4" s="330" t="s">
        <v>1628</v>
      </c>
      <c r="E4" s="82"/>
      <c r="F4" s="82"/>
      <c r="G4" s="82"/>
      <c r="H4" s="82"/>
      <c r="I4" s="82"/>
      <c r="J4" s="82"/>
      <c r="K4" s="82"/>
    </row>
    <row r="5" spans="1:13" x14ac:dyDescent="0.25">
      <c r="A5" s="82" t="s">
        <v>1549</v>
      </c>
      <c r="B5" s="82" t="s">
        <v>1629</v>
      </c>
      <c r="C5" s="82"/>
      <c r="D5" s="330" t="str">
        <f>ФИО</f>
        <v>Иванова Е.П.</v>
      </c>
      <c r="E5" s="82"/>
      <c r="F5" s="82"/>
      <c r="G5" s="82"/>
      <c r="H5" s="82"/>
      <c r="I5" s="82"/>
      <c r="J5" s="82"/>
      <c r="K5" s="82"/>
    </row>
    <row r="6" spans="1:13" x14ac:dyDescent="0.25">
      <c r="A6" s="82" t="s">
        <v>1550</v>
      </c>
      <c r="B6" s="82" t="s">
        <v>1630</v>
      </c>
      <c r="C6" s="82"/>
      <c r="D6" s="331" t="e">
        <f>дата_рождения</f>
        <v>#REF!</v>
      </c>
      <c r="E6" s="82"/>
      <c r="F6" s="82"/>
      <c r="G6" s="82"/>
      <c r="H6" s="82"/>
      <c r="I6" s="82"/>
      <c r="J6" s="82"/>
      <c r="K6" s="82"/>
    </row>
    <row r="7" spans="1:13" x14ac:dyDescent="0.25">
      <c r="A7" s="82"/>
      <c r="B7" s="82" t="s">
        <v>1631</v>
      </c>
      <c r="C7" s="82"/>
      <c r="D7" s="1139" t="s">
        <v>1632</v>
      </c>
      <c r="E7" s="1139"/>
      <c r="F7" s="1139"/>
      <c r="G7" s="1139"/>
      <c r="H7" s="1139"/>
      <c r="I7" s="82"/>
      <c r="J7" s="82"/>
      <c r="K7" s="82"/>
    </row>
    <row r="8" spans="1:13" x14ac:dyDescent="0.25">
      <c r="A8" s="82"/>
      <c r="B8" s="82" t="s">
        <v>1633</v>
      </c>
      <c r="C8" s="82"/>
      <c r="D8" s="331">
        <f>дата_поступления</f>
        <v>42592</v>
      </c>
      <c r="E8" s="332" t="s">
        <v>100</v>
      </c>
      <c r="F8" s="331">
        <f>Дата_выписки</f>
        <v>0</v>
      </c>
      <c r="G8" s="82"/>
      <c r="H8" s="82"/>
      <c r="I8" s="82"/>
      <c r="J8" s="82"/>
      <c r="K8" s="82"/>
    </row>
    <row r="9" spans="1:13" x14ac:dyDescent="0.25">
      <c r="A9" s="82"/>
      <c r="B9" s="82" t="s">
        <v>1634</v>
      </c>
      <c r="C9" s="82"/>
      <c r="D9" s="82"/>
      <c r="E9" s="82"/>
      <c r="F9" s="82"/>
      <c r="G9" s="330">
        <f>№_и_б</f>
        <v>21949</v>
      </c>
      <c r="H9" s="82"/>
      <c r="I9" s="82"/>
      <c r="J9" s="82"/>
      <c r="K9" s="82"/>
    </row>
    <row r="10" spans="1:13" x14ac:dyDescent="0.25">
      <c r="A10" s="82" t="s">
        <v>1551</v>
      </c>
      <c r="B10" s="82" t="s">
        <v>17</v>
      </c>
      <c r="C10" s="82"/>
      <c r="D10" s="82"/>
      <c r="E10" s="82"/>
      <c r="F10" s="82"/>
      <c r="G10" s="82"/>
      <c r="H10" s="82"/>
      <c r="I10" s="82"/>
      <c r="J10" s="82"/>
      <c r="K10" s="82"/>
    </row>
    <row r="11" spans="1:13" ht="47.25" x14ac:dyDescent="0.25">
      <c r="A11" s="82"/>
      <c r="B11" s="1176"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C11" s="1176"/>
      <c r="D11" s="1176"/>
      <c r="E11" s="1176"/>
      <c r="F11" s="1176"/>
      <c r="G11" s="1176"/>
      <c r="H11" s="1176"/>
      <c r="I11" s="1177"/>
      <c r="J11" s="1177"/>
      <c r="K11" s="1177"/>
      <c r="L11" s="318"/>
      <c r="M11" s="333" t="str">
        <f>B11</f>
        <v>МКБ, рецидив. Резидуальный камень н\чашки справа 20 мм.                                                                                                                                                                                                                                                                                                                                                           Гидронефроз справа 1 ст. Хронический калькулезный пиелонефрит , латентное течение. ХПН 0-1</v>
      </c>
    </row>
    <row r="12" spans="1:13" x14ac:dyDescent="0.25">
      <c r="A12" s="82"/>
      <c r="B12" s="82" t="s">
        <v>1635</v>
      </c>
      <c r="C12" s="82"/>
      <c r="D12" s="330">
        <f>Код_заболевания</f>
        <v>0</v>
      </c>
      <c r="E12" s="82"/>
      <c r="F12" s="82"/>
      <c r="G12" s="82"/>
      <c r="H12" s="82"/>
      <c r="I12" s="82"/>
      <c r="J12" s="82"/>
      <c r="K12" s="82"/>
    </row>
    <row r="13" spans="1:13" x14ac:dyDescent="0.25">
      <c r="A13" s="82"/>
      <c r="B13" s="82" t="s">
        <v>1636</v>
      </c>
      <c r="C13" s="82"/>
      <c r="D13" s="82"/>
      <c r="E13" s="82"/>
      <c r="F13" s="82"/>
      <c r="G13" s="82"/>
      <c r="H13" s="82"/>
      <c r="I13" s="82"/>
      <c r="J13" s="82"/>
      <c r="K13" s="82"/>
    </row>
    <row r="14" spans="1:13" x14ac:dyDescent="0.25">
      <c r="A14" s="82"/>
      <c r="B14" s="1187" t="str">
        <f>IF(Сопутствующий_диагноз=0, "__________________________________________________________________", Сопутствующий_диагноз)</f>
        <v xml:space="preserve">ИБС: АКС. САГ 2 ст, 2 ст, риск 3. Ожирение 3-4 ст. П\о вентральная грыжа. </v>
      </c>
      <c r="C14" s="1187"/>
      <c r="D14" s="1187"/>
      <c r="E14" s="1187"/>
      <c r="F14" s="1187"/>
      <c r="G14" s="1187"/>
      <c r="H14" s="1187"/>
      <c r="I14" s="1188"/>
      <c r="J14" s="1188"/>
      <c r="K14" s="1188"/>
      <c r="L14" s="318"/>
      <c r="M14" s="333" t="str">
        <f>B14</f>
        <v xml:space="preserve">ИБС: АКС. САГ 2 ст, 2 ст, риск 3. Ожирение 3-4 ст. П\о вентральная грыжа. </v>
      </c>
    </row>
    <row r="15" spans="1:13" x14ac:dyDescent="0.25">
      <c r="A15" s="82"/>
      <c r="B15" s="82" t="s">
        <v>1637</v>
      </c>
      <c r="C15" s="82"/>
      <c r="D15" s="82"/>
      <c r="E15" s="82"/>
      <c r="F15" s="82"/>
      <c r="G15" s="82"/>
      <c r="H15" s="82"/>
      <c r="I15" s="82"/>
      <c r="J15" s="82"/>
      <c r="K15" s="82"/>
    </row>
    <row r="16" spans="1:13" x14ac:dyDescent="0.25">
      <c r="A16" s="82"/>
      <c r="B16" s="1189" t="s">
        <v>1724</v>
      </c>
      <c r="C16" s="1189"/>
      <c r="D16" s="1189"/>
      <c r="E16" s="1189"/>
      <c r="F16" s="1189"/>
      <c r="G16" s="1189"/>
      <c r="H16" s="1189"/>
      <c r="I16" s="1189"/>
      <c r="J16" s="1189"/>
      <c r="K16" s="1189"/>
      <c r="L16" s="318"/>
      <c r="M16" s="333" t="str">
        <f>B16</f>
        <v>__________________________________________________________________________________</v>
      </c>
    </row>
    <row r="18" spans="1:14" s="43" customFormat="1" x14ac:dyDescent="0.2">
      <c r="A18" s="1178" t="s">
        <v>1638</v>
      </c>
      <c r="B18" s="1179"/>
      <c r="C18" s="1179"/>
      <c r="D18" s="1179"/>
      <c r="E18" s="1179"/>
      <c r="F18" s="1180"/>
      <c r="G18" s="1178" t="s">
        <v>1639</v>
      </c>
      <c r="H18" s="1180"/>
      <c r="I18" s="1184" t="s">
        <v>1641</v>
      </c>
      <c r="J18" s="1185"/>
      <c r="K18" s="1186"/>
      <c r="M18" s="333"/>
      <c r="N18" s="338"/>
    </row>
    <row r="19" spans="1:14" s="43" customFormat="1" x14ac:dyDescent="0.2">
      <c r="A19" s="1181"/>
      <c r="B19" s="1182"/>
      <c r="C19" s="1182"/>
      <c r="D19" s="1182"/>
      <c r="E19" s="1182"/>
      <c r="F19" s="1183"/>
      <c r="G19" s="1181"/>
      <c r="H19" s="1183"/>
      <c r="I19" s="336" t="s">
        <v>38</v>
      </c>
      <c r="J19" s="336" t="s">
        <v>1566</v>
      </c>
      <c r="K19" s="336" t="s">
        <v>1640</v>
      </c>
      <c r="M19" s="333"/>
      <c r="N19" s="338"/>
    </row>
    <row r="20" spans="1:14" s="313" customFormat="1" x14ac:dyDescent="0.25">
      <c r="A20" s="1160" t="s">
        <v>1646</v>
      </c>
      <c r="B20" s="1160"/>
      <c r="C20" s="1160"/>
      <c r="D20" s="1161"/>
      <c r="E20" s="1161"/>
      <c r="F20" s="1161"/>
      <c r="G20" s="1174" t="s">
        <v>1645</v>
      </c>
      <c r="H20" s="1175"/>
      <c r="I20" s="1146">
        <v>1</v>
      </c>
      <c r="J20" s="1149"/>
      <c r="K20" s="1149"/>
      <c r="M20" s="334"/>
      <c r="N20" s="339" t="str">
        <f>A20</f>
        <v>1. Описание жалоб и анамнеза:</v>
      </c>
    </row>
    <row r="21" spans="1:14" s="5" customFormat="1" x14ac:dyDescent="0.25">
      <c r="A21" s="1168" t="s">
        <v>1642</v>
      </c>
      <c r="B21" s="1168"/>
      <c r="C21" s="1168"/>
      <c r="D21" s="1169"/>
      <c r="E21" s="1169"/>
      <c r="F21" s="1169"/>
      <c r="G21" s="1024">
        <v>1</v>
      </c>
      <c r="H21" s="1019"/>
      <c r="I21" s="1147"/>
      <c r="J21" s="1150"/>
      <c r="K21" s="1150"/>
      <c r="M21" s="333"/>
      <c r="N21" s="338" t="str">
        <f>A21</f>
        <v>1.1. в полном объеме</v>
      </c>
    </row>
    <row r="22" spans="1:14" s="5" customFormat="1" x14ac:dyDescent="0.25">
      <c r="A22" s="1168" t="s">
        <v>1643</v>
      </c>
      <c r="B22" s="1168"/>
      <c r="C22" s="1168"/>
      <c r="D22" s="1169"/>
      <c r="E22" s="1169"/>
      <c r="F22" s="1169"/>
      <c r="G22" s="1024">
        <v>0.5</v>
      </c>
      <c r="H22" s="1019"/>
      <c r="I22" s="1147"/>
      <c r="J22" s="1150"/>
      <c r="K22" s="1150"/>
      <c r="M22" s="333"/>
      <c r="N22" s="338" t="str">
        <f t="shared" ref="N22:N85" si="0">A22</f>
        <v>1.2. не в полном объеме</v>
      </c>
    </row>
    <row r="23" spans="1:14" s="5" customFormat="1" x14ac:dyDescent="0.25">
      <c r="A23" s="1168" t="s">
        <v>1644</v>
      </c>
      <c r="B23" s="1168"/>
      <c r="C23" s="1168"/>
      <c r="D23" s="1169"/>
      <c r="E23" s="1169"/>
      <c r="F23" s="1169"/>
      <c r="G23" s="1024">
        <v>0</v>
      </c>
      <c r="H23" s="1019"/>
      <c r="I23" s="1148"/>
      <c r="J23" s="1151"/>
      <c r="K23" s="1151"/>
      <c r="M23" s="333"/>
      <c r="N23" s="338" t="str">
        <f t="shared" si="0"/>
        <v>1.3.отсутствуют</v>
      </c>
    </row>
    <row r="24" spans="1:14" s="313" customFormat="1" x14ac:dyDescent="0.25">
      <c r="A24" s="1160" t="s">
        <v>1647</v>
      </c>
      <c r="B24" s="1160"/>
      <c r="C24" s="1160"/>
      <c r="D24" s="1161"/>
      <c r="E24" s="1161"/>
      <c r="F24" s="1161"/>
      <c r="G24" s="1174" t="s">
        <v>1645</v>
      </c>
      <c r="H24" s="1175"/>
      <c r="I24" s="1146">
        <v>1</v>
      </c>
      <c r="J24" s="1149"/>
      <c r="K24" s="1149"/>
      <c r="M24" s="334"/>
      <c r="N24" s="339" t="str">
        <f t="shared" si="0"/>
        <v>2. Объективный осмотр:</v>
      </c>
    </row>
    <row r="25" spans="1:14" s="5" customFormat="1" x14ac:dyDescent="0.25">
      <c r="A25" s="1168" t="s">
        <v>1642</v>
      </c>
      <c r="B25" s="1168"/>
      <c r="C25" s="1168"/>
      <c r="D25" s="1169"/>
      <c r="E25" s="1169"/>
      <c r="F25" s="1169"/>
      <c r="G25" s="1024">
        <v>1</v>
      </c>
      <c r="H25" s="1019"/>
      <c r="I25" s="1147"/>
      <c r="J25" s="1150"/>
      <c r="K25" s="1150"/>
      <c r="M25" s="333"/>
      <c r="N25" s="338" t="str">
        <f t="shared" si="0"/>
        <v>1.1. в полном объеме</v>
      </c>
    </row>
    <row r="26" spans="1:14" s="5" customFormat="1" x14ac:dyDescent="0.25">
      <c r="A26" s="1168" t="s">
        <v>1643</v>
      </c>
      <c r="B26" s="1168"/>
      <c r="C26" s="1168"/>
      <c r="D26" s="1169"/>
      <c r="E26" s="1169"/>
      <c r="F26" s="1169"/>
      <c r="G26" s="1024">
        <v>0.5</v>
      </c>
      <c r="H26" s="1019"/>
      <c r="I26" s="1147"/>
      <c r="J26" s="1150"/>
      <c r="K26" s="1150"/>
      <c r="M26" s="333"/>
      <c r="N26" s="338" t="str">
        <f t="shared" si="0"/>
        <v>1.2. не в полном объеме</v>
      </c>
    </row>
    <row r="27" spans="1:14" s="5" customFormat="1" x14ac:dyDescent="0.25">
      <c r="A27" s="1168" t="s">
        <v>1644</v>
      </c>
      <c r="B27" s="1168"/>
      <c r="C27" s="1168"/>
      <c r="D27" s="1169"/>
      <c r="E27" s="1169"/>
      <c r="F27" s="1169"/>
      <c r="G27" s="1024">
        <v>0</v>
      </c>
      <c r="H27" s="1019"/>
      <c r="I27" s="1148"/>
      <c r="J27" s="1151"/>
      <c r="K27" s="1151"/>
      <c r="M27" s="333"/>
      <c r="N27" s="338" t="str">
        <f t="shared" si="0"/>
        <v>1.3.отсутствуют</v>
      </c>
    </row>
    <row r="28" spans="1:14" s="313" customFormat="1" ht="22.5" x14ac:dyDescent="0.25">
      <c r="A28" s="1160" t="s">
        <v>1717</v>
      </c>
      <c r="B28" s="1160"/>
      <c r="C28" s="1160"/>
      <c r="D28" s="1161"/>
      <c r="E28" s="1161"/>
      <c r="F28" s="1161"/>
      <c r="G28" s="1174" t="s">
        <v>1645</v>
      </c>
      <c r="H28" s="1175"/>
      <c r="I28" s="1146">
        <v>1</v>
      </c>
      <c r="J28" s="1149"/>
      <c r="K28" s="1149"/>
      <c r="M28" s="334"/>
      <c r="N28" s="339" t="str">
        <f t="shared" si="0"/>
        <v>3. Диагностические мероприятия по основному и сопутствующему (клинически значимому) заболеваниям:</v>
      </c>
    </row>
    <row r="29" spans="1:14" s="5" customFormat="1" ht="22.5" x14ac:dyDescent="0.25">
      <c r="A29" s="1168" t="s">
        <v>1648</v>
      </c>
      <c r="B29" s="1168"/>
      <c r="C29" s="1168"/>
      <c r="D29" s="1169"/>
      <c r="E29" s="1169"/>
      <c r="F29" s="1169"/>
      <c r="G29" s="1024">
        <v>1</v>
      </c>
      <c r="H29" s="1019"/>
      <c r="I29" s="1147"/>
      <c r="J29" s="1150"/>
      <c r="K29" s="1150"/>
      <c r="M29" s="333"/>
      <c r="N29" s="338" t="str">
        <f t="shared" si="0"/>
        <v>3.1. проведены своевременно, в полном объеме, соответствуют стандарту медицинской помощи</v>
      </c>
    </row>
    <row r="30" spans="1:14" s="5" customFormat="1" ht="22.5" x14ac:dyDescent="0.25">
      <c r="A30" s="1168" t="s">
        <v>1649</v>
      </c>
      <c r="B30" s="1168"/>
      <c r="C30" s="1168"/>
      <c r="D30" s="1169"/>
      <c r="E30" s="1169"/>
      <c r="F30" s="1169"/>
      <c r="G30" s="1024">
        <v>0.5</v>
      </c>
      <c r="H30" s="1019"/>
      <c r="I30" s="1147"/>
      <c r="J30" s="1150"/>
      <c r="K30" s="1150"/>
      <c r="M30" s="333"/>
      <c r="N30" s="338" t="str">
        <f t="shared" si="0"/>
        <v>3.2. проведены своевременно, но не соответствуют стандарту медицинской помощи, что не повлияло на исход заболевания</v>
      </c>
    </row>
    <row r="31" spans="1:14" s="5" customFormat="1" ht="22.5" x14ac:dyDescent="0.25">
      <c r="A31" s="1168" t="s">
        <v>1650</v>
      </c>
      <c r="B31" s="1168"/>
      <c r="C31" s="1168"/>
      <c r="D31" s="1169"/>
      <c r="E31" s="1169"/>
      <c r="F31" s="1169"/>
      <c r="G31" s="1024">
        <v>0</v>
      </c>
      <c r="H31" s="1019"/>
      <c r="I31" s="1148"/>
      <c r="J31" s="1151"/>
      <c r="K31" s="1151"/>
      <c r="M31" s="333"/>
      <c r="N31" s="338" t="str">
        <f t="shared" si="0"/>
        <v>3.3. проведены не своевременно, не соответствуют стандарту медицинской помощи, что повлияло на исход заболевания</v>
      </c>
    </row>
    <row r="32" spans="1:14" s="313" customFormat="1" x14ac:dyDescent="0.25">
      <c r="A32" s="1160" t="s">
        <v>1718</v>
      </c>
      <c r="B32" s="1160"/>
      <c r="C32" s="1160"/>
      <c r="D32" s="1161"/>
      <c r="E32" s="1161"/>
      <c r="F32" s="1161"/>
      <c r="G32" s="1174" t="s">
        <v>1645</v>
      </c>
      <c r="H32" s="1175"/>
      <c r="I32" s="1146">
        <v>1</v>
      </c>
      <c r="J32" s="1149"/>
      <c r="K32" s="1149"/>
      <c r="M32" s="334"/>
      <c r="N32" s="339" t="str">
        <f t="shared" si="0"/>
        <v>4. Оформление диагноза и сопутствующего (клинически значимого) заболеваний:</v>
      </c>
    </row>
    <row r="33" spans="1:14" s="5" customFormat="1" ht="22.5" x14ac:dyDescent="0.25">
      <c r="A33" s="1168" t="s">
        <v>1651</v>
      </c>
      <c r="B33" s="1168"/>
      <c r="C33" s="1168"/>
      <c r="D33" s="1169"/>
      <c r="E33" s="1169"/>
      <c r="F33" s="1169"/>
      <c r="G33" s="1024">
        <v>1</v>
      </c>
      <c r="H33" s="1019"/>
      <c r="I33" s="1147"/>
      <c r="J33" s="1150"/>
      <c r="K33" s="1150"/>
      <c r="M33" s="333"/>
      <c r="N33" s="338" t="str">
        <f t="shared" si="0"/>
        <v>4.1. выставлен своевременно, обоснованно, в соответствии с клинико-функциональной характеристикой</v>
      </c>
    </row>
    <row r="34" spans="1:14" s="5" customFormat="1" ht="22.5" x14ac:dyDescent="0.25">
      <c r="A34" s="1168" t="s">
        <v>1652</v>
      </c>
      <c r="B34" s="1168"/>
      <c r="C34" s="1168"/>
      <c r="D34" s="1169"/>
      <c r="E34" s="1169"/>
      <c r="F34" s="1169"/>
      <c r="G34" s="1024">
        <v>0.5</v>
      </c>
      <c r="H34" s="1019"/>
      <c r="I34" s="1147"/>
      <c r="J34" s="1150"/>
      <c r="K34" s="1150"/>
      <c r="M34" s="333"/>
      <c r="N34" s="338" t="str">
        <f t="shared" si="0"/>
        <v>4.2. выставлен  не своевременно, обоснованно, в соответствии с клинико-функциональной характеристикой, что не повлияло на исход заболевания</v>
      </c>
    </row>
    <row r="35" spans="1:14" s="5" customFormat="1" ht="22.5" x14ac:dyDescent="0.25">
      <c r="A35" s="1168" t="s">
        <v>1653</v>
      </c>
      <c r="B35" s="1168"/>
      <c r="C35" s="1168"/>
      <c r="D35" s="1169"/>
      <c r="E35" s="1169"/>
      <c r="F35" s="1169"/>
      <c r="G35" s="1024">
        <v>0</v>
      </c>
      <c r="H35" s="1019"/>
      <c r="I35" s="1148"/>
      <c r="J35" s="1151"/>
      <c r="K35" s="1151"/>
      <c r="M35" s="333"/>
      <c r="N35" s="338" t="str">
        <f t="shared" si="0"/>
        <v>4.3. выставлен  не своевременно, не обоснованно, что негативно повлияло на исход заболевания</v>
      </c>
    </row>
    <row r="36" spans="1:14" s="313" customFormat="1" x14ac:dyDescent="0.25">
      <c r="A36" s="1160" t="s">
        <v>1654</v>
      </c>
      <c r="B36" s="1160"/>
      <c r="C36" s="1160"/>
      <c r="D36" s="1161"/>
      <c r="E36" s="1161"/>
      <c r="F36" s="1161"/>
      <c r="G36" s="1174" t="s">
        <v>1645</v>
      </c>
      <c r="H36" s="1175"/>
      <c r="I36" s="1146">
        <v>1</v>
      </c>
      <c r="J36" s="1149"/>
      <c r="K36" s="1149"/>
      <c r="M36" s="334"/>
      <c r="N36" s="339" t="str">
        <f t="shared" si="0"/>
        <v>5. Лечебно-профилактические мероприятия, медицинская реабилитация:</v>
      </c>
    </row>
    <row r="37" spans="1:14" s="5" customFormat="1" x14ac:dyDescent="0.25">
      <c r="A37" s="1168" t="s">
        <v>1655</v>
      </c>
      <c r="B37" s="1168"/>
      <c r="C37" s="1168"/>
      <c r="D37" s="1169"/>
      <c r="E37" s="1169"/>
      <c r="F37" s="1169"/>
      <c r="G37" s="1024">
        <v>1</v>
      </c>
      <c r="H37" s="1019"/>
      <c r="I37" s="1147"/>
      <c r="J37" s="1150"/>
      <c r="K37" s="1150"/>
      <c r="M37" s="333"/>
      <c r="N37" s="338" t="str">
        <f t="shared" si="0"/>
        <v>5.1. проведены своевременно, оптимально, соответствуют стандарту медицинской помощи</v>
      </c>
    </row>
    <row r="38" spans="1:14" s="5" customFormat="1" ht="22.5" x14ac:dyDescent="0.25">
      <c r="A38" s="1168" t="s">
        <v>1656</v>
      </c>
      <c r="B38" s="1168"/>
      <c r="C38" s="1168"/>
      <c r="D38" s="1169"/>
      <c r="E38" s="1169"/>
      <c r="F38" s="1169"/>
      <c r="G38" s="1024">
        <v>0.5</v>
      </c>
      <c r="H38" s="1019"/>
      <c r="I38" s="1147"/>
      <c r="J38" s="1150"/>
      <c r="K38" s="1150"/>
      <c r="M38" s="333"/>
      <c r="N38" s="338" t="str">
        <f>A38</f>
        <v>5.2. не соответствуют стандарту медицинской помощи, что не повлияло на исход заболевания</v>
      </c>
    </row>
    <row r="39" spans="1:14" s="5" customFormat="1" ht="22.5" x14ac:dyDescent="0.25">
      <c r="A39" s="1168" t="s">
        <v>1657</v>
      </c>
      <c r="B39" s="1168"/>
      <c r="C39" s="1168"/>
      <c r="D39" s="1169"/>
      <c r="E39" s="1169"/>
      <c r="F39" s="1169"/>
      <c r="G39" s="1024">
        <v>0</v>
      </c>
      <c r="H39" s="1019"/>
      <c r="I39" s="1148"/>
      <c r="J39" s="1151"/>
      <c r="K39" s="1151"/>
      <c r="M39" s="333"/>
      <c r="N39" s="338" t="str">
        <f t="shared" si="0"/>
        <v>5.2. не соответствуют стандарту медицинской помощи, что негативно повлияло на исход заболевания</v>
      </c>
    </row>
    <row r="40" spans="1:14" s="313" customFormat="1" x14ac:dyDescent="0.25">
      <c r="A40" s="1160" t="s">
        <v>1658</v>
      </c>
      <c r="B40" s="1160"/>
      <c r="C40" s="1160"/>
      <c r="D40" s="1161"/>
      <c r="E40" s="1161"/>
      <c r="F40" s="1161"/>
      <c r="G40" s="1174" t="s">
        <v>1645</v>
      </c>
      <c r="H40" s="1175"/>
      <c r="I40" s="1146">
        <v>1</v>
      </c>
      <c r="J40" s="1149"/>
      <c r="K40" s="1149"/>
      <c r="M40" s="334"/>
      <c r="N40" s="339" t="str">
        <f t="shared" si="0"/>
        <v>6. Оперативное лечение:</v>
      </c>
    </row>
    <row r="41" spans="1:14" s="5" customFormat="1" x14ac:dyDescent="0.25">
      <c r="A41" s="1168" t="s">
        <v>1659</v>
      </c>
      <c r="B41" s="1168"/>
      <c r="C41" s="1168"/>
      <c r="D41" s="1169"/>
      <c r="E41" s="1169"/>
      <c r="F41" s="1169"/>
      <c r="G41" s="1158">
        <v>1</v>
      </c>
      <c r="H41" s="1159"/>
      <c r="I41" s="1147"/>
      <c r="J41" s="1150"/>
      <c r="K41" s="1150"/>
      <c r="M41" s="333"/>
      <c r="N41" s="338" t="str">
        <f t="shared" si="0"/>
        <v>6.1. выполнено своевременно, оптимально, соответствуют стандарту медицинской помощи</v>
      </c>
    </row>
    <row r="42" spans="1:14" s="5" customFormat="1" ht="22.5" x14ac:dyDescent="0.25">
      <c r="A42" s="1168" t="s">
        <v>1660</v>
      </c>
      <c r="B42" s="1168"/>
      <c r="C42" s="1168"/>
      <c r="D42" s="1169"/>
      <c r="E42" s="1169"/>
      <c r="F42" s="1169"/>
      <c r="G42" s="1024">
        <v>0.5</v>
      </c>
      <c r="H42" s="1019"/>
      <c r="I42" s="1147"/>
      <c r="J42" s="1150"/>
      <c r="K42" s="1150"/>
      <c r="M42" s="333"/>
      <c r="N42" s="338" t="str">
        <f t="shared" si="0"/>
        <v>6.2. выполнено своевременно, оптимально, но имеются дефекты, не повлиявшие на исход заболевания</v>
      </c>
    </row>
    <row r="43" spans="1:14" s="5" customFormat="1" ht="22.5" x14ac:dyDescent="0.25">
      <c r="A43" s="1168" t="s">
        <v>1661</v>
      </c>
      <c r="B43" s="1168"/>
      <c r="C43" s="1168"/>
      <c r="D43" s="1169"/>
      <c r="E43" s="1169"/>
      <c r="F43" s="1169"/>
      <c r="G43" s="1024">
        <v>0</v>
      </c>
      <c r="H43" s="1019"/>
      <c r="I43" s="1148"/>
      <c r="J43" s="1151"/>
      <c r="K43" s="1151"/>
      <c r="M43" s="333"/>
      <c r="N43" s="338" t="str">
        <f t="shared" si="0"/>
        <v>6.3. выполнено несвоевременно, с дефектами, повлиявшими на исход заболевания (орагнизационные, тактические, инфекционные осложнения и др.)</v>
      </c>
    </row>
    <row r="44" spans="1:14" s="313" customFormat="1" x14ac:dyDescent="0.25">
      <c r="A44" s="1160" t="s">
        <v>1662</v>
      </c>
      <c r="B44" s="1160"/>
      <c r="C44" s="1160"/>
      <c r="D44" s="1161"/>
      <c r="E44" s="1161"/>
      <c r="F44" s="1161"/>
      <c r="G44" s="1174" t="s">
        <v>1645</v>
      </c>
      <c r="H44" s="1175"/>
      <c r="I44" s="1155" t="s">
        <v>198</v>
      </c>
      <c r="J44" s="1149"/>
      <c r="K44" s="1149"/>
      <c r="M44" s="334"/>
      <c r="N44" s="339" t="str">
        <f t="shared" si="0"/>
        <v>7. Анестезиологическое пособие:</v>
      </c>
    </row>
    <row r="45" spans="1:14" s="5" customFormat="1" x14ac:dyDescent="0.25">
      <c r="A45" s="1168" t="s">
        <v>1663</v>
      </c>
      <c r="B45" s="1168"/>
      <c r="C45" s="1168"/>
      <c r="D45" s="1169"/>
      <c r="E45" s="1169"/>
      <c r="F45" s="1169"/>
      <c r="G45" s="1158">
        <v>1</v>
      </c>
      <c r="H45" s="1159"/>
      <c r="I45" s="1156"/>
      <c r="J45" s="1150"/>
      <c r="K45" s="1150"/>
      <c r="M45" s="333"/>
      <c r="N45" s="338" t="str">
        <f t="shared" si="0"/>
        <v>7.1. выполнено оптимально, риск минимизирован</v>
      </c>
    </row>
    <row r="46" spans="1:14" s="5" customFormat="1" x14ac:dyDescent="0.25">
      <c r="A46" s="1168" t="s">
        <v>1664</v>
      </c>
      <c r="B46" s="1168"/>
      <c r="C46" s="1168"/>
      <c r="D46" s="1169"/>
      <c r="E46" s="1169"/>
      <c r="F46" s="1169"/>
      <c r="G46" s="1158">
        <v>0.5</v>
      </c>
      <c r="H46" s="1159"/>
      <c r="I46" s="1156"/>
      <c r="J46" s="1150"/>
      <c r="K46" s="1150"/>
      <c r="M46" s="333"/>
      <c r="N46" s="338" t="str">
        <f t="shared" si="0"/>
        <v>7.2. выполнено оптимально, риск не минимизирован, что не повлияло на исход заболевания</v>
      </c>
    </row>
    <row r="47" spans="1:14" s="5" customFormat="1" x14ac:dyDescent="0.25">
      <c r="A47" s="1168" t="s">
        <v>1720</v>
      </c>
      <c r="B47" s="1168"/>
      <c r="C47" s="1168"/>
      <c r="D47" s="1169"/>
      <c r="E47" s="1169"/>
      <c r="F47" s="1169"/>
      <c r="G47" s="1158">
        <v>0</v>
      </c>
      <c r="H47" s="1159"/>
      <c r="I47" s="1157"/>
      <c r="J47" s="1151"/>
      <c r="K47" s="1151"/>
      <c r="M47" s="333"/>
      <c r="N47" s="338" t="str">
        <f t="shared" si="0"/>
        <v>7.3. технологии не соблюдены, риск не минимизирован, что повлияло на исход заболевания</v>
      </c>
    </row>
    <row r="48" spans="1:14" s="313" customFormat="1" x14ac:dyDescent="0.25">
      <c r="A48" s="1160" t="s">
        <v>1665</v>
      </c>
      <c r="B48" s="1160"/>
      <c r="C48" s="1160"/>
      <c r="D48" s="1161"/>
      <c r="E48" s="1161"/>
      <c r="F48" s="1161"/>
      <c r="G48" s="1174" t="s">
        <v>1645</v>
      </c>
      <c r="H48" s="1175"/>
      <c r="I48" s="1155" t="s">
        <v>198</v>
      </c>
      <c r="J48" s="1149"/>
      <c r="K48" s="1149"/>
      <c r="M48" s="334"/>
      <c r="N48" s="339" t="str">
        <f t="shared" si="0"/>
        <v>8. Реанимационные мероприятия:</v>
      </c>
    </row>
    <row r="49" spans="1:14" s="5" customFormat="1" x14ac:dyDescent="0.25">
      <c r="A49" s="1168" t="s">
        <v>1666</v>
      </c>
      <c r="B49" s="1168"/>
      <c r="C49" s="1168"/>
      <c r="D49" s="1169"/>
      <c r="E49" s="1169"/>
      <c r="F49" s="1169"/>
      <c r="G49" s="1158">
        <v>1</v>
      </c>
      <c r="H49" s="1159"/>
      <c r="I49" s="1156"/>
      <c r="J49" s="1150"/>
      <c r="K49" s="1150"/>
      <c r="M49" s="333"/>
      <c r="N49" s="338" t="str">
        <f t="shared" si="0"/>
        <v>8.1. отсутствие дефектов</v>
      </c>
    </row>
    <row r="50" spans="1:14" s="5" customFormat="1" x14ac:dyDescent="0.25">
      <c r="A50" s="1168" t="s">
        <v>1667</v>
      </c>
      <c r="B50" s="1168"/>
      <c r="C50" s="1168"/>
      <c r="D50" s="1169"/>
      <c r="E50" s="1169"/>
      <c r="F50" s="1169"/>
      <c r="G50" s="1158">
        <v>0.5</v>
      </c>
      <c r="H50" s="1159"/>
      <c r="I50" s="1156"/>
      <c r="J50" s="1150"/>
      <c r="K50" s="1150"/>
      <c r="M50" s="333"/>
      <c r="N50" s="338" t="str">
        <f t="shared" si="0"/>
        <v>8.2. дефекты не повлияли на исход заболевания</v>
      </c>
    </row>
    <row r="51" spans="1:14" s="5" customFormat="1" x14ac:dyDescent="0.25">
      <c r="A51" s="1168" t="s">
        <v>1668</v>
      </c>
      <c r="B51" s="1168"/>
      <c r="C51" s="1168"/>
      <c r="D51" s="1169"/>
      <c r="E51" s="1169"/>
      <c r="F51" s="1169"/>
      <c r="G51" s="1158">
        <v>0</v>
      </c>
      <c r="H51" s="1159"/>
      <c r="I51" s="1157"/>
      <c r="J51" s="1151"/>
      <c r="K51" s="1151"/>
      <c r="M51" s="333"/>
      <c r="N51" s="338" t="str">
        <f t="shared" si="0"/>
        <v>8.3. дефекты, повлиявшие на исход заболевания</v>
      </c>
    </row>
    <row r="52" spans="1:14" s="313" customFormat="1" x14ac:dyDescent="0.25">
      <c r="A52" s="1160" t="s">
        <v>1669</v>
      </c>
      <c r="B52" s="1160"/>
      <c r="C52" s="1160"/>
      <c r="D52" s="1161"/>
      <c r="E52" s="1161"/>
      <c r="F52" s="1161"/>
      <c r="G52" s="1174" t="s">
        <v>1645</v>
      </c>
      <c r="H52" s="1175"/>
      <c r="I52" s="1146">
        <v>1</v>
      </c>
      <c r="J52" s="1149"/>
      <c r="K52" s="1149"/>
      <c r="M52" s="334"/>
      <c r="N52" s="339" t="str">
        <f t="shared" si="0"/>
        <v>9. Медицинская экспертиза, медицинское освидетельствование:</v>
      </c>
    </row>
    <row r="53" spans="1:14" s="5" customFormat="1" x14ac:dyDescent="0.25">
      <c r="A53" s="1168" t="s">
        <v>1670</v>
      </c>
      <c r="B53" s="1168"/>
      <c r="C53" s="1168"/>
      <c r="D53" s="1169"/>
      <c r="E53" s="1169"/>
      <c r="F53" s="1169"/>
      <c r="G53" s="1158">
        <v>1</v>
      </c>
      <c r="H53" s="1159"/>
      <c r="I53" s="1147"/>
      <c r="J53" s="1150"/>
      <c r="K53" s="1150"/>
      <c r="M53" s="333"/>
      <c r="N53" s="338" t="str">
        <f t="shared" si="0"/>
        <v>9.1. своевременно, в полном объеме</v>
      </c>
    </row>
    <row r="54" spans="1:14" s="5" customFormat="1" ht="22.5" x14ac:dyDescent="0.25">
      <c r="A54" s="1168" t="s">
        <v>1671</v>
      </c>
      <c r="B54" s="1168"/>
      <c r="C54" s="1168"/>
      <c r="D54" s="1169"/>
      <c r="E54" s="1169"/>
      <c r="F54" s="1169"/>
      <c r="G54" s="1158">
        <v>0.5</v>
      </c>
      <c r="H54" s="1159"/>
      <c r="I54" s="1147"/>
      <c r="J54" s="1150"/>
      <c r="K54" s="1150"/>
      <c r="M54" s="333"/>
      <c r="N54" s="338" t="str">
        <f t="shared" si="0"/>
        <v>9.2. своевременно, но не в полном объеме (отсутствуют рекомендации по трудоустройству, рекомендации при выписке, экспертный анамнез, др.)</v>
      </c>
    </row>
    <row r="55" spans="1:14" s="5" customFormat="1" x14ac:dyDescent="0.25">
      <c r="A55" s="1168" t="s">
        <v>1672</v>
      </c>
      <c r="B55" s="1168"/>
      <c r="C55" s="1168"/>
      <c r="D55" s="1169"/>
      <c r="E55" s="1169"/>
      <c r="F55" s="1169"/>
      <c r="G55" s="1158">
        <v>0</v>
      </c>
      <c r="H55" s="1159"/>
      <c r="I55" s="1148"/>
      <c r="J55" s="1151"/>
      <c r="K55" s="1151"/>
      <c r="M55" s="333"/>
      <c r="N55" s="338" t="str">
        <f t="shared" si="0"/>
        <v>9.3. несвоевременно, не в полном объеме, целевой результат не достигнут</v>
      </c>
    </row>
    <row r="56" spans="1:14" s="313" customFormat="1" x14ac:dyDescent="0.25">
      <c r="A56" s="1160" t="s">
        <v>1673</v>
      </c>
      <c r="B56" s="1160"/>
      <c r="C56" s="1160"/>
      <c r="D56" s="1161"/>
      <c r="E56" s="1161"/>
      <c r="F56" s="1161"/>
      <c r="G56" s="1174" t="s">
        <v>1645</v>
      </c>
      <c r="H56" s="1175"/>
      <c r="I56" s="1146">
        <v>1</v>
      </c>
      <c r="J56" s="1149"/>
      <c r="K56" s="1149"/>
      <c r="M56" s="334"/>
      <c r="N56" s="339" t="str">
        <f t="shared" si="0"/>
        <v>10. Сроки оказания медицинской помощи:</v>
      </c>
    </row>
    <row r="57" spans="1:14" s="5" customFormat="1" x14ac:dyDescent="0.25">
      <c r="A57" s="1168" t="s">
        <v>1674</v>
      </c>
      <c r="B57" s="1168"/>
      <c r="C57" s="1168"/>
      <c r="D57" s="1169"/>
      <c r="E57" s="1169"/>
      <c r="F57" s="1169"/>
      <c r="G57" s="1158">
        <v>1</v>
      </c>
      <c r="H57" s="1159"/>
      <c r="I57" s="1147"/>
      <c r="J57" s="1150"/>
      <c r="K57" s="1150"/>
      <c r="M57" s="333"/>
      <c r="N57" s="338" t="str">
        <f t="shared" si="0"/>
        <v>10.1. соответствуют стандарту медицинской помощи (обосновано завышены или занижены)</v>
      </c>
    </row>
    <row r="58" spans="1:14" s="5" customFormat="1" x14ac:dyDescent="0.25">
      <c r="A58" s="1168" t="s">
        <v>1675</v>
      </c>
      <c r="B58" s="1168"/>
      <c r="C58" s="1168"/>
      <c r="D58" s="1169"/>
      <c r="E58" s="1169"/>
      <c r="F58" s="1169"/>
      <c r="G58" s="1158">
        <v>0.5</v>
      </c>
      <c r="H58" s="1159"/>
      <c r="I58" s="1147"/>
      <c r="J58" s="1150"/>
      <c r="K58" s="1150"/>
      <c r="M58" s="333"/>
      <c r="N58" s="338" t="str">
        <f t="shared" si="0"/>
        <v>10.2. необосновано завышены или занижены), что не повлияло на исход заболевания</v>
      </c>
    </row>
    <row r="59" spans="1:14" s="5" customFormat="1" x14ac:dyDescent="0.25">
      <c r="A59" s="1168" t="s">
        <v>1676</v>
      </c>
      <c r="B59" s="1168"/>
      <c r="C59" s="1168"/>
      <c r="D59" s="1169"/>
      <c r="E59" s="1169"/>
      <c r="F59" s="1169"/>
      <c r="G59" s="1158">
        <v>0</v>
      </c>
      <c r="H59" s="1159"/>
      <c r="I59" s="1148"/>
      <c r="J59" s="1151"/>
      <c r="K59" s="1151"/>
      <c r="M59" s="333"/>
      <c r="N59" s="338" t="str">
        <f t="shared" si="0"/>
        <v>10.3. не соответствуют стандарту меди-цинской помощи, что повлияло на исход заболевания</v>
      </c>
    </row>
    <row r="60" spans="1:14" s="313" customFormat="1" x14ac:dyDescent="0.25">
      <c r="A60" s="1160" t="s">
        <v>1719</v>
      </c>
      <c r="B60" s="1160"/>
      <c r="C60" s="1160"/>
      <c r="D60" s="1161"/>
      <c r="E60" s="1161"/>
      <c r="F60" s="1161"/>
      <c r="G60" s="1174" t="s">
        <v>1645</v>
      </c>
      <c r="H60" s="1175"/>
      <c r="I60" s="1155" t="s">
        <v>198</v>
      </c>
      <c r="J60" s="1149"/>
      <c r="K60" s="1149"/>
      <c r="M60" s="334"/>
      <c r="N60" s="339" t="str">
        <f t="shared" si="0"/>
        <v>11. Госпитализация: (в дневной стационар поликлиники, стационар на дому)</v>
      </c>
    </row>
    <row r="61" spans="1:14" s="5" customFormat="1" x14ac:dyDescent="0.25">
      <c r="A61" s="1168" t="s">
        <v>1677</v>
      </c>
      <c r="B61" s="1168"/>
      <c r="C61" s="1168"/>
      <c r="D61" s="1169"/>
      <c r="E61" s="1169"/>
      <c r="F61" s="1169"/>
      <c r="G61" s="1158">
        <v>1</v>
      </c>
      <c r="H61" s="1159"/>
      <c r="I61" s="1156"/>
      <c r="J61" s="1150"/>
      <c r="K61" s="1150"/>
      <c r="M61" s="333"/>
      <c r="N61" s="338" t="str">
        <f t="shared" si="0"/>
        <v>11.1. обосновано, соответствует профилю медицинской деятельности</v>
      </c>
    </row>
    <row r="62" spans="1:14" s="5" customFormat="1" x14ac:dyDescent="0.25">
      <c r="A62" s="1168" t="s">
        <v>1678</v>
      </c>
      <c r="B62" s="1168"/>
      <c r="C62" s="1168"/>
      <c r="D62" s="1169"/>
      <c r="E62" s="1169"/>
      <c r="F62" s="1169"/>
      <c r="G62" s="1158">
        <v>0.5</v>
      </c>
      <c r="H62" s="1159"/>
      <c r="I62" s="1156"/>
      <c r="J62" s="1150"/>
      <c r="K62" s="1150"/>
      <c r="M62" s="333"/>
      <c r="N62" s="338" t="str">
        <f t="shared" si="0"/>
        <v>11.2. обосновано, но не соответствует профилю медицинской деятельности</v>
      </c>
    </row>
    <row r="63" spans="1:14" s="5" customFormat="1" x14ac:dyDescent="0.25">
      <c r="A63" s="1168" t="s">
        <v>1679</v>
      </c>
      <c r="B63" s="1168"/>
      <c r="C63" s="1168"/>
      <c r="D63" s="1169"/>
      <c r="E63" s="1169"/>
      <c r="F63" s="1169"/>
      <c r="G63" s="1158">
        <v>0</v>
      </c>
      <c r="H63" s="1159"/>
      <c r="I63" s="1157"/>
      <c r="J63" s="1151"/>
      <c r="K63" s="1151"/>
      <c r="M63" s="333"/>
      <c r="N63" s="338" t="str">
        <f t="shared" si="0"/>
        <v>11.3. не обосновано, не соответствует профилю медицинской деятельности</v>
      </c>
    </row>
    <row r="64" spans="1:14" s="313" customFormat="1" x14ac:dyDescent="0.25">
      <c r="A64" s="1160" t="s">
        <v>1680</v>
      </c>
      <c r="B64" s="1160"/>
      <c r="C64" s="1160"/>
      <c r="D64" s="1161"/>
      <c r="E64" s="1161"/>
      <c r="F64" s="1161"/>
      <c r="G64" s="1174" t="s">
        <v>1645</v>
      </c>
      <c r="H64" s="1175"/>
      <c r="I64" s="1146">
        <v>1</v>
      </c>
      <c r="J64" s="1149"/>
      <c r="K64" s="1149"/>
      <c r="M64" s="334"/>
      <c r="N64" s="339" t="str">
        <f t="shared" si="0"/>
        <v>12. Преемственность, этапность:</v>
      </c>
    </row>
    <row r="65" spans="1:14" s="5" customFormat="1" x14ac:dyDescent="0.25">
      <c r="A65" s="1168" t="s">
        <v>1681</v>
      </c>
      <c r="B65" s="1168"/>
      <c r="C65" s="1168"/>
      <c r="D65" s="1169"/>
      <c r="E65" s="1169"/>
      <c r="F65" s="1169"/>
      <c r="G65" s="1158">
        <v>1</v>
      </c>
      <c r="H65" s="1159"/>
      <c r="I65" s="1147"/>
      <c r="J65" s="1150"/>
      <c r="K65" s="1150"/>
      <c r="M65" s="333"/>
      <c r="N65" s="338" t="str">
        <f t="shared" si="0"/>
        <v>12.1. соблюдены в полном объеме</v>
      </c>
    </row>
    <row r="66" spans="1:14" s="5" customFormat="1" x14ac:dyDescent="0.25">
      <c r="A66" s="1168" t="s">
        <v>1682</v>
      </c>
      <c r="B66" s="1168"/>
      <c r="C66" s="1168"/>
      <c r="D66" s="1169"/>
      <c r="E66" s="1169"/>
      <c r="F66" s="1169"/>
      <c r="G66" s="1158">
        <v>0.5</v>
      </c>
      <c r="H66" s="1159"/>
      <c r="I66" s="1147"/>
      <c r="J66" s="1150"/>
      <c r="K66" s="1150"/>
      <c r="M66" s="333"/>
      <c r="N66" s="338" t="str">
        <f t="shared" si="0"/>
        <v>12.2. соблюдены в не полном объеме, что не повлияло на исход заболевания</v>
      </c>
    </row>
    <row r="67" spans="1:14" s="5" customFormat="1" x14ac:dyDescent="0.25">
      <c r="A67" s="1168" t="s">
        <v>1683</v>
      </c>
      <c r="B67" s="1168"/>
      <c r="C67" s="1168"/>
      <c r="D67" s="1169"/>
      <c r="E67" s="1169"/>
      <c r="F67" s="1169"/>
      <c r="G67" s="1158">
        <v>0</v>
      </c>
      <c r="H67" s="1159"/>
      <c r="I67" s="1148"/>
      <c r="J67" s="1151"/>
      <c r="K67" s="1151"/>
      <c r="M67" s="333"/>
      <c r="N67" s="338" t="str">
        <f t="shared" si="0"/>
        <v>12.3. соблюдены в не полном объеме, что повлияло на исход заболевания</v>
      </c>
    </row>
    <row r="68" spans="1:14" s="313" customFormat="1" x14ac:dyDescent="0.25">
      <c r="A68" s="1160" t="s">
        <v>1684</v>
      </c>
      <c r="B68" s="1160"/>
      <c r="C68" s="1160"/>
      <c r="D68" s="1161"/>
      <c r="E68" s="1161"/>
      <c r="F68" s="1161"/>
      <c r="G68" s="1174" t="s">
        <v>1645</v>
      </c>
      <c r="H68" s="1175"/>
      <c r="I68" s="1146">
        <v>1</v>
      </c>
      <c r="J68" s="1149"/>
      <c r="K68" s="1149"/>
      <c r="M68" s="334"/>
      <c r="N68" s="339" t="str">
        <f t="shared" si="0"/>
        <v xml:space="preserve">13. Результат лечения: </v>
      </c>
    </row>
    <row r="69" spans="1:14" s="5" customFormat="1" x14ac:dyDescent="0.25">
      <c r="A69" s="1168" t="s">
        <v>1690</v>
      </c>
      <c r="B69" s="1168"/>
      <c r="C69" s="1168"/>
      <c r="D69" s="1169"/>
      <c r="E69" s="1169"/>
      <c r="F69" s="1169"/>
      <c r="G69" s="1158">
        <v>1</v>
      </c>
      <c r="H69" s="1159"/>
      <c r="I69" s="1147"/>
      <c r="J69" s="1150"/>
      <c r="K69" s="1150"/>
      <c r="M69" s="333"/>
      <c r="N69" s="338" t="str">
        <f t="shared" si="0"/>
        <v>13.1. результат достигнут – выздоровление</v>
      </c>
    </row>
    <row r="70" spans="1:14" s="5" customFormat="1" x14ac:dyDescent="0.25">
      <c r="A70" s="1168" t="s">
        <v>1685</v>
      </c>
      <c r="B70" s="1168"/>
      <c r="C70" s="1168"/>
      <c r="D70" s="1169"/>
      <c r="E70" s="1169"/>
      <c r="F70" s="1169"/>
      <c r="G70" s="1158">
        <v>0.5</v>
      </c>
      <c r="H70" s="1159"/>
      <c r="I70" s="1147"/>
      <c r="J70" s="1150"/>
      <c r="K70" s="1150"/>
      <c r="M70" s="333"/>
      <c r="N70" s="338" t="str">
        <f t="shared" si="0"/>
        <v>13.2. результат достигнут частично – без изменений</v>
      </c>
    </row>
    <row r="71" spans="1:14" s="5" customFormat="1" ht="22.5" x14ac:dyDescent="0.25">
      <c r="A71" s="1168" t="s">
        <v>1689</v>
      </c>
      <c r="B71" s="1168"/>
      <c r="C71" s="1168"/>
      <c r="D71" s="1169"/>
      <c r="E71" s="1169"/>
      <c r="F71" s="1169"/>
      <c r="G71" s="1158">
        <v>0</v>
      </c>
      <c r="H71" s="1159"/>
      <c r="I71" s="1148"/>
      <c r="J71" s="1151"/>
      <c r="K71" s="1151"/>
      <c r="M71" s="333"/>
      <c r="N71" s="338" t="str">
        <f t="shared" si="0"/>
        <v>13.3. результат не достигнут – ухудшение, летальный исход – при ненадлежащем оказании медицинской помощи</v>
      </c>
    </row>
    <row r="72" spans="1:14" s="313" customFormat="1" x14ac:dyDescent="0.25">
      <c r="A72" s="1160" t="s">
        <v>1686</v>
      </c>
      <c r="B72" s="1160"/>
      <c r="C72" s="1160"/>
      <c r="D72" s="1161"/>
      <c r="E72" s="1161"/>
      <c r="F72" s="1161"/>
      <c r="G72" s="1174" t="s">
        <v>1645</v>
      </c>
      <c r="H72" s="1175"/>
      <c r="I72" s="1146">
        <v>1</v>
      </c>
      <c r="J72" s="1149"/>
      <c r="K72" s="1149"/>
      <c r="M72" s="334"/>
      <c r="N72" s="339" t="str">
        <f t="shared" si="0"/>
        <v xml:space="preserve">14. Оформление медицинской доку-ментации: </v>
      </c>
    </row>
    <row r="73" spans="1:14" s="5" customFormat="1" x14ac:dyDescent="0.25">
      <c r="A73" s="1168" t="s">
        <v>1687</v>
      </c>
      <c r="B73" s="1168"/>
      <c r="C73" s="1168"/>
      <c r="D73" s="1169"/>
      <c r="E73" s="1169"/>
      <c r="F73" s="1169"/>
      <c r="G73" s="1158">
        <v>1</v>
      </c>
      <c r="H73" s="1159"/>
      <c r="I73" s="1147"/>
      <c r="J73" s="1150"/>
      <c r="K73" s="1150"/>
      <c r="M73" s="333"/>
      <c r="N73" s="338" t="str">
        <f t="shared" si="0"/>
        <v>14.1. удовлетворительное, в полном объеме</v>
      </c>
    </row>
    <row r="74" spans="1:14" s="5" customFormat="1" x14ac:dyDescent="0.25">
      <c r="A74" s="1168" t="s">
        <v>1688</v>
      </c>
      <c r="B74" s="1168"/>
      <c r="C74" s="1168"/>
      <c r="D74" s="1169"/>
      <c r="E74" s="1169"/>
      <c r="F74" s="1169"/>
      <c r="G74" s="1158">
        <v>0.5</v>
      </c>
      <c r="H74" s="1159"/>
      <c r="I74" s="1147"/>
      <c r="J74" s="1150"/>
      <c r="K74" s="1150"/>
      <c r="M74" s="333"/>
      <c r="N74" s="338" t="str">
        <f t="shared" si="0"/>
        <v>14.2. не в полном объеме, имеются отдельные дефекты</v>
      </c>
    </row>
    <row r="75" spans="1:14" s="5" customFormat="1" x14ac:dyDescent="0.25">
      <c r="A75" s="1168" t="s">
        <v>1691</v>
      </c>
      <c r="B75" s="1168"/>
      <c r="C75" s="1168"/>
      <c r="D75" s="1169"/>
      <c r="E75" s="1169"/>
      <c r="F75" s="1169"/>
      <c r="G75" s="1158">
        <v>0</v>
      </c>
      <c r="H75" s="1159"/>
      <c r="I75" s="1148"/>
      <c r="J75" s="1151"/>
      <c r="K75" s="1151"/>
      <c r="M75" s="333"/>
      <c r="N75" s="338" t="str">
        <f t="shared" si="0"/>
        <v>14.3. не удовлетворительное, отсутствует</v>
      </c>
    </row>
    <row r="76" spans="1:14" s="313" customFormat="1" x14ac:dyDescent="0.25">
      <c r="A76" s="1160" t="s">
        <v>1692</v>
      </c>
      <c r="B76" s="1160"/>
      <c r="C76" s="1160"/>
      <c r="D76" s="1161"/>
      <c r="E76" s="1161"/>
      <c r="F76" s="1161"/>
      <c r="G76" s="1174" t="s">
        <v>1645</v>
      </c>
      <c r="H76" s="1175"/>
      <c r="I76" s="1146">
        <v>1</v>
      </c>
      <c r="J76" s="1149"/>
      <c r="K76" s="1149"/>
      <c r="M76" s="334"/>
      <c r="N76" s="339" t="str">
        <f t="shared" si="0"/>
        <v>15. Удовлетворенность пациента оказанием медицинской помощи:</v>
      </c>
    </row>
    <row r="77" spans="1:14" s="5" customFormat="1" x14ac:dyDescent="0.25">
      <c r="A77" s="1168" t="s">
        <v>1693</v>
      </c>
      <c r="B77" s="1168"/>
      <c r="C77" s="1168"/>
      <c r="D77" s="1169"/>
      <c r="E77" s="1169"/>
      <c r="F77" s="1169"/>
      <c r="G77" s="1158">
        <v>1</v>
      </c>
      <c r="H77" s="1159"/>
      <c r="I77" s="1147"/>
      <c r="J77" s="1150"/>
      <c r="K77" s="1150"/>
      <c r="M77" s="333"/>
      <c r="N77" s="338" t="str">
        <f t="shared" si="0"/>
        <v>15.1. удовлетворен</v>
      </c>
    </row>
    <row r="78" spans="1:14" s="5" customFormat="1" x14ac:dyDescent="0.25">
      <c r="A78" s="1168" t="s">
        <v>1694</v>
      </c>
      <c r="B78" s="1168"/>
      <c r="C78" s="1168"/>
      <c r="D78" s="1169"/>
      <c r="E78" s="1169"/>
      <c r="F78" s="1169"/>
      <c r="G78" s="1158">
        <v>0.5</v>
      </c>
      <c r="H78" s="1159"/>
      <c r="I78" s="1147"/>
      <c r="J78" s="1150"/>
      <c r="K78" s="1150"/>
      <c r="M78" s="333"/>
      <c r="N78" s="338" t="str">
        <f t="shared" si="0"/>
        <v>15.2. удовлетворен частично</v>
      </c>
    </row>
    <row r="79" spans="1:14" s="5" customFormat="1" x14ac:dyDescent="0.25">
      <c r="A79" s="1168" t="s">
        <v>1695</v>
      </c>
      <c r="B79" s="1168"/>
      <c r="C79" s="1168"/>
      <c r="D79" s="1169"/>
      <c r="E79" s="1169"/>
      <c r="F79" s="1169"/>
      <c r="G79" s="1158">
        <v>0</v>
      </c>
      <c r="H79" s="1159"/>
      <c r="I79" s="1148"/>
      <c r="J79" s="1151"/>
      <c r="K79" s="1151"/>
      <c r="M79" s="333"/>
      <c r="N79" s="338" t="str">
        <f t="shared" si="0"/>
        <v>15.3. не удовлетворен</v>
      </c>
    </row>
    <row r="80" spans="1:14" s="313" customFormat="1" x14ac:dyDescent="0.25">
      <c r="A80" s="1160" t="s">
        <v>1696</v>
      </c>
      <c r="B80" s="1160"/>
      <c r="C80" s="1160"/>
      <c r="D80" s="1161"/>
      <c r="E80" s="1161"/>
      <c r="F80" s="1161"/>
      <c r="G80" s="1174" t="s">
        <v>1645</v>
      </c>
      <c r="H80" s="1175"/>
      <c r="I80" s="364"/>
      <c r="J80" s="315"/>
      <c r="K80" s="315"/>
      <c r="M80" s="334"/>
      <c r="N80" s="339" t="str">
        <f t="shared" si="0"/>
        <v>ИТОГО</v>
      </c>
    </row>
    <row r="81" spans="1:14" s="313" customFormat="1" ht="24" x14ac:dyDescent="0.25">
      <c r="A81" s="1170" t="s">
        <v>1697</v>
      </c>
      <c r="B81" s="1171"/>
      <c r="C81" s="1171"/>
      <c r="D81" s="1172"/>
      <c r="E81" s="1172"/>
      <c r="F81" s="1173"/>
      <c r="G81" s="1166" t="s">
        <v>1716</v>
      </c>
      <c r="H81" s="1167"/>
      <c r="I81" s="365" t="s">
        <v>1715</v>
      </c>
      <c r="J81" s="316" t="s">
        <v>1698</v>
      </c>
      <c r="K81" s="316"/>
      <c r="M81" s="334"/>
      <c r="N81" s="339" t="str">
        <f t="shared" si="0"/>
        <v>Коэффициент качества</v>
      </c>
    </row>
    <row r="82" spans="1:14" s="5" customFormat="1" x14ac:dyDescent="0.25">
      <c r="A82" s="1160" t="s">
        <v>1699</v>
      </c>
      <c r="B82" s="1160"/>
      <c r="C82" s="1160"/>
      <c r="D82" s="1161"/>
      <c r="E82" s="1161"/>
      <c r="F82" s="1161"/>
      <c r="G82" s="1158" t="s">
        <v>1700</v>
      </c>
      <c r="H82" s="1159"/>
      <c r="I82" s="1152">
        <f>AVERAGE(I20,I24,I28,I32,I36,I40,I52,I56,I64,I68,I72,I76)</f>
        <v>1</v>
      </c>
      <c r="J82" s="1143"/>
      <c r="K82" s="1143"/>
      <c r="M82" s="333"/>
      <c r="N82" s="338" t="str">
        <f t="shared" si="0"/>
        <v>ХОРОШО (качественно оказанная медицинская помощь)</v>
      </c>
    </row>
    <row r="83" spans="1:14" s="5" customFormat="1" ht="33.75" x14ac:dyDescent="0.25">
      <c r="A83" s="1160" t="s">
        <v>1701</v>
      </c>
      <c r="B83" s="1160"/>
      <c r="C83" s="1160"/>
      <c r="D83" s="1161"/>
      <c r="E83" s="1161"/>
      <c r="F83" s="1161"/>
      <c r="G83" s="1158" t="s">
        <v>1702</v>
      </c>
      <c r="H83" s="1159"/>
      <c r="I83" s="1153"/>
      <c r="J83" s="1144"/>
      <c r="K83" s="1144"/>
      <c r="M83" s="333"/>
      <c r="N83" s="338" t="str">
        <f t="shared" si="0"/>
        <v>УДОВЛЕТВОРИТЕЛЬНО (качественно оказанная медицинская помощь, сопровождавшаяся единичными дефектами оказания медицинской помощи, которые не привели к ухудшению состояния здоровья пациента)</v>
      </c>
    </row>
    <row r="84" spans="1:14" s="5" customFormat="1" x14ac:dyDescent="0.25">
      <c r="A84" s="1160" t="s">
        <v>1703</v>
      </c>
      <c r="B84" s="1160"/>
      <c r="C84" s="1160"/>
      <c r="D84" s="1161"/>
      <c r="E84" s="1161"/>
      <c r="F84" s="1161"/>
      <c r="G84" s="1158" t="s">
        <v>1704</v>
      </c>
      <c r="H84" s="1159"/>
      <c r="I84" s="1154"/>
      <c r="J84" s="1145"/>
      <c r="K84" s="1145"/>
      <c r="M84" s="333"/>
      <c r="N84" s="338" t="str">
        <f t="shared" si="0"/>
        <v>НЕ УДОВЛЕТВОРИТЕЛЬНО (не качественно оказанная медицинская помощь)</v>
      </c>
    </row>
    <row r="85" spans="1:14" s="5" customFormat="1" ht="22.5" x14ac:dyDescent="0.25">
      <c r="A85" s="1160" t="s">
        <v>1705</v>
      </c>
      <c r="B85" s="1160"/>
      <c r="C85" s="1160"/>
      <c r="D85" s="1161"/>
      <c r="E85" s="1161"/>
      <c r="F85" s="1161"/>
      <c r="G85" s="1158"/>
      <c r="H85" s="1159"/>
      <c r="I85" s="1140"/>
      <c r="J85" s="1143"/>
      <c r="K85" s="1143"/>
      <c r="M85" s="333"/>
      <c r="N85" s="339" t="str">
        <f t="shared" si="0"/>
        <v>Оценка работы заведующего отделением – проводится заместителем главного врача по профилю</v>
      </c>
    </row>
    <row r="86" spans="1:14" s="5" customFormat="1" x14ac:dyDescent="0.25">
      <c r="A86" s="1160" t="s">
        <v>1706</v>
      </c>
      <c r="B86" s="1160"/>
      <c r="C86" s="1160"/>
      <c r="D86" s="1161"/>
      <c r="E86" s="1161"/>
      <c r="F86" s="1161"/>
      <c r="G86" s="1158" t="s">
        <v>1707</v>
      </c>
      <c r="H86" s="1159"/>
      <c r="I86" s="1141"/>
      <c r="J86" s="1144"/>
      <c r="K86" s="1144"/>
      <c r="M86" s="333"/>
      <c r="N86" s="338" t="str">
        <f>A86</f>
        <v>УДОВЛЕТВОРИТЕЛЬНО</v>
      </c>
    </row>
    <row r="87" spans="1:14" s="5" customFormat="1" x14ac:dyDescent="0.25">
      <c r="A87" s="1160" t="s">
        <v>1708</v>
      </c>
      <c r="B87" s="1160"/>
      <c r="C87" s="1160"/>
      <c r="D87" s="1161"/>
      <c r="E87" s="1161"/>
      <c r="F87" s="1161"/>
      <c r="G87" s="1158" t="s">
        <v>1709</v>
      </c>
      <c r="H87" s="1159"/>
      <c r="I87" s="1142"/>
      <c r="J87" s="1145"/>
      <c r="K87" s="1145"/>
      <c r="M87" s="333"/>
      <c r="N87" s="338" t="str">
        <f>A87</f>
        <v>НЕ УДОВЛЕТВОРИТЕЛЬНО</v>
      </c>
    </row>
    <row r="88" spans="1:14" x14ac:dyDescent="0.25">
      <c r="A88" s="1190" t="s">
        <v>1721</v>
      </c>
      <c r="B88" s="1190"/>
      <c r="C88" s="1190"/>
      <c r="D88" s="1190"/>
      <c r="E88" s="1190"/>
      <c r="F88" s="1190"/>
      <c r="G88" s="1190"/>
      <c r="H88" s="1190"/>
      <c r="I88" s="1190"/>
      <c r="J88" s="1190"/>
      <c r="K88" s="1190"/>
      <c r="L88" s="320"/>
    </row>
    <row r="90" spans="1:14" x14ac:dyDescent="0.25">
      <c r="A90" s="1165" t="s">
        <v>1710</v>
      </c>
      <c r="B90" s="1164"/>
      <c r="C90" s="1164"/>
      <c r="D90" s="1164"/>
      <c r="E90" s="1164"/>
      <c r="F90" s="1164"/>
      <c r="G90" s="1164"/>
      <c r="H90" s="1164"/>
      <c r="I90" s="1164"/>
      <c r="J90" s="1164"/>
      <c r="K90" s="1164"/>
      <c r="L90" s="317"/>
    </row>
    <row r="91" spans="1:14" x14ac:dyDescent="0.25">
      <c r="A91" s="848" t="s">
        <v>1722</v>
      </c>
      <c r="B91" s="848"/>
      <c r="C91" s="848"/>
      <c r="D91" s="848"/>
      <c r="E91" s="848"/>
      <c r="F91" s="848"/>
      <c r="G91" s="848"/>
      <c r="H91" s="848"/>
      <c r="I91" s="848"/>
      <c r="J91" s="848"/>
      <c r="K91" s="848"/>
      <c r="L91" s="319"/>
    </row>
    <row r="92" spans="1:14" x14ac:dyDescent="0.25">
      <c r="A92" s="848" t="s">
        <v>1722</v>
      </c>
      <c r="B92" s="848"/>
      <c r="C92" s="848"/>
      <c r="D92" s="848"/>
      <c r="E92" s="848"/>
      <c r="F92" s="848"/>
      <c r="G92" s="848"/>
      <c r="H92" s="848"/>
      <c r="I92" s="848"/>
      <c r="J92" s="848"/>
      <c r="K92" s="848"/>
      <c r="L92" s="319"/>
    </row>
    <row r="93" spans="1:14" x14ac:dyDescent="0.25">
      <c r="A93" s="848" t="s">
        <v>1722</v>
      </c>
      <c r="B93" s="848"/>
      <c r="C93" s="848"/>
      <c r="D93" s="848"/>
      <c r="E93" s="848"/>
      <c r="F93" s="848"/>
      <c r="G93" s="848"/>
      <c r="H93" s="848"/>
      <c r="I93" s="848"/>
      <c r="J93" s="848"/>
      <c r="K93" s="848"/>
      <c r="L93" s="319"/>
    </row>
    <row r="95" spans="1:14" x14ac:dyDescent="0.25">
      <c r="A95" s="1162" t="s">
        <v>1711</v>
      </c>
      <c r="B95" s="1163"/>
      <c r="C95" s="1163"/>
      <c r="D95" s="1163"/>
      <c r="E95" s="1164"/>
      <c r="F95" s="1164"/>
      <c r="G95" s="1164"/>
      <c r="H95" s="1164"/>
      <c r="I95" s="1164"/>
      <c r="J95" s="1164"/>
      <c r="K95" s="1164"/>
    </row>
    <row r="97" spans="1:14" s="314" customFormat="1" x14ac:dyDescent="0.25">
      <c r="A97" s="15" t="str">
        <f>IF(И.О.ЗАВ.ОТД.=1,"И.о. зав.отд.","Зав.отд.")</f>
        <v>Зав.отд.</v>
      </c>
      <c r="D97" s="321" t="s">
        <v>232</v>
      </c>
      <c r="F97" s="324">
        <f>Дата_выписки</f>
        <v>0</v>
      </c>
      <c r="I97" s="325" t="str">
        <f>Зав.отд.</f>
        <v>Еременко С. Н.</v>
      </c>
      <c r="M97" s="335"/>
      <c r="N97" s="340"/>
    </row>
    <row r="98" spans="1:14" x14ac:dyDescent="0.25">
      <c r="A98" s="314" t="s">
        <v>1712</v>
      </c>
      <c r="D98" s="322" t="s">
        <v>1713</v>
      </c>
      <c r="F98" s="322" t="s">
        <v>1714</v>
      </c>
      <c r="I98" s="322" t="s">
        <v>0</v>
      </c>
    </row>
    <row r="99" spans="1:14" x14ac:dyDescent="0.25">
      <c r="A99" s="1162" t="s">
        <v>1723</v>
      </c>
      <c r="B99" s="1163"/>
      <c r="C99" s="1163"/>
      <c r="D99" s="1163"/>
      <c r="E99" s="1164"/>
      <c r="F99" s="1164"/>
      <c r="G99" s="1164"/>
      <c r="H99" s="1164"/>
      <c r="I99" s="1164"/>
      <c r="J99" s="1164"/>
      <c r="K99" s="1164"/>
    </row>
    <row r="100" spans="1:14" s="5" customFormat="1" x14ac:dyDescent="0.25">
      <c r="A100" s="326"/>
      <c r="B100" s="327"/>
      <c r="C100" s="327"/>
      <c r="D100" s="327"/>
      <c r="E100" s="328"/>
      <c r="F100" s="328"/>
      <c r="G100" s="328"/>
      <c r="H100" s="328"/>
      <c r="I100" s="328"/>
      <c r="J100" s="328"/>
      <c r="K100" s="328"/>
      <c r="M100" s="333"/>
      <c r="N100" s="338"/>
    </row>
    <row r="101" spans="1:14" s="5" customFormat="1" x14ac:dyDescent="0.25">
      <c r="A101" s="848" t="s">
        <v>1722</v>
      </c>
      <c r="B101" s="848"/>
      <c r="C101" s="848"/>
      <c r="D101" s="848"/>
      <c r="E101" s="848"/>
      <c r="F101" s="848"/>
      <c r="G101" s="848"/>
      <c r="H101" s="848"/>
      <c r="I101" s="848"/>
      <c r="J101" s="848"/>
      <c r="K101" s="848"/>
      <c r="L101" s="319"/>
      <c r="M101" s="333"/>
      <c r="N101" s="338"/>
    </row>
    <row r="102" spans="1:14" s="314" customFormat="1" x14ac:dyDescent="0.25">
      <c r="A102" s="314" t="s">
        <v>1712</v>
      </c>
      <c r="D102" s="323" t="s">
        <v>1713</v>
      </c>
      <c r="F102" s="323" t="s">
        <v>1714</v>
      </c>
      <c r="I102" s="323" t="s">
        <v>0</v>
      </c>
      <c r="M102" s="335"/>
      <c r="N102" s="340"/>
    </row>
  </sheetData>
  <sheetProtection formatCells="0" formatRows="0"/>
  <mergeCells count="202">
    <mergeCell ref="G45:H45"/>
    <mergeCell ref="A43:F43"/>
    <mergeCell ref="A44:F44"/>
    <mergeCell ref="A45:F45"/>
    <mergeCell ref="A29:F29"/>
    <mergeCell ref="A88:K88"/>
    <mergeCell ref="G33:H33"/>
    <mergeCell ref="A36:F36"/>
    <mergeCell ref="A37:F37"/>
    <mergeCell ref="A38:F38"/>
    <mergeCell ref="A39:F39"/>
    <mergeCell ref="A40:F40"/>
    <mergeCell ref="G37:H37"/>
    <mergeCell ref="G38:H38"/>
    <mergeCell ref="G39:H39"/>
    <mergeCell ref="G40:H40"/>
    <mergeCell ref="G41:H41"/>
    <mergeCell ref="G42:H42"/>
    <mergeCell ref="A41:F41"/>
    <mergeCell ref="A42:F42"/>
    <mergeCell ref="G43:H43"/>
    <mergeCell ref="G44:H44"/>
    <mergeCell ref="G51:H51"/>
    <mergeCell ref="A33:F33"/>
    <mergeCell ref="B11:K11"/>
    <mergeCell ref="G20:H20"/>
    <mergeCell ref="A18:F19"/>
    <mergeCell ref="A20:F20"/>
    <mergeCell ref="G21:H21"/>
    <mergeCell ref="G22:H22"/>
    <mergeCell ref="A21:F21"/>
    <mergeCell ref="A22:F22"/>
    <mergeCell ref="G18:H19"/>
    <mergeCell ref="I18:K18"/>
    <mergeCell ref="B14:K14"/>
    <mergeCell ref="B16:K16"/>
    <mergeCell ref="A28:F28"/>
    <mergeCell ref="G53:H53"/>
    <mergeCell ref="G23:H23"/>
    <mergeCell ref="G34:H34"/>
    <mergeCell ref="G35:H35"/>
    <mergeCell ref="G36:H36"/>
    <mergeCell ref="A34:F34"/>
    <mergeCell ref="A35:F35"/>
    <mergeCell ref="G29:H29"/>
    <mergeCell ref="G30:H30"/>
    <mergeCell ref="G31:H31"/>
    <mergeCell ref="G32:H32"/>
    <mergeCell ref="G27:H27"/>
    <mergeCell ref="G28:H28"/>
    <mergeCell ref="A26:F26"/>
    <mergeCell ref="A23:F23"/>
    <mergeCell ref="A27:F27"/>
    <mergeCell ref="G24:H24"/>
    <mergeCell ref="G25:H25"/>
    <mergeCell ref="A24:F24"/>
    <mergeCell ref="A25:F25"/>
    <mergeCell ref="G26:H26"/>
    <mergeCell ref="A30:F30"/>
    <mergeCell ref="A31:F31"/>
    <mergeCell ref="A32:F32"/>
    <mergeCell ref="G57:H57"/>
    <mergeCell ref="A55:F55"/>
    <mergeCell ref="A56:F56"/>
    <mergeCell ref="A57:F57"/>
    <mergeCell ref="G58:H58"/>
    <mergeCell ref="G59:H59"/>
    <mergeCell ref="G46:H46"/>
    <mergeCell ref="G47:H47"/>
    <mergeCell ref="G54:H54"/>
    <mergeCell ref="A52:F52"/>
    <mergeCell ref="A53:F53"/>
    <mergeCell ref="A54:F54"/>
    <mergeCell ref="G55:H55"/>
    <mergeCell ref="G56:H56"/>
    <mergeCell ref="A49:F49"/>
    <mergeCell ref="A50:F50"/>
    <mergeCell ref="A51:F51"/>
    <mergeCell ref="G48:H48"/>
    <mergeCell ref="A46:F46"/>
    <mergeCell ref="A47:F47"/>
    <mergeCell ref="A48:F48"/>
    <mergeCell ref="G49:H49"/>
    <mergeCell ref="G50:H50"/>
    <mergeCell ref="G52:H52"/>
    <mergeCell ref="G63:H63"/>
    <mergeCell ref="A61:F61"/>
    <mergeCell ref="A62:F62"/>
    <mergeCell ref="A63:F63"/>
    <mergeCell ref="G64:H64"/>
    <mergeCell ref="G65:H65"/>
    <mergeCell ref="G60:H60"/>
    <mergeCell ref="A58:F58"/>
    <mergeCell ref="A59:F59"/>
    <mergeCell ref="A60:F60"/>
    <mergeCell ref="G61:H61"/>
    <mergeCell ref="G62:H62"/>
    <mergeCell ref="G74:H74"/>
    <mergeCell ref="G69:H69"/>
    <mergeCell ref="A67:F67"/>
    <mergeCell ref="A68:F68"/>
    <mergeCell ref="A69:F69"/>
    <mergeCell ref="G66:H66"/>
    <mergeCell ref="A64:F64"/>
    <mergeCell ref="A65:F65"/>
    <mergeCell ref="A66:F66"/>
    <mergeCell ref="G67:H67"/>
    <mergeCell ref="G68:H68"/>
    <mergeCell ref="A79:F79"/>
    <mergeCell ref="G70:H70"/>
    <mergeCell ref="G71:H71"/>
    <mergeCell ref="A80:F80"/>
    <mergeCell ref="A81:F81"/>
    <mergeCell ref="G82:H82"/>
    <mergeCell ref="G83:H83"/>
    <mergeCell ref="G78:H78"/>
    <mergeCell ref="A76:F76"/>
    <mergeCell ref="A77:F77"/>
    <mergeCell ref="A78:F78"/>
    <mergeCell ref="G79:H79"/>
    <mergeCell ref="G80:H80"/>
    <mergeCell ref="G76:H76"/>
    <mergeCell ref="G77:H77"/>
    <mergeCell ref="G75:H75"/>
    <mergeCell ref="A73:F73"/>
    <mergeCell ref="A74:F74"/>
    <mergeCell ref="A75:F75"/>
    <mergeCell ref="G72:H72"/>
    <mergeCell ref="A70:F70"/>
    <mergeCell ref="A71:F71"/>
    <mergeCell ref="A72:F72"/>
    <mergeCell ref="G73:H73"/>
    <mergeCell ref="A93:K93"/>
    <mergeCell ref="A90:K90"/>
    <mergeCell ref="G84:H84"/>
    <mergeCell ref="A82:F82"/>
    <mergeCell ref="A83:F83"/>
    <mergeCell ref="A84:F84"/>
    <mergeCell ref="G85:H85"/>
    <mergeCell ref="G86:H86"/>
    <mergeCell ref="G81:H81"/>
    <mergeCell ref="I32:I35"/>
    <mergeCell ref="J32:J35"/>
    <mergeCell ref="K32:K35"/>
    <mergeCell ref="I36:I39"/>
    <mergeCell ref="J36:J39"/>
    <mergeCell ref="K36:K39"/>
    <mergeCell ref="A101:K101"/>
    <mergeCell ref="I20:I23"/>
    <mergeCell ref="J20:J23"/>
    <mergeCell ref="K20:K23"/>
    <mergeCell ref="I24:I27"/>
    <mergeCell ref="J24:J27"/>
    <mergeCell ref="K24:K27"/>
    <mergeCell ref="I28:I31"/>
    <mergeCell ref="J28:J31"/>
    <mergeCell ref="K28:K31"/>
    <mergeCell ref="G87:H87"/>
    <mergeCell ref="A85:F85"/>
    <mergeCell ref="A86:F86"/>
    <mergeCell ref="A87:F87"/>
    <mergeCell ref="A95:K95"/>
    <mergeCell ref="A99:K99"/>
    <mergeCell ref="A91:K91"/>
    <mergeCell ref="A92:K92"/>
    <mergeCell ref="K60:K63"/>
    <mergeCell ref="I48:I51"/>
    <mergeCell ref="J48:J51"/>
    <mergeCell ref="K48:K51"/>
    <mergeCell ref="I52:I55"/>
    <mergeCell ref="J52:J55"/>
    <mergeCell ref="K52:K55"/>
    <mergeCell ref="I40:I43"/>
    <mergeCell ref="J40:J43"/>
    <mergeCell ref="K40:K43"/>
    <mergeCell ref="I44:I47"/>
    <mergeCell ref="J44:J47"/>
    <mergeCell ref="K44:K47"/>
    <mergeCell ref="D7:H7"/>
    <mergeCell ref="I85:I87"/>
    <mergeCell ref="J85:J87"/>
    <mergeCell ref="K85:K87"/>
    <mergeCell ref="I76:I79"/>
    <mergeCell ref="J76:J79"/>
    <mergeCell ref="K76:K79"/>
    <mergeCell ref="I82:I84"/>
    <mergeCell ref="J82:J84"/>
    <mergeCell ref="K82:K84"/>
    <mergeCell ref="K64:K67"/>
    <mergeCell ref="I68:I71"/>
    <mergeCell ref="J68:J71"/>
    <mergeCell ref="K68:K71"/>
    <mergeCell ref="I72:I75"/>
    <mergeCell ref="J72:J75"/>
    <mergeCell ref="K72:K75"/>
    <mergeCell ref="I64:I67"/>
    <mergeCell ref="J64:J67"/>
    <mergeCell ref="I56:I59"/>
    <mergeCell ref="J56:J59"/>
    <mergeCell ref="K56:K59"/>
    <mergeCell ref="I60:I63"/>
    <mergeCell ref="J60:J63"/>
  </mergeCells>
  <pageMargins left="0.75" right="0.7" top="0.21739130434782608" bottom="0.17391304347826086" header="0.3" footer="0.3"/>
  <pageSetup paperSize="9" scale="80" orientation="portrait" r:id="rId1"/>
  <rowBreaks count="1" manualBreakCount="1">
    <brk id="51" max="10" man="1"/>
  </rowBreaks>
  <colBreaks count="1" manualBreakCount="1">
    <brk id="11" max="102" man="1"/>
  </col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3"/>
  <dimension ref="A1:Q88"/>
  <sheetViews>
    <sheetView view="pageLayout" zoomScale="55" zoomScaleNormal="100" zoomScaleSheetLayoutView="70" zoomScalePageLayoutView="55" workbookViewId="0">
      <selection activeCell="F14" sqref="F14"/>
    </sheetView>
  </sheetViews>
  <sheetFormatPr defaultRowHeight="23.25" x14ac:dyDescent="0.35"/>
  <cols>
    <col min="1" max="1" width="10.5703125" style="399" customWidth="1"/>
    <col min="2" max="3" width="10.28515625" style="399" customWidth="1"/>
    <col min="4" max="4" width="10.28515625" style="399" bestFit="1" customWidth="1"/>
    <col min="5" max="5" width="12.42578125" style="399" customWidth="1"/>
    <col min="6" max="6" width="18.5703125" style="399" bestFit="1" customWidth="1"/>
    <col min="7" max="7" width="12" style="399" bestFit="1" customWidth="1"/>
    <col min="8" max="8" width="12.5703125" style="399" customWidth="1"/>
    <col min="9" max="9" width="10.5703125" style="399" customWidth="1"/>
    <col min="10" max="16" width="9.140625" style="399"/>
    <col min="17" max="17" width="169.7109375" style="401" hidden="1" customWidth="1"/>
    <col min="18" max="16384" width="9.140625" style="399"/>
  </cols>
  <sheetData>
    <row r="1" spans="1:17" x14ac:dyDescent="0.35">
      <c r="O1" s="400" t="s">
        <v>94</v>
      </c>
    </row>
    <row r="2" spans="1:17" x14ac:dyDescent="0.35">
      <c r="O2" s="400" t="s">
        <v>95</v>
      </c>
    </row>
    <row r="3" spans="1:17" x14ac:dyDescent="0.35">
      <c r="O3" s="400" t="s">
        <v>96</v>
      </c>
    </row>
    <row r="4" spans="1:17" x14ac:dyDescent="0.35">
      <c r="O4" s="400" t="s">
        <v>97</v>
      </c>
    </row>
    <row r="5" spans="1:17" x14ac:dyDescent="0.35">
      <c r="M5" s="400" t="s">
        <v>98</v>
      </c>
      <c r="N5" s="1213">
        <f>№_и_б</f>
        <v>21949</v>
      </c>
      <c r="O5" s="1191"/>
    </row>
    <row r="6" spans="1:17" x14ac:dyDescent="0.35">
      <c r="G6" s="402" t="s">
        <v>99</v>
      </c>
    </row>
    <row r="7" spans="1:17" x14ac:dyDescent="0.35">
      <c r="A7" s="403" t="s">
        <v>2016</v>
      </c>
      <c r="C7" s="399" t="str">
        <f>ФИО</f>
        <v>Иванова Е.П.</v>
      </c>
    </row>
    <row r="8" spans="1:17" x14ac:dyDescent="0.35">
      <c r="A8" s="403" t="s">
        <v>20</v>
      </c>
      <c r="C8" s="404" t="e">
        <f ca="1">Возраст_лет</f>
        <v>#REF!</v>
      </c>
      <c r="D8" s="1214" t="e">
        <f>дата_рождения</f>
        <v>#REF!</v>
      </c>
      <c r="E8" s="1191"/>
      <c r="F8" s="405" t="s">
        <v>35</v>
      </c>
      <c r="H8" s="406" t="s">
        <v>22</v>
      </c>
      <c r="I8" s="1215">
        <f>Телефон</f>
        <v>0</v>
      </c>
      <c r="J8" s="1215"/>
      <c r="K8" s="1191"/>
      <c r="L8" s="1191"/>
    </row>
    <row r="9" spans="1:17" x14ac:dyDescent="0.35">
      <c r="A9" s="403" t="s">
        <v>2017</v>
      </c>
      <c r="D9" s="1197" t="str">
        <f>трудовой_анамнез</f>
        <v>пенсионер, в б\л не нуждается</v>
      </c>
      <c r="E9" s="1197"/>
      <c r="F9" s="1197"/>
      <c r="G9" s="1197"/>
      <c r="H9" s="1197"/>
      <c r="I9" s="1197"/>
      <c r="J9" s="1197"/>
      <c r="K9" s="1197"/>
      <c r="L9" s="1197"/>
      <c r="M9" s="1197"/>
      <c r="N9" s="1197"/>
      <c r="O9" s="1197"/>
    </row>
    <row r="10" spans="1:17" x14ac:dyDescent="0.35">
      <c r="A10" s="1216" t="s">
        <v>2351</v>
      </c>
      <c r="B10" s="1217"/>
      <c r="C10" s="1217"/>
      <c r="D10" s="1217"/>
      <c r="E10" s="1217"/>
      <c r="F10" s="1217"/>
      <c r="G10" s="1217"/>
      <c r="H10" s="1217"/>
      <c r="I10" s="1217"/>
      <c r="J10" s="1217"/>
      <c r="K10" s="1217"/>
      <c r="L10" s="1217"/>
      <c r="M10" s="1217"/>
      <c r="N10" s="1217"/>
      <c r="O10" s="1217"/>
    </row>
    <row r="11" spans="1:17" x14ac:dyDescent="0.35">
      <c r="A11" s="403" t="s">
        <v>2018</v>
      </c>
      <c r="E11" s="406"/>
      <c r="H11" s="1211">
        <f>дата_поступления</f>
        <v>42592</v>
      </c>
      <c r="I11" s="1212"/>
      <c r="J11" s="407" t="s">
        <v>100</v>
      </c>
      <c r="K11" s="1211" t="str">
        <f>IF(Дата_выписки=0," ",Дата_выписки)</f>
        <v xml:space="preserve"> </v>
      </c>
      <c r="L11" s="1212"/>
      <c r="M11" s="1212"/>
    </row>
    <row r="12" spans="1:17" x14ac:dyDescent="0.35">
      <c r="A12" s="403" t="s">
        <v>2019</v>
      </c>
    </row>
    <row r="13" spans="1:17" ht="69.75" x14ac:dyDescent="0.35">
      <c r="A13" s="1209" t="str">
        <f>Диагноз_при_поступлении</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c r="B13" s="1209"/>
      <c r="C13" s="1209"/>
      <c r="D13" s="1209"/>
      <c r="E13" s="1209"/>
      <c r="F13" s="1209"/>
      <c r="G13" s="1209"/>
      <c r="H13" s="1209"/>
      <c r="I13" s="1209"/>
      <c r="J13" s="1209"/>
      <c r="K13" s="1209"/>
      <c r="L13" s="1209"/>
      <c r="M13" s="1209"/>
      <c r="N13" s="1209"/>
      <c r="O13" s="1209"/>
      <c r="Q13" s="401" t="str">
        <f>A13</f>
        <v>МКБ, рецидив. Резидуальный камень н\чашки справа 20 мм.                                                                                                                                                                                                                                                                                                                                                           Гидронефроз справа 1 ст. Стриктура н\ 3 справа. Хронический калькулезный пиелонефрит , латентное течение. ХПН 0-1.</v>
      </c>
    </row>
    <row r="14" spans="1:17" x14ac:dyDescent="0.35">
      <c r="A14" s="408" t="s">
        <v>71</v>
      </c>
      <c r="B14" s="408"/>
      <c r="C14" s="408"/>
      <c r="D14" s="408"/>
      <c r="E14" s="408"/>
      <c r="F14" s="408"/>
      <c r="G14" s="408"/>
      <c r="H14" s="408"/>
    </row>
    <row r="15" spans="1:17" ht="46.5" x14ac:dyDescent="0.35">
      <c r="A15" s="1210"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15" s="1210"/>
      <c r="C15" s="1210"/>
      <c r="D15" s="1210"/>
      <c r="E15" s="1210"/>
      <c r="F15" s="1210"/>
      <c r="G15" s="1210"/>
      <c r="H15" s="1210"/>
      <c r="I15" s="1210"/>
      <c r="J15" s="1210"/>
      <c r="K15" s="1210"/>
      <c r="L15" s="1210"/>
      <c r="M15" s="1210"/>
      <c r="N15" s="1210"/>
      <c r="O15" s="1210"/>
      <c r="Q15" s="401" t="str">
        <f>A15</f>
        <v>МКБ, рецидив. Резидуальный камень н\чашки справа 20 мм.                                                                                                                                                                                                                                                                                                                                                           Гидронефроз справа 1 ст. Хронический калькулезный пиелонефрит , латентное течение. ХПН 0-1</v>
      </c>
    </row>
    <row r="16" spans="1:17" x14ac:dyDescent="0.35">
      <c r="A16" s="408" t="str">
        <f>IF(Сопутствующий_диагноз=0, " ", "Сопутствующий диагноз:")</f>
        <v>Сопутствующий диагноз:</v>
      </c>
      <c r="B16" s="408"/>
      <c r="C16" s="408"/>
      <c r="D16" s="408"/>
      <c r="E16" s="408"/>
      <c r="F16" s="408"/>
      <c r="G16" s="408"/>
      <c r="H16" s="408"/>
    </row>
    <row r="17" spans="1:17" x14ac:dyDescent="0.35">
      <c r="A17" s="1195" t="str">
        <f>IF(Сопутствующий_диагноз=0, " ", Сопутствующий_диагноз)</f>
        <v xml:space="preserve">ИБС: АКС. САГ 2 ст, 2 ст, риск 3. Ожирение 3-4 ст. П\о вентральная грыжа. </v>
      </c>
      <c r="B17" s="1195"/>
      <c r="C17" s="1195"/>
      <c r="D17" s="1195"/>
      <c r="E17" s="1195"/>
      <c r="F17" s="1195"/>
      <c r="G17" s="1195"/>
      <c r="H17" s="1195"/>
      <c r="I17" s="1195"/>
      <c r="J17" s="1195"/>
      <c r="K17" s="1195"/>
      <c r="L17" s="1195"/>
      <c r="M17" s="1195"/>
      <c r="N17" s="1195"/>
      <c r="O17" s="1195"/>
      <c r="Q17" s="401" t="str">
        <f>A17</f>
        <v xml:space="preserve">ИБС: АКС. САГ 2 ст, 2 ст, риск 3. Ожирение 3-4 ст. П\о вентральная грыжа. </v>
      </c>
    </row>
    <row r="18" spans="1:17" x14ac:dyDescent="0.35">
      <c r="A18" s="408" t="s">
        <v>25</v>
      </c>
    </row>
    <row r="19" spans="1:17" x14ac:dyDescent="0.35">
      <c r="A19" s="1195" t="str">
        <f>Жалобы</f>
        <v>боли в поясничной области;справа</v>
      </c>
      <c r="B19" s="1195"/>
      <c r="C19" s="1195"/>
      <c r="D19" s="1195"/>
      <c r="E19" s="1195"/>
      <c r="F19" s="1195"/>
      <c r="G19" s="1195"/>
      <c r="H19" s="1195"/>
      <c r="I19" s="1195"/>
      <c r="J19" s="1195"/>
      <c r="K19" s="1195"/>
      <c r="L19" s="1195"/>
      <c r="M19" s="1195"/>
      <c r="N19" s="1195"/>
      <c r="O19" s="1201"/>
      <c r="Q19" s="401" t="str">
        <f>A19</f>
        <v>боли в поясничной области;справа</v>
      </c>
    </row>
    <row r="20" spans="1:17" x14ac:dyDescent="0.35">
      <c r="A20" s="408" t="s">
        <v>26</v>
      </c>
      <c r="B20" s="408"/>
      <c r="C20" s="408"/>
      <c r="D20" s="408"/>
      <c r="E20" s="408"/>
      <c r="F20" s="408"/>
      <c r="G20" s="408"/>
      <c r="H20" s="408"/>
    </row>
    <row r="21" spans="1:17" ht="69.75" x14ac:dyDescent="0.35">
      <c r="A21" s="1202" t="str">
        <f>Anamnesis_morbi</f>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c r="B21" s="1202"/>
      <c r="C21" s="1202"/>
      <c r="D21" s="1202"/>
      <c r="E21" s="1202"/>
      <c r="F21" s="1202"/>
      <c r="G21" s="1202"/>
      <c r="H21" s="1202"/>
      <c r="I21" s="1202"/>
      <c r="J21" s="1202"/>
      <c r="K21" s="1202"/>
      <c r="L21" s="1202"/>
      <c r="M21" s="1202"/>
      <c r="N21" s="1202"/>
      <c r="O21" s="1202"/>
      <c r="Q21" s="401" t="str">
        <f>A21</f>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row>
    <row r="22" spans="1:17" x14ac:dyDescent="0.35">
      <c r="A22" s="408" t="s">
        <v>27</v>
      </c>
      <c r="B22" s="408"/>
      <c r="C22" s="408"/>
      <c r="D22" s="408"/>
      <c r="E22" s="408"/>
      <c r="F22" s="408"/>
      <c r="G22" s="408"/>
      <c r="H22" s="408"/>
    </row>
    <row r="23" spans="1:17" s="409" customFormat="1" ht="46.5" x14ac:dyDescent="0.25">
      <c r="A23" s="1195" t="str">
        <f>Anamnesis_vitae</f>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c r="B23" s="1195"/>
      <c r="C23" s="1195"/>
      <c r="D23" s="1195"/>
      <c r="E23" s="1195"/>
      <c r="F23" s="1195"/>
      <c r="G23" s="1195"/>
      <c r="H23" s="1195"/>
      <c r="I23" s="1195"/>
      <c r="J23" s="1195"/>
      <c r="K23" s="1195"/>
      <c r="L23" s="1195"/>
      <c r="M23" s="1195"/>
      <c r="N23" s="1195"/>
      <c r="O23" s="1195"/>
      <c r="Q23" s="401" t="str">
        <f>A23</f>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row>
    <row r="24" spans="1:17" x14ac:dyDescent="0.35">
      <c r="A24" s="408" t="s">
        <v>34</v>
      </c>
      <c r="B24" s="408"/>
      <c r="D24" s="1196" t="str">
        <f>Аллергоанамнез</f>
        <v>левомицетин, новокаин</v>
      </c>
      <c r="E24" s="1197"/>
      <c r="F24" s="1197"/>
      <c r="G24" s="1197"/>
      <c r="H24" s="1197"/>
      <c r="I24" s="1197"/>
      <c r="J24" s="1197"/>
      <c r="K24" s="1197"/>
      <c r="L24" s="1197"/>
      <c r="M24" s="1197"/>
      <c r="N24" s="1197"/>
      <c r="O24" s="1197"/>
    </row>
    <row r="25" spans="1:17" x14ac:dyDescent="0.35">
      <c r="A25" s="408" t="s">
        <v>29</v>
      </c>
      <c r="B25" s="408"/>
      <c r="C25" s="408"/>
      <c r="F25" s="1198" t="str">
        <f>Трансфузии</f>
        <v>не отягощен</v>
      </c>
      <c r="G25" s="1197"/>
      <c r="H25" s="1197"/>
      <c r="I25" s="1197"/>
      <c r="J25" s="1197"/>
      <c r="K25" s="1197"/>
      <c r="L25" s="1197"/>
      <c r="M25" s="1197"/>
      <c r="N25" s="1197"/>
      <c r="O25" s="1197"/>
    </row>
    <row r="26" spans="1:17" x14ac:dyDescent="0.35">
      <c r="A26" s="408" t="s">
        <v>30</v>
      </c>
      <c r="B26" s="408"/>
      <c r="C26" s="408"/>
      <c r="D26" s="408"/>
      <c r="E26" s="408"/>
      <c r="F26" s="408"/>
      <c r="G26" s="408"/>
      <c r="H26" s="408"/>
    </row>
    <row r="27" spans="1:17" x14ac:dyDescent="0.35">
      <c r="A27" s="1199" t="e">
        <f>Объективно</f>
        <v>#REF!</v>
      </c>
      <c r="B27" s="1199"/>
      <c r="C27" s="1199"/>
      <c r="D27" s="1199"/>
      <c r="E27" s="1199"/>
      <c r="F27" s="1199"/>
      <c r="G27" s="1199"/>
      <c r="H27" s="1199"/>
      <c r="I27" s="1199"/>
      <c r="J27" s="1199"/>
      <c r="K27" s="1199"/>
      <c r="L27" s="1199"/>
      <c r="M27" s="1199"/>
      <c r="N27" s="1199"/>
      <c r="O27" s="1199"/>
      <c r="Q27" s="401" t="e">
        <f>A27</f>
        <v>#REF!</v>
      </c>
    </row>
    <row r="28" spans="1:17" x14ac:dyDescent="0.35">
      <c r="A28" s="408" t="e">
        <f>IF(Ректально=0, " ", "Per rectum:")</f>
        <v>#REF!</v>
      </c>
      <c r="B28" s="408"/>
      <c r="C28" s="408"/>
      <c r="D28" s="408"/>
      <c r="E28" s="408"/>
      <c r="F28" s="408"/>
      <c r="G28" s="408"/>
      <c r="H28" s="408"/>
    </row>
    <row r="29" spans="1:17" x14ac:dyDescent="0.35">
      <c r="A29" s="1194" t="e">
        <f>IF(Ректально=0, " ", Ректально)</f>
        <v>#REF!</v>
      </c>
      <c r="B29" s="1194"/>
      <c r="C29" s="1194"/>
      <c r="D29" s="1194"/>
      <c r="E29" s="1194"/>
      <c r="F29" s="1194"/>
      <c r="G29" s="1194"/>
      <c r="H29" s="1194"/>
      <c r="I29" s="1194"/>
      <c r="J29" s="1194"/>
      <c r="K29" s="1194"/>
      <c r="L29" s="1194"/>
      <c r="M29" s="1194"/>
      <c r="N29" s="1194"/>
      <c r="O29" s="1194"/>
      <c r="Q29" s="401" t="e">
        <f>A29</f>
        <v>#REF!</v>
      </c>
    </row>
    <row r="30" spans="1:17" x14ac:dyDescent="0.35">
      <c r="A30" s="398" t="s">
        <v>2011</v>
      </c>
    </row>
    <row r="31" spans="1:17" x14ac:dyDescent="0.35">
      <c r="A31" s="1192" t="str">
        <f>IF(данные_проведенного_обследования=0, " ", данные_проведенного_обследования)</f>
        <v xml:space="preserve">НА УЗИ и урограмме ( 11.07.16) -   в н\ чашке - 20 мм каменьУмеренное расширение ЧЛС справа. </v>
      </c>
      <c r="B31" s="1192"/>
      <c r="C31" s="1192"/>
      <c r="D31" s="1192"/>
      <c r="E31" s="1192"/>
      <c r="F31" s="1192"/>
      <c r="G31" s="1192"/>
      <c r="H31" s="1192"/>
      <c r="I31" s="1192"/>
      <c r="J31" s="1192"/>
      <c r="K31" s="1192"/>
      <c r="L31" s="1192"/>
      <c r="M31" s="1192"/>
      <c r="N31" s="1192"/>
      <c r="O31" s="1192"/>
      <c r="Q31" s="401" t="str">
        <f>A31</f>
        <v xml:space="preserve">НА УЗИ и урограмме ( 11.07.16) -   в н\ чашке - 20 мм каменьУмеренное расширение ЧЛС справа. </v>
      </c>
    </row>
    <row r="32" spans="1:17" ht="46.5" x14ac:dyDescent="0.35">
      <c r="A32" s="1192" t="str">
        <f>IF(Данные_амбулаторного_обследования=0, " ", Данные_амбулаторного_обследования)</f>
        <v xml:space="preserve">ФЛГ (амб): без свежих инфильтративных изменений.
Терапевт (амб): противопоказаний для оперативного лечения нет. </v>
      </c>
      <c r="B32" s="1192"/>
      <c r="C32" s="1192"/>
      <c r="D32" s="1192"/>
      <c r="E32" s="1192"/>
      <c r="F32" s="1192"/>
      <c r="G32" s="1192"/>
      <c r="H32" s="1192"/>
      <c r="I32" s="1192"/>
      <c r="J32" s="1192"/>
      <c r="K32" s="1192"/>
      <c r="L32" s="1192"/>
      <c r="M32" s="1192"/>
      <c r="N32" s="1192"/>
      <c r="O32" s="1192"/>
      <c r="Q32" s="401" t="str">
        <f>A32</f>
        <v xml:space="preserve">ФЛГ (амб): без свежих инфильтративных изменений.
Терапевт (амб): противопоказаний для оперативного лечения нет. </v>
      </c>
    </row>
    <row r="33" spans="1:17" x14ac:dyDescent="0.35">
      <c r="D33" s="410"/>
      <c r="E33" s="411" t="s">
        <v>102</v>
      </c>
      <c r="F33" s="412" t="e">
        <f>Код_МЭС</f>
        <v>#N/A</v>
      </c>
      <c r="G33" s="410"/>
      <c r="H33" s="410"/>
      <c r="I33" s="411" t="s">
        <v>104</v>
      </c>
      <c r="J33" s="412">
        <f>Код_заболевания</f>
        <v>0</v>
      </c>
      <c r="K33" s="410"/>
    </row>
    <row r="34" spans="1:17" ht="46.5" x14ac:dyDescent="0.35">
      <c r="A34" s="1207" t="s">
        <v>2012</v>
      </c>
      <c r="B34" s="1207"/>
      <c r="C34" s="1207"/>
      <c r="D34" s="1207"/>
      <c r="E34" s="1207"/>
      <c r="F34" s="1207"/>
      <c r="G34" s="1207"/>
      <c r="H34" s="1207"/>
      <c r="I34" s="1207"/>
      <c r="J34" s="1207"/>
      <c r="K34" s="1207"/>
      <c r="L34" s="1207"/>
      <c r="M34" s="1207"/>
      <c r="N34" s="1207"/>
      <c r="O34" s="1207"/>
      <c r="Q34" s="401" t="str">
        <f>A34</f>
        <v xml:space="preserve">Больному проведены три пробы со снотворным (таб. Фенозепам – 1мг х 1 табл на ночь) – в течение трех суток проба положительная, постель мокрая. Диагноз Энурез  подтвержден. </v>
      </c>
    </row>
    <row r="35" spans="1:17" ht="46.5" x14ac:dyDescent="0.35">
      <c r="A35" s="1208" t="s">
        <v>2020</v>
      </c>
      <c r="B35" s="1208"/>
      <c r="C35" s="1208"/>
      <c r="D35" s="1208"/>
      <c r="E35" s="1208"/>
      <c r="F35" s="1208"/>
      <c r="G35" s="1208"/>
      <c r="H35" s="1208"/>
      <c r="I35" s="1208"/>
      <c r="J35" s="1208"/>
      <c r="K35" s="1208"/>
      <c r="L35" s="1208"/>
      <c r="M35" s="1208"/>
      <c r="N35" s="1208"/>
      <c r="O35" s="1208"/>
      <c r="Q35" s="401" t="str">
        <f>A35</f>
        <v>Состояние при выписке удовлетворительное. Т 36,6 С. Область почек визуально не изменена, при пальпации безболезненна. С-м поколачивания отрицательный с обеих сторон. Мочеиспускание самостоятельное.</v>
      </c>
    </row>
    <row r="36" spans="1:17" x14ac:dyDescent="0.35">
      <c r="A36" s="403" t="s">
        <v>136</v>
      </c>
      <c r="C36" s="403" t="s">
        <v>2013</v>
      </c>
    </row>
    <row r="37" spans="1:17" x14ac:dyDescent="0.35">
      <c r="A37" s="403" t="s">
        <v>140</v>
      </c>
      <c r="E37" s="403" t="s">
        <v>2014</v>
      </c>
    </row>
    <row r="38" spans="1:17" x14ac:dyDescent="0.35">
      <c r="I38" s="406" t="s">
        <v>148</v>
      </c>
      <c r="L38" s="399" t="str">
        <f>Лечащий_врач</f>
        <v>Еременко А. Н.</v>
      </c>
    </row>
    <row r="40" spans="1:17" x14ac:dyDescent="0.35">
      <c r="I40" s="406" t="str">
        <f>IF(И.О.ЗАВ.ОТД.=1,"И.о. зав.отделением","Зав.отделением")</f>
        <v>Зав.отделением</v>
      </c>
      <c r="L40" s="399" t="str">
        <f>Зав.отд.</f>
        <v>Еременко С. Н.</v>
      </c>
    </row>
    <row r="42" spans="1:17" x14ac:dyDescent="0.35">
      <c r="I42" s="406" t="s">
        <v>2015</v>
      </c>
      <c r="L42" s="413" t="s">
        <v>90</v>
      </c>
    </row>
    <row r="43" spans="1:17" x14ac:dyDescent="0.35">
      <c r="A43" s="157" t="s">
        <v>2021</v>
      </c>
    </row>
    <row r="44" spans="1:17" x14ac:dyDescent="0.35">
      <c r="A44" s="157" t="s">
        <v>2022</v>
      </c>
      <c r="K44" s="164"/>
      <c r="L44" s="164" t="s">
        <v>2046</v>
      </c>
    </row>
    <row r="45" spans="1:17" x14ac:dyDescent="0.35">
      <c r="A45" s="164" t="s">
        <v>2023</v>
      </c>
      <c r="K45" s="157" t="s">
        <v>2024</v>
      </c>
      <c r="L45" s="164"/>
    </row>
    <row r="46" spans="1:17" x14ac:dyDescent="0.35">
      <c r="K46" s="157" t="s">
        <v>2025</v>
      </c>
      <c r="L46" s="164"/>
    </row>
    <row r="47" spans="1:17" x14ac:dyDescent="0.35">
      <c r="K47" s="157" t="s">
        <v>2026</v>
      </c>
      <c r="L47" s="164"/>
    </row>
    <row r="48" spans="1:17" x14ac:dyDescent="0.35">
      <c r="K48" s="157" t="s">
        <v>2027</v>
      </c>
      <c r="L48" s="164"/>
    </row>
    <row r="49" spans="1:17" x14ac:dyDescent="0.35">
      <c r="G49" s="421" t="s">
        <v>2028</v>
      </c>
      <c r="H49" s="416"/>
    </row>
    <row r="50" spans="1:17" x14ac:dyDescent="0.35">
      <c r="E50" s="400" t="s">
        <v>2029</v>
      </c>
      <c r="F50" s="403">
        <f>№_и_б</f>
        <v>21949</v>
      </c>
      <c r="H50" s="400" t="s">
        <v>2030</v>
      </c>
      <c r="I50" s="422"/>
    </row>
    <row r="51" spans="1:17" x14ac:dyDescent="0.35">
      <c r="E51" s="400"/>
      <c r="H51" s="400"/>
      <c r="I51" s="426"/>
    </row>
    <row r="52" spans="1:17" x14ac:dyDescent="0.35">
      <c r="B52" s="1204" t="str">
        <f>ФИО</f>
        <v>Иванова Е.П.</v>
      </c>
      <c r="C52" s="1204"/>
      <c r="D52" s="1204"/>
      <c r="E52" s="1204"/>
      <c r="F52" s="1204"/>
      <c r="G52" s="399" t="s">
        <v>2031</v>
      </c>
      <c r="H52" s="399" t="e">
        <f ca="1">Возраст_лет</f>
        <v>#REF!</v>
      </c>
      <c r="I52" s="1205" t="e">
        <f>дата_рождения</f>
        <v>#REF!</v>
      </c>
      <c r="J52" s="1205"/>
      <c r="K52" s="399" t="s">
        <v>35</v>
      </c>
    </row>
    <row r="53" spans="1:17" x14ac:dyDescent="0.35">
      <c r="G53" s="407" t="s">
        <v>2033</v>
      </c>
    </row>
    <row r="54" spans="1:17" ht="27.75" x14ac:dyDescent="0.35">
      <c r="G54" s="420" t="s">
        <v>2032</v>
      </c>
    </row>
    <row r="55" spans="1:17" x14ac:dyDescent="0.35">
      <c r="A55" s="399" t="s">
        <v>2034</v>
      </c>
      <c r="G55" s="1193" t="s">
        <v>1469</v>
      </c>
      <c r="H55" s="1193"/>
      <c r="I55" s="1193"/>
      <c r="J55" s="1193"/>
      <c r="K55" s="1193"/>
      <c r="L55" s="1193"/>
      <c r="M55" s="1193"/>
      <c r="N55" s="1193"/>
      <c r="O55" s="1193"/>
    </row>
    <row r="56" spans="1:17" x14ac:dyDescent="0.35">
      <c r="G56" s="417" t="s">
        <v>2035</v>
      </c>
    </row>
    <row r="57" spans="1:17" x14ac:dyDescent="0.35">
      <c r="A57" s="399" t="s">
        <v>2036</v>
      </c>
      <c r="B57" s="1203">
        <v>41695</v>
      </c>
      <c r="C57" s="1203"/>
      <c r="D57" s="1203"/>
      <c r="E57" s="406" t="s">
        <v>2037</v>
      </c>
      <c r="F57" s="414">
        <f>H49</f>
        <v>0</v>
      </c>
    </row>
    <row r="58" spans="1:17" x14ac:dyDescent="0.35">
      <c r="A58" s="1206" t="s">
        <v>2038</v>
      </c>
      <c r="B58" s="1048"/>
      <c r="C58" s="1048"/>
      <c r="D58" s="1048"/>
      <c r="E58" s="1048"/>
      <c r="F58" s="1048"/>
      <c r="G58" s="1048"/>
      <c r="H58" s="1048"/>
      <c r="I58" s="1048"/>
      <c r="J58" s="1048"/>
      <c r="K58" s="1048"/>
      <c r="L58" s="1048"/>
      <c r="M58" s="1048"/>
      <c r="N58" s="1048"/>
      <c r="O58" s="1048"/>
    </row>
    <row r="59" spans="1:17" ht="27.75" x14ac:dyDescent="0.35">
      <c r="G59" s="420" t="s">
        <v>2039</v>
      </c>
    </row>
    <row r="60" spans="1:17" x14ac:dyDescent="0.35">
      <c r="A60" s="427" t="s">
        <v>289</v>
      </c>
      <c r="B60" s="1200">
        <f>дата_поступления</f>
        <v>42592</v>
      </c>
      <c r="C60" s="1200"/>
      <c r="D60" s="1200"/>
      <c r="E60" s="427" t="s">
        <v>100</v>
      </c>
      <c r="F60" s="1200">
        <f>Дата_выписки</f>
        <v>0</v>
      </c>
      <c r="G60" s="1200"/>
      <c r="H60" s="1200"/>
    </row>
    <row r="61" spans="1:17" x14ac:dyDescent="0.35">
      <c r="A61" s="408" t="s">
        <v>2040</v>
      </c>
    </row>
    <row r="62" spans="1:17" x14ac:dyDescent="0.35">
      <c r="A62" s="1195" t="str">
        <f>Жалобы</f>
        <v>боли в поясничной области;справа</v>
      </c>
      <c r="B62" s="1195"/>
      <c r="C62" s="1195"/>
      <c r="D62" s="1195"/>
      <c r="E62" s="1195"/>
      <c r="F62" s="1195"/>
      <c r="G62" s="1195"/>
      <c r="H62" s="1195"/>
      <c r="I62" s="1195"/>
      <c r="J62" s="1195"/>
      <c r="K62" s="1195"/>
      <c r="L62" s="1195"/>
      <c r="M62" s="1195"/>
      <c r="N62" s="1195"/>
      <c r="O62" s="1201"/>
      <c r="Q62" s="401" t="str">
        <f>A62</f>
        <v>боли в поясничной области;справа</v>
      </c>
    </row>
    <row r="63" spans="1:17" x14ac:dyDescent="0.35">
      <c r="A63" s="408" t="s">
        <v>26</v>
      </c>
      <c r="B63" s="408"/>
      <c r="C63" s="408"/>
      <c r="D63" s="408"/>
      <c r="E63" s="408"/>
      <c r="F63" s="408"/>
      <c r="G63" s="408"/>
      <c r="H63" s="408"/>
      <c r="Q63" s="415" t="str">
        <f t="shared" ref="Q63:Q75" si="0">A63</f>
        <v>Anamnesis morbi:</v>
      </c>
    </row>
    <row r="64" spans="1:17" ht="69.75" x14ac:dyDescent="0.35">
      <c r="A64" s="1202" t="str">
        <f>Anamnesis_morbi</f>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c r="B64" s="1202"/>
      <c r="C64" s="1202"/>
      <c r="D64" s="1202"/>
      <c r="E64" s="1202"/>
      <c r="F64" s="1202"/>
      <c r="G64" s="1202"/>
      <c r="H64" s="1202"/>
      <c r="I64" s="1202"/>
      <c r="J64" s="1202"/>
      <c r="K64" s="1202"/>
      <c r="L64" s="1202"/>
      <c r="M64" s="1202"/>
      <c r="N64" s="1202"/>
      <c r="O64" s="1202"/>
      <c r="Q64" s="401" t="str">
        <f t="shared" si="0"/>
        <v xml:space="preserve">Болеет МКБ в течение 25-ти лет. Камневыделитель. В феврале 2016 г приступ почечной колики. На контрольном обследовании  имеется камень в н\ чашке до 20 мм. Обратилась в 9 г/б для определения дальнейшей тактики лечения. </v>
      </c>
    </row>
    <row r="65" spans="1:17" x14ac:dyDescent="0.35">
      <c r="A65" s="408" t="s">
        <v>27</v>
      </c>
      <c r="B65" s="408"/>
      <c r="C65" s="408"/>
      <c r="D65" s="408"/>
      <c r="E65" s="408"/>
      <c r="F65" s="408"/>
      <c r="G65" s="408"/>
      <c r="H65" s="408"/>
      <c r="Q65" s="415" t="str">
        <f t="shared" si="0"/>
        <v>Anamnesis vitae:</v>
      </c>
    </row>
    <row r="66" spans="1:17" ht="46.5" x14ac:dyDescent="0.35">
      <c r="A66" s="1195" t="str">
        <f>Anamnesis_vitae</f>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c r="B66" s="1195"/>
      <c r="C66" s="1195"/>
      <c r="D66" s="1195"/>
      <c r="E66" s="1195"/>
      <c r="F66" s="1195"/>
      <c r="G66" s="1195"/>
      <c r="H66" s="1195"/>
      <c r="I66" s="1195"/>
      <c r="J66" s="1195"/>
      <c r="K66" s="1195"/>
      <c r="L66" s="1195"/>
      <c r="M66" s="1195"/>
      <c r="N66" s="1195"/>
      <c r="O66" s="1195"/>
      <c r="Q66" s="401" t="str">
        <f t="shared" si="0"/>
        <v xml:space="preserve">ВИЧ, сифилис, гепатиты, сахарный диабет , туберкулез, ОИМ, ОНМК - отрицает. Артериальная гипертензия + . Операции -  аппендкэтомия, кесаррево сечение.    Хронические болезни: - Препараты- энап. </v>
      </c>
    </row>
    <row r="67" spans="1:17" x14ac:dyDescent="0.35">
      <c r="A67" s="408" t="s">
        <v>34</v>
      </c>
      <c r="B67" s="408"/>
      <c r="D67" s="1196" t="str">
        <f>Аллергоанамнез</f>
        <v>левомицетин, новокаин</v>
      </c>
      <c r="E67" s="1197"/>
      <c r="F67" s="1197"/>
      <c r="G67" s="1197"/>
      <c r="H67" s="1197"/>
      <c r="I67" s="1197"/>
      <c r="J67" s="1197"/>
      <c r="K67" s="1197"/>
      <c r="L67" s="1197"/>
      <c r="M67" s="1197"/>
      <c r="N67" s="1197"/>
      <c r="O67" s="1197"/>
      <c r="Q67" s="415" t="str">
        <f t="shared" si="0"/>
        <v>Аллергоанамнез:</v>
      </c>
    </row>
    <row r="68" spans="1:17" x14ac:dyDescent="0.35">
      <c r="A68" s="408" t="s">
        <v>29</v>
      </c>
      <c r="B68" s="408"/>
      <c r="C68" s="408"/>
      <c r="F68" s="1198" t="str">
        <f>Трансфузии</f>
        <v>не отягощен</v>
      </c>
      <c r="G68" s="1197"/>
      <c r="H68" s="1197"/>
      <c r="I68" s="1197"/>
      <c r="J68" s="1197"/>
      <c r="K68" s="1197"/>
      <c r="L68" s="1197"/>
      <c r="M68" s="1197"/>
      <c r="N68" s="1197"/>
      <c r="O68" s="1197"/>
      <c r="Q68" s="415" t="str">
        <f t="shared" si="0"/>
        <v>Трансфузиологический анамнез:</v>
      </c>
    </row>
    <row r="69" spans="1:17" x14ac:dyDescent="0.35">
      <c r="A69" s="408" t="s">
        <v>30</v>
      </c>
      <c r="B69" s="408"/>
      <c r="C69" s="408"/>
      <c r="D69" s="408"/>
      <c r="E69" s="408"/>
      <c r="F69" s="408"/>
      <c r="G69" s="408"/>
      <c r="H69" s="408"/>
      <c r="Q69" s="415" t="str">
        <f t="shared" si="0"/>
        <v>Объективно при поступлении:</v>
      </c>
    </row>
    <row r="70" spans="1:17" x14ac:dyDescent="0.35">
      <c r="A70" s="1199" t="e">
        <f>Объективно</f>
        <v>#REF!</v>
      </c>
      <c r="B70" s="1199"/>
      <c r="C70" s="1199"/>
      <c r="D70" s="1199"/>
      <c r="E70" s="1199"/>
      <c r="F70" s="1199"/>
      <c r="G70" s="1199"/>
      <c r="H70" s="1199"/>
      <c r="I70" s="1199"/>
      <c r="J70" s="1199"/>
      <c r="K70" s="1199"/>
      <c r="L70" s="1199"/>
      <c r="M70" s="1199"/>
      <c r="N70" s="1199"/>
      <c r="O70" s="1199"/>
      <c r="Q70" s="401" t="e">
        <f t="shared" si="0"/>
        <v>#REF!</v>
      </c>
    </row>
    <row r="71" spans="1:17" x14ac:dyDescent="0.35">
      <c r="A71" s="408" t="e">
        <f>IF(Ректально=0, " ", "Per rectum:")</f>
        <v>#REF!</v>
      </c>
      <c r="B71" s="408"/>
      <c r="C71" s="408"/>
      <c r="D71" s="408"/>
      <c r="E71" s="408"/>
      <c r="F71" s="408"/>
      <c r="G71" s="408"/>
      <c r="H71" s="408"/>
      <c r="Q71" s="415" t="e">
        <f t="shared" si="0"/>
        <v>#REF!</v>
      </c>
    </row>
    <row r="72" spans="1:17" x14ac:dyDescent="0.35">
      <c r="A72" s="1194" t="e">
        <f>IF(Ректально=0, " ", Ректально)</f>
        <v>#REF!</v>
      </c>
      <c r="B72" s="1194"/>
      <c r="C72" s="1194"/>
      <c r="D72" s="1194"/>
      <c r="E72" s="1194"/>
      <c r="F72" s="1194"/>
      <c r="G72" s="1194"/>
      <c r="H72" s="1194"/>
      <c r="I72" s="1194"/>
      <c r="J72" s="1194"/>
      <c r="K72" s="1194"/>
      <c r="L72" s="1194"/>
      <c r="M72" s="1194"/>
      <c r="N72" s="1194"/>
      <c r="O72" s="1194"/>
      <c r="Q72" s="401" t="e">
        <f t="shared" si="0"/>
        <v>#REF!</v>
      </c>
    </row>
    <row r="73" spans="1:17" x14ac:dyDescent="0.35">
      <c r="A73" s="398" t="s">
        <v>2011</v>
      </c>
      <c r="Q73" s="415" t="str">
        <f t="shared" si="0"/>
        <v>Результаты специальных исследований (рентгенологических, лабораторных и др.)</v>
      </c>
    </row>
    <row r="74" spans="1:17" x14ac:dyDescent="0.35">
      <c r="A74" s="1192" t="str">
        <f>IF(данные_проведенного_обследования=0, " ", данные_проведенного_обследования)</f>
        <v xml:space="preserve">НА УЗИ и урограмме ( 11.07.16) -   в н\ чашке - 20 мм каменьУмеренное расширение ЧЛС справа. </v>
      </c>
      <c r="B74" s="1192"/>
      <c r="C74" s="1192"/>
      <c r="D74" s="1192"/>
      <c r="E74" s="1192"/>
      <c r="F74" s="1192"/>
      <c r="G74" s="1192"/>
      <c r="H74" s="1192"/>
      <c r="I74" s="1192"/>
      <c r="J74" s="1192"/>
      <c r="K74" s="1192"/>
      <c r="L74" s="1192"/>
      <c r="M74" s="1192"/>
      <c r="N74" s="1192"/>
      <c r="O74" s="1192"/>
      <c r="Q74" s="401" t="str">
        <f t="shared" si="0"/>
        <v xml:space="preserve">НА УЗИ и урограмме ( 11.07.16) -   в н\ чашке - 20 мм каменьУмеренное расширение ЧЛС справа. </v>
      </c>
    </row>
    <row r="75" spans="1:17" ht="46.5" x14ac:dyDescent="0.35">
      <c r="A75" s="1192" t="str">
        <f>IF(Данные_амбулаторного_обследования=0, " ", Данные_амбулаторного_обследования)</f>
        <v xml:space="preserve">ФЛГ (амб): без свежих инфильтративных изменений.
Терапевт (амб): противопоказаний для оперативного лечения нет. </v>
      </c>
      <c r="B75" s="1192"/>
      <c r="C75" s="1192"/>
      <c r="D75" s="1192"/>
      <c r="E75" s="1192"/>
      <c r="F75" s="1192"/>
      <c r="G75" s="1192"/>
      <c r="H75" s="1192"/>
      <c r="I75" s="1192"/>
      <c r="J75" s="1192"/>
      <c r="K75" s="1192"/>
      <c r="L75" s="1192"/>
      <c r="M75" s="1192"/>
      <c r="N75" s="1192"/>
      <c r="O75" s="1192"/>
      <c r="Q75" s="401" t="str">
        <f t="shared" si="0"/>
        <v xml:space="preserve">ФЛГ (амб): без свежих инфильтративных изменений.
Терапевт (амб): противопоказаний для оперативного лечения нет. </v>
      </c>
    </row>
    <row r="77" spans="1:17" ht="46.5" x14ac:dyDescent="0.35">
      <c r="A77" s="1192" t="str">
        <f>A34</f>
        <v xml:space="preserve">Больному проведены три пробы со снотворным (таб. Фенозепам – 1мг х 1 табл на ночь) – в течение трех суток проба положительная, постель мокрая. Диагноз Энурез  подтвержден. </v>
      </c>
      <c r="B77" s="1192"/>
      <c r="C77" s="1192"/>
      <c r="D77" s="1192"/>
      <c r="E77" s="1192"/>
      <c r="F77" s="1192"/>
      <c r="G77" s="1192"/>
      <c r="H77" s="1192"/>
      <c r="I77" s="1192"/>
      <c r="J77" s="1192"/>
      <c r="K77" s="1192"/>
      <c r="L77" s="1192"/>
      <c r="M77" s="1192"/>
      <c r="N77" s="1192"/>
      <c r="O77" s="1192"/>
      <c r="Q77" s="401" t="str">
        <f>A77</f>
        <v xml:space="preserve">Больному проведены три пробы со снотворным (таб. Фенозепам – 1мг х 1 табл на ночь) – в течение трех суток проба положительная, постель мокрая. Диагноз Энурез  подтвержден. </v>
      </c>
    </row>
    <row r="78" spans="1:17" x14ac:dyDescent="0.35">
      <c r="A78" s="419" t="s">
        <v>2044</v>
      </c>
      <c r="E78" s="1193" t="s">
        <v>2045</v>
      </c>
      <c r="F78" s="1193"/>
      <c r="G78" s="1193"/>
      <c r="H78" s="1193"/>
      <c r="I78" s="1193"/>
      <c r="J78" s="1193"/>
      <c r="K78" s="1193"/>
      <c r="L78" s="1193"/>
      <c r="M78" s="1193"/>
      <c r="N78" s="1193"/>
      <c r="O78" s="1193"/>
    </row>
    <row r="79" spans="1:17" x14ac:dyDescent="0.35">
      <c r="A79" s="419"/>
    </row>
    <row r="80" spans="1:17" x14ac:dyDescent="0.35">
      <c r="F80" s="418" t="s">
        <v>2015</v>
      </c>
      <c r="G80" s="419"/>
      <c r="H80" s="419"/>
      <c r="I80" s="419"/>
      <c r="J80" s="419"/>
      <c r="K80" s="419" t="s">
        <v>90</v>
      </c>
      <c r="L80" s="419"/>
    </row>
    <row r="81" spans="1:15" x14ac:dyDescent="0.35">
      <c r="F81" s="418"/>
      <c r="G81" s="419"/>
      <c r="H81" s="419"/>
      <c r="I81" s="419"/>
      <c r="J81" s="419"/>
      <c r="K81" s="419"/>
      <c r="L81" s="419"/>
    </row>
    <row r="82" spans="1:15" x14ac:dyDescent="0.35">
      <c r="F82" s="418" t="str">
        <f>IF(И.О.ЗАВ.ОТД.=1,"И.о. зав.отделением","Зав.отделением")</f>
        <v>Зав.отделением</v>
      </c>
      <c r="G82" s="419"/>
      <c r="H82" s="419"/>
      <c r="I82" s="419"/>
      <c r="J82" s="419"/>
      <c r="K82" s="419" t="str">
        <f>Зав.отд.</f>
        <v>Еременко С. Н.</v>
      </c>
      <c r="L82" s="419"/>
    </row>
    <row r="83" spans="1:15" x14ac:dyDescent="0.35">
      <c r="F83" s="418"/>
      <c r="G83" s="419"/>
      <c r="H83" s="419"/>
      <c r="I83" s="419"/>
      <c r="J83" s="419"/>
      <c r="K83" s="419"/>
      <c r="L83" s="419"/>
    </row>
    <row r="84" spans="1:15" x14ac:dyDescent="0.35">
      <c r="F84" s="418" t="s">
        <v>2041</v>
      </c>
      <c r="G84" s="419"/>
      <c r="H84" s="419"/>
      <c r="I84" s="419"/>
      <c r="J84" s="419"/>
      <c r="K84" s="419" t="str">
        <f>Лечащий_врач</f>
        <v>Еременко А. Н.</v>
      </c>
      <c r="L84" s="419"/>
    </row>
    <row r="85" spans="1:15" x14ac:dyDescent="0.35">
      <c r="A85" s="417" t="s">
        <v>2042</v>
      </c>
    </row>
    <row r="86" spans="1:15" x14ac:dyDescent="0.35">
      <c r="A86" s="1191" t="s">
        <v>2043</v>
      </c>
      <c r="B86" s="1191"/>
      <c r="C86" s="1191"/>
      <c r="D86" s="1191"/>
      <c r="E86" s="1191"/>
      <c r="F86" s="1191"/>
      <c r="G86" s="1191"/>
      <c r="H86" s="1191"/>
      <c r="I86" s="1191"/>
      <c r="J86" s="1191"/>
      <c r="K86" s="1191"/>
      <c r="L86" s="1191"/>
      <c r="M86" s="1191"/>
      <c r="N86" s="1191"/>
      <c r="O86" s="1191"/>
    </row>
    <row r="87" spans="1:15" x14ac:dyDescent="0.35">
      <c r="A87" s="1191" t="s">
        <v>2043</v>
      </c>
      <c r="B87" s="1191"/>
      <c r="C87" s="1191"/>
      <c r="D87" s="1191"/>
      <c r="E87" s="1191"/>
      <c r="F87" s="1191"/>
      <c r="G87" s="1191"/>
      <c r="H87" s="1191"/>
      <c r="I87" s="1191"/>
      <c r="J87" s="1191"/>
      <c r="K87" s="1191"/>
      <c r="L87" s="1191"/>
      <c r="M87" s="1191"/>
      <c r="N87" s="1191"/>
      <c r="O87" s="1191"/>
    </row>
    <row r="88" spans="1:15" x14ac:dyDescent="0.35">
      <c r="A88" s="1191" t="s">
        <v>2043</v>
      </c>
      <c r="B88" s="1191"/>
      <c r="C88" s="1191"/>
      <c r="D88" s="1191"/>
      <c r="E88" s="1191"/>
      <c r="F88" s="1191"/>
      <c r="G88" s="1191"/>
      <c r="H88" s="1191"/>
      <c r="I88" s="1191"/>
      <c r="J88" s="1191"/>
      <c r="K88" s="1191"/>
      <c r="L88" s="1191"/>
      <c r="M88" s="1191"/>
      <c r="N88" s="1191"/>
      <c r="O88" s="1191"/>
    </row>
  </sheetData>
  <sheetProtection formatCells="0" formatRows="0"/>
  <mergeCells count="42">
    <mergeCell ref="H11:I11"/>
    <mergeCell ref="K11:M11"/>
    <mergeCell ref="N5:O5"/>
    <mergeCell ref="D8:E8"/>
    <mergeCell ref="I8:L8"/>
    <mergeCell ref="D9:O9"/>
    <mergeCell ref="A10:O10"/>
    <mergeCell ref="A32:O32"/>
    <mergeCell ref="A13:O13"/>
    <mergeCell ref="A15:O15"/>
    <mergeCell ref="A17:O17"/>
    <mergeCell ref="A19:O19"/>
    <mergeCell ref="A21:O21"/>
    <mergeCell ref="A23:O23"/>
    <mergeCell ref="D24:O24"/>
    <mergeCell ref="F25:O25"/>
    <mergeCell ref="A27:O27"/>
    <mergeCell ref="A29:O29"/>
    <mergeCell ref="A31:O31"/>
    <mergeCell ref="G55:O55"/>
    <mergeCell ref="B52:F52"/>
    <mergeCell ref="I52:J52"/>
    <mergeCell ref="A58:O58"/>
    <mergeCell ref="A34:O34"/>
    <mergeCell ref="A35:O35"/>
    <mergeCell ref="B60:D60"/>
    <mergeCell ref="F60:H60"/>
    <mergeCell ref="A62:O62"/>
    <mergeCell ref="A64:O64"/>
    <mergeCell ref="B57:D57"/>
    <mergeCell ref="A72:O72"/>
    <mergeCell ref="A74:O74"/>
    <mergeCell ref="A75:O75"/>
    <mergeCell ref="A66:O66"/>
    <mergeCell ref="D67:O67"/>
    <mergeCell ref="F68:O68"/>
    <mergeCell ref="A70:O70"/>
    <mergeCell ref="A86:O86"/>
    <mergeCell ref="A87:O87"/>
    <mergeCell ref="A88:O88"/>
    <mergeCell ref="A77:O77"/>
    <mergeCell ref="E78:O78"/>
  </mergeCells>
  <pageMargins left="0.73046875" right="0.34090909090909088" top="0.34375" bottom="0.23958333333333334" header="0.3" footer="0.3"/>
  <pageSetup paperSize="9" scale="55" orientation="portrait" r:id="rId1"/>
  <rowBreaks count="1" manualBreakCount="1">
    <brk id="42" max="14"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filterMode="1"/>
  <dimension ref="A1:L67"/>
  <sheetViews>
    <sheetView view="pageLayout" zoomScale="130" zoomScaleNormal="100" zoomScaleSheetLayoutView="100" zoomScalePageLayoutView="130" workbookViewId="0">
      <selection activeCell="C66" sqref="C66"/>
    </sheetView>
  </sheetViews>
  <sheetFormatPr defaultRowHeight="15" x14ac:dyDescent="0.25"/>
  <cols>
    <col min="1" max="10" width="9.140625" style="8"/>
    <col min="11" max="11" width="83.7109375" style="162" hidden="1" customWidth="1"/>
    <col min="12" max="12" width="69.140625" style="478" hidden="1" customWidth="1"/>
    <col min="13" max="16384" width="9.140625" style="8"/>
  </cols>
  <sheetData>
    <row r="1" spans="1:12" ht="15.75" x14ac:dyDescent="0.25">
      <c r="A1" s="70">
        <f>IF(Дата_операции=0," ",Дата_операции)</f>
        <v>42587</v>
      </c>
      <c r="C1" s="1221" t="s">
        <v>726</v>
      </c>
      <c r="D1" s="1222"/>
      <c r="E1" s="1222"/>
      <c r="F1" s="1222"/>
      <c r="G1" s="1222"/>
      <c r="H1" s="1222"/>
      <c r="I1" s="1222"/>
    </row>
    <row r="2" spans="1:12" x14ac:dyDescent="0.25">
      <c r="A2" s="428">
        <v>0.625</v>
      </c>
    </row>
    <row r="3" spans="1:12" x14ac:dyDescent="0.25">
      <c r="A3" s="1220" t="s">
        <v>728</v>
      </c>
      <c r="B3" s="1220"/>
      <c r="C3" s="1220"/>
      <c r="D3" s="1220"/>
      <c r="E3" s="1220"/>
      <c r="F3" s="1220"/>
      <c r="G3" s="1220"/>
      <c r="H3" s="1220"/>
      <c r="I3" s="1220"/>
      <c r="K3" s="163" t="str">
        <f>A3</f>
        <v>Больной переведен из операционной.</v>
      </c>
    </row>
    <row r="4" spans="1:12" ht="15.75" x14ac:dyDescent="0.25">
      <c r="A4" s="3" t="s">
        <v>339</v>
      </c>
      <c r="C4" s="904" t="s">
        <v>404</v>
      </c>
      <c r="D4" s="904"/>
      <c r="E4" s="904"/>
      <c r="F4" s="904"/>
      <c r="G4" s="904"/>
      <c r="H4" s="904"/>
      <c r="I4" s="904"/>
      <c r="L4" s="478" t="str">
        <f>C4</f>
        <v>на боли, рези при хотьбе, при мочеиспускании</v>
      </c>
    </row>
    <row r="5" spans="1:12" ht="15.75" x14ac:dyDescent="0.25">
      <c r="A5" s="3" t="s">
        <v>340</v>
      </c>
    </row>
    <row r="6" spans="1:12" ht="150" x14ac:dyDescent="0.25">
      <c r="A6" s="845" t="s">
        <v>727</v>
      </c>
      <c r="B6" s="845"/>
      <c r="C6" s="845"/>
      <c r="D6" s="845"/>
      <c r="E6" s="845"/>
      <c r="F6" s="845"/>
      <c r="G6" s="845"/>
      <c r="H6" s="845"/>
      <c r="I6" s="845"/>
      <c r="K6" s="162" t="str">
        <f>A6</f>
        <v xml:space="preserve">Состояние  среднетяжелое. Температура 36,9С. Кожные покровы обычной окраски. Л/у доступные пальпации не увеличены. Дыхание в легких везикулярное. ЧД 16 в мин. Тоны сердца приглушены, ритмичные. АД 120/80, ЧСС 70 в мин. Живот не вздут, симметричный, мягкий, участвует в акте дыхания. Перистальтика выслушивается. С-м Щеткина-Блюмберга отр. Печень по краю реберной дуги. Стул в норме. Поясничная область не изменена. Почки не пальпируются. Пальпация их безболезненная. С-м "поколачивания" отрицательный с обеих сторон. Мочевой пузырь пальпаторно и перкуторно не определяется. Мочится самостоятельно. Уретрита нет. Органы мошонки: пальпируются оба яичка, варикоцеле, гидроцеле не определяется. Мочеиспускание не затрудненное, учащенное, безболезненное. Моча светлая, без примесей. </v>
      </c>
    </row>
    <row r="7" spans="1:12" x14ac:dyDescent="0.25">
      <c r="A7" s="846"/>
      <c r="B7" s="845"/>
      <c r="C7" s="845"/>
      <c r="D7" s="845"/>
      <c r="E7" s="845"/>
      <c r="F7" s="845"/>
      <c r="G7" s="845"/>
      <c r="H7" s="845"/>
      <c r="I7" s="845"/>
      <c r="K7" s="162">
        <f>A7</f>
        <v>0</v>
      </c>
    </row>
    <row r="8" spans="1:12" x14ac:dyDescent="0.25">
      <c r="A8" s="56" t="s">
        <v>31</v>
      </c>
      <c r="C8" s="57">
        <f>IF(Дата_операции=0," ",A1-дата_поступления+1)</f>
        <v>-4</v>
      </c>
      <c r="D8" s="8" t="str">
        <f>IF(Дата_операции=0," ", "сутки в отделении,")</f>
        <v>сутки в отделении,</v>
      </c>
      <c r="F8" s="57" t="s">
        <v>408</v>
      </c>
      <c r="G8" s="8" t="s">
        <v>408</v>
      </c>
    </row>
    <row r="9" spans="1:12" x14ac:dyDescent="0.25">
      <c r="A9" s="7" t="s">
        <v>71</v>
      </c>
      <c r="B9" s="6"/>
      <c r="C9" s="6"/>
      <c r="D9" s="6"/>
      <c r="E9" s="6"/>
      <c r="F9" s="6"/>
      <c r="G9" s="6"/>
      <c r="H9" s="6"/>
    </row>
    <row r="10" spans="1:12" ht="45" x14ac:dyDescent="0.25">
      <c r="A10" s="954"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10" s="955"/>
      <c r="C10" s="955"/>
      <c r="D10" s="955"/>
      <c r="E10" s="955"/>
      <c r="F10" s="955"/>
      <c r="G10" s="955"/>
      <c r="H10" s="955"/>
      <c r="I10" s="955"/>
      <c r="K10" s="162" t="str">
        <f>A10</f>
        <v>МКБ, рецидив. Резидуальный камень н\чашки справа 20 мм.                                                                                                                                                                                                                                                                                                                                                           Гидронефроз справа 1 ст. Хронический калькулезный пиелонефрит , латентное течение. ХПН 0-1</v>
      </c>
    </row>
    <row r="11" spans="1:12" x14ac:dyDescent="0.25">
      <c r="A11" s="7" t="str">
        <f>IF(Сопутствующий_диагноз=0, " ", "Сопутствующий диагноз:")</f>
        <v>Сопутствующий диагноз:</v>
      </c>
      <c r="B11" s="6"/>
      <c r="C11" s="6"/>
      <c r="D11" s="6"/>
      <c r="E11" s="6"/>
      <c r="F11" s="6"/>
      <c r="G11" s="6"/>
      <c r="H11" s="6"/>
    </row>
    <row r="12" spans="1:12" x14ac:dyDescent="0.25">
      <c r="A12" s="954" t="str">
        <f>IF(Сопутствующий_диагноз=0, " ", Сопутствующий_диагноз)</f>
        <v xml:space="preserve">ИБС: АКС. САГ 2 ст, 2 ст, риск 3. Ожирение 3-4 ст. П\о вентральная грыжа. </v>
      </c>
      <c r="B12" s="956"/>
      <c r="C12" s="956"/>
      <c r="D12" s="956"/>
      <c r="E12" s="956"/>
      <c r="F12" s="956"/>
      <c r="G12" s="956"/>
      <c r="H12" s="956"/>
      <c r="I12" s="956"/>
      <c r="K12" s="162" t="str">
        <f>A12</f>
        <v xml:space="preserve">ИБС: АКС. САГ 2 ст, 2 ст, риск 3. Ожирение 3-4 ст. П\о вентральная грыжа. </v>
      </c>
    </row>
    <row r="13" spans="1:12" x14ac:dyDescent="0.25">
      <c r="A13" s="1218" t="s">
        <v>729</v>
      </c>
      <c r="B13" s="1219"/>
      <c r="C13" s="1219"/>
      <c r="D13" s="1219"/>
      <c r="E13" s="1219"/>
      <c r="F13" s="1219"/>
      <c r="G13" s="1219"/>
      <c r="H13" s="1219"/>
      <c r="I13" s="1219"/>
      <c r="K13" s="162" t="str">
        <f>A13</f>
        <v>Тяжесть состояние больного соответствует времени и тяжести перенесенной операции.</v>
      </c>
    </row>
    <row r="14" spans="1:12" x14ac:dyDescent="0.25">
      <c r="A14" s="8" t="s">
        <v>39</v>
      </c>
      <c r="C14" s="1074"/>
      <c r="D14" s="1223"/>
      <c r="E14" s="1223"/>
      <c r="F14" s="1223"/>
      <c r="G14" s="1223"/>
      <c r="H14" s="1223"/>
      <c r="I14" s="1223"/>
      <c r="L14" s="478">
        <f>C14</f>
        <v>0</v>
      </c>
    </row>
    <row r="15" spans="1:12" x14ac:dyDescent="0.25">
      <c r="C15" s="1074" t="s">
        <v>50</v>
      </c>
      <c r="D15" s="1223"/>
      <c r="E15" s="1223"/>
      <c r="F15" s="1223"/>
      <c r="G15" s="1223"/>
      <c r="H15" s="1223"/>
      <c r="I15" s="1223"/>
      <c r="L15" s="478" t="str">
        <f t="shared" ref="L15:L64" si="0">C15</f>
        <v>Динамическое наблюдение, контроль жалоб, термометрия</v>
      </c>
    </row>
    <row r="16" spans="1:12" customFormat="1" hidden="1" x14ac:dyDescent="0.25">
      <c r="A16" s="8"/>
      <c r="B16" s="8"/>
      <c r="C16" s="1074" t="s">
        <v>45</v>
      </c>
      <c r="D16" s="1223"/>
      <c r="E16" s="1223"/>
      <c r="F16" s="1223"/>
      <c r="G16" s="1223"/>
      <c r="H16" s="1223"/>
      <c r="I16" s="1223"/>
      <c r="L16" s="478" t="str">
        <f t="shared" si="0"/>
        <v>Стол ОВД, режим палатный</v>
      </c>
    </row>
    <row r="17" spans="1:12" customFormat="1" hidden="1" x14ac:dyDescent="0.25">
      <c r="A17" s="130"/>
      <c r="B17" s="8"/>
      <c r="C17" s="1074" t="s">
        <v>46</v>
      </c>
      <c r="D17" s="1223"/>
      <c r="E17" s="1223"/>
      <c r="F17" s="1223"/>
      <c r="G17" s="1223"/>
      <c r="H17" s="1223"/>
      <c r="I17" s="1223"/>
      <c r="L17" s="478" t="str">
        <f t="shared" si="0"/>
        <v>Стол ОВД3, режим палатный</v>
      </c>
    </row>
    <row r="18" spans="1:12" customFormat="1" hidden="1" x14ac:dyDescent="0.25">
      <c r="A18" s="130"/>
      <c r="B18" s="130"/>
      <c r="C18" s="1074" t="s">
        <v>392</v>
      </c>
      <c r="D18" s="1223"/>
      <c r="E18" s="1223"/>
      <c r="F18" s="1223"/>
      <c r="G18" s="1223"/>
      <c r="H18" s="1223"/>
      <c r="I18" s="1223"/>
      <c r="L18" s="478" t="str">
        <f t="shared" si="0"/>
        <v>Ежедневные перевязки</v>
      </c>
    </row>
    <row r="19" spans="1:12" customFormat="1" hidden="1" x14ac:dyDescent="0.25">
      <c r="A19" s="130"/>
      <c r="B19" s="130"/>
      <c r="C19" s="1074" t="s">
        <v>391</v>
      </c>
      <c r="D19" s="1223"/>
      <c r="E19" s="1223"/>
      <c r="F19" s="1223"/>
      <c r="G19" s="1223"/>
      <c r="H19" s="1223"/>
      <c r="I19" s="1223"/>
      <c r="L19" s="478" t="str">
        <f t="shared" si="0"/>
        <v>Tab. Omezi 20мг х 2р/с per os</v>
      </c>
    </row>
    <row r="20" spans="1:12" s="5" customFormat="1" hidden="1" x14ac:dyDescent="0.25">
      <c r="A20" s="480"/>
      <c r="B20" s="480"/>
      <c r="C20" s="1074" t="s">
        <v>2113</v>
      </c>
      <c r="D20" s="1223"/>
      <c r="E20" s="1223"/>
      <c r="F20" s="1223"/>
      <c r="G20" s="1223"/>
      <c r="H20" s="1223"/>
      <c r="I20" s="1223"/>
      <c r="L20" s="478" t="str">
        <f t="shared" si="0"/>
        <v>Caps. Tamsulozini 0,4мг 1р/с</v>
      </c>
    </row>
    <row r="21" spans="1:12" s="5" customFormat="1" hidden="1" x14ac:dyDescent="0.25">
      <c r="A21" s="480"/>
      <c r="B21" s="480"/>
      <c r="C21" s="1074" t="s">
        <v>2114</v>
      </c>
      <c r="D21" s="1223"/>
      <c r="E21" s="1223"/>
      <c r="F21" s="1223"/>
      <c r="G21" s="1223"/>
      <c r="H21" s="1223"/>
      <c r="I21" s="1223"/>
      <c r="L21" s="478" t="str">
        <f t="shared" si="0"/>
        <v>Tab. Nifedipini 10мг х 1р/с под контролем АД</v>
      </c>
    </row>
    <row r="22" spans="1:12" s="5" customFormat="1" ht="15" hidden="1" customHeight="1" x14ac:dyDescent="0.25">
      <c r="C22" s="1074" t="s">
        <v>2271</v>
      </c>
      <c r="D22" s="1074"/>
      <c r="E22" s="1074"/>
      <c r="F22" s="1074"/>
      <c r="G22" s="1074"/>
      <c r="H22" s="1074"/>
      <c r="I22" s="1074"/>
      <c r="L22" s="478" t="str">
        <f t="shared" si="0"/>
        <v>Supp. Diclofenaci 100мг на ночь</v>
      </c>
    </row>
    <row r="23" spans="1:12" hidden="1" x14ac:dyDescent="0.25">
      <c r="C23" s="1074" t="s">
        <v>395</v>
      </c>
      <c r="D23" s="1223"/>
      <c r="E23" s="1223"/>
      <c r="F23" s="1223"/>
      <c r="G23" s="1223"/>
      <c r="H23" s="1223"/>
      <c r="I23" s="1223"/>
      <c r="K23" s="143"/>
      <c r="L23" s="478" t="str">
        <f t="shared" si="0"/>
        <v>Sol. Amikacini 1мл в/м</v>
      </c>
    </row>
    <row r="24" spans="1:12" customFormat="1" hidden="1" x14ac:dyDescent="0.25">
      <c r="C24" s="1074" t="s">
        <v>394</v>
      </c>
      <c r="D24" s="1223"/>
      <c r="E24" s="1223"/>
      <c r="F24" s="1223"/>
      <c r="G24" s="1223"/>
      <c r="H24" s="1223"/>
      <c r="I24" s="1223"/>
      <c r="L24" s="478" t="str">
        <f t="shared" si="0"/>
        <v>Tab. Nolicini 400мг х 2р/с per os</v>
      </c>
    </row>
    <row r="25" spans="1:12" customFormat="1" hidden="1" x14ac:dyDescent="0.25">
      <c r="C25" s="1074" t="s">
        <v>393</v>
      </c>
      <c r="D25" s="1223"/>
      <c r="E25" s="1223"/>
      <c r="F25" s="1223"/>
      <c r="G25" s="1223"/>
      <c r="H25" s="1223"/>
      <c r="I25" s="1223"/>
      <c r="L25" s="478" t="str">
        <f t="shared" si="0"/>
        <v>Sol. Analgini 2мл - 50% в/м</v>
      </c>
    </row>
    <row r="26" spans="1:12" customFormat="1" hidden="1" x14ac:dyDescent="0.25">
      <c r="C26" s="1074" t="s">
        <v>397</v>
      </c>
      <c r="D26" s="1223"/>
      <c r="E26" s="1223"/>
      <c r="F26" s="1223"/>
      <c r="G26" s="1223"/>
      <c r="H26" s="1223"/>
      <c r="I26" s="1223"/>
      <c r="L26" s="478" t="str">
        <f t="shared" si="0"/>
        <v>Sol. Spasmolini 5мл в/м</v>
      </c>
    </row>
    <row r="27" spans="1:12" customFormat="1" hidden="1" x14ac:dyDescent="0.25">
      <c r="C27" s="1074" t="s">
        <v>385</v>
      </c>
      <c r="D27" s="1223"/>
      <c r="E27" s="1223"/>
      <c r="F27" s="1223"/>
      <c r="G27" s="1223"/>
      <c r="H27" s="1223"/>
      <c r="I27" s="1223"/>
      <c r="L27" s="478" t="str">
        <f t="shared" si="0"/>
        <v>Tab. Famotidini 20мг х 2р/с per os</v>
      </c>
    </row>
    <row r="28" spans="1:12" customFormat="1" hidden="1" x14ac:dyDescent="0.25">
      <c r="C28" s="1074" t="s">
        <v>2272</v>
      </c>
      <c r="D28" s="1223"/>
      <c r="E28" s="1223"/>
      <c r="F28" s="1223"/>
      <c r="G28" s="1223"/>
      <c r="H28" s="1223"/>
      <c r="I28" s="1223"/>
      <c r="L28" s="478" t="str">
        <f t="shared" si="0"/>
        <v>Tab. Ciprofloxacini 500мг х 2р/с per os</v>
      </c>
    </row>
    <row r="29" spans="1:12" customFormat="1" hidden="1" x14ac:dyDescent="0.25">
      <c r="C29" s="1074" t="s">
        <v>2270</v>
      </c>
      <c r="D29" s="1223"/>
      <c r="E29" s="1223"/>
      <c r="F29" s="1223"/>
      <c r="G29" s="1223"/>
      <c r="H29" s="1223"/>
      <c r="I29" s="1223"/>
      <c r="L29" s="478" t="str">
        <f t="shared" si="0"/>
        <v>Sol. Ciprofloxacini 400мг х 2р/с в/м</v>
      </c>
    </row>
    <row r="30" spans="1:12" customFormat="1" hidden="1" x14ac:dyDescent="0.25">
      <c r="C30" s="1074" t="s">
        <v>387</v>
      </c>
      <c r="D30" s="1223"/>
      <c r="E30" s="1223"/>
      <c r="F30" s="1223"/>
      <c r="G30" s="1223"/>
      <c r="H30" s="1223"/>
      <c r="I30" s="1223"/>
      <c r="L30" s="478" t="str">
        <f t="shared" si="0"/>
        <v>Tab. Drotaverini 2т х 3р/с per os</v>
      </c>
    </row>
    <row r="31" spans="1:12" customFormat="1" hidden="1" x14ac:dyDescent="0.25">
      <c r="C31" s="1074" t="s">
        <v>388</v>
      </c>
      <c r="D31" s="1223"/>
      <c r="E31" s="1223"/>
      <c r="F31" s="1223"/>
      <c r="G31" s="1223"/>
      <c r="H31" s="1223"/>
      <c r="I31" s="1223"/>
      <c r="L31" s="478" t="str">
        <f t="shared" si="0"/>
        <v>Tab. Cystoni 2т х 3р/с per os</v>
      </c>
    </row>
    <row r="32" spans="1:12" s="5" customFormat="1" hidden="1" x14ac:dyDescent="0.25">
      <c r="C32" s="1074" t="s">
        <v>2115</v>
      </c>
      <c r="D32" s="1223"/>
      <c r="E32" s="1223"/>
      <c r="F32" s="1223"/>
      <c r="G32" s="1223"/>
      <c r="H32" s="1223"/>
      <c r="I32" s="1223"/>
      <c r="L32" s="478" t="str">
        <f t="shared" si="0"/>
        <v>Tab. Asparkami 2т х 3р/с</v>
      </c>
    </row>
    <row r="33" spans="3:12" customFormat="1" hidden="1" x14ac:dyDescent="0.25">
      <c r="C33" s="1074" t="s">
        <v>398</v>
      </c>
      <c r="D33" s="1223"/>
      <c r="E33" s="1223"/>
      <c r="F33" s="1223"/>
      <c r="G33" s="1223"/>
      <c r="H33" s="1223"/>
      <c r="I33" s="1223"/>
      <c r="L33" s="478" t="str">
        <f t="shared" si="0"/>
        <v>Sol. Cefotaximi 2,0 х 2р/с в/м</v>
      </c>
    </row>
    <row r="34" spans="3:12" hidden="1" x14ac:dyDescent="0.25">
      <c r="C34" s="1074" t="s">
        <v>399</v>
      </c>
      <c r="D34" s="1223"/>
      <c r="E34" s="1223"/>
      <c r="F34" s="1223"/>
      <c r="G34" s="1223"/>
      <c r="H34" s="1223"/>
      <c r="I34" s="1223"/>
      <c r="K34" s="143"/>
      <c r="L34" s="478" t="str">
        <f t="shared" si="0"/>
        <v>Sol. Heparini 5000Ед х 3р/с п/к</v>
      </c>
    </row>
    <row r="35" spans="3:12" customFormat="1" hidden="1" x14ac:dyDescent="0.25">
      <c r="C35" s="1074" t="s">
        <v>389</v>
      </c>
      <c r="D35" s="1223"/>
      <c r="E35" s="1223"/>
      <c r="F35" s="1223"/>
      <c r="G35" s="1223"/>
      <c r="H35" s="1223"/>
      <c r="I35" s="1223"/>
      <c r="L35" s="478" t="str">
        <f t="shared" si="0"/>
        <v>Tab. Sorbiferi tur 1т х 2р/с per os</v>
      </c>
    </row>
    <row r="36" spans="3:12" customFormat="1" hidden="1" x14ac:dyDescent="0.25">
      <c r="C36" s="1074" t="s">
        <v>390</v>
      </c>
      <c r="D36" s="1223"/>
      <c r="E36" s="1223"/>
      <c r="F36" s="1223"/>
      <c r="G36" s="1223"/>
      <c r="H36" s="1223"/>
      <c r="I36" s="1223"/>
      <c r="L36" s="478" t="str">
        <f t="shared" si="0"/>
        <v>Tab. Furagini 50мг х 3р/с per os</v>
      </c>
    </row>
    <row r="37" spans="3:12" customFormat="1" hidden="1" x14ac:dyDescent="0.25">
      <c r="C37" s="1074" t="s">
        <v>400</v>
      </c>
      <c r="D37" s="1223"/>
      <c r="E37" s="1223"/>
      <c r="F37" s="1223"/>
      <c r="G37" s="1223"/>
      <c r="H37" s="1223"/>
      <c r="I37" s="1223"/>
      <c r="L37" s="478" t="str">
        <f t="shared" si="0"/>
        <v>Sol. Suprastini 2,0 в/м перед операцией</v>
      </c>
    </row>
    <row r="38" spans="3:12" customFormat="1" hidden="1" x14ac:dyDescent="0.25">
      <c r="C38" s="1074" t="s">
        <v>401</v>
      </c>
      <c r="D38" s="1223"/>
      <c r="E38" s="1223"/>
      <c r="F38" s="1223"/>
      <c r="G38" s="1223"/>
      <c r="H38" s="1223"/>
      <c r="I38" s="1223"/>
      <c r="L38" s="478" t="str">
        <f t="shared" si="0"/>
        <v>Sol. Cefotaximi 2,0 в/м перед операцией</v>
      </c>
    </row>
    <row r="39" spans="3:12" customFormat="1" hidden="1" x14ac:dyDescent="0.25">
      <c r="C39" s="1074" t="s">
        <v>402</v>
      </c>
      <c r="D39" s="1223"/>
      <c r="E39" s="1223"/>
      <c r="F39" s="1223"/>
      <c r="G39" s="1223"/>
      <c r="H39" s="1223"/>
      <c r="I39" s="1223"/>
      <c r="L39" s="478" t="str">
        <f t="shared" si="0"/>
        <v>Sol. NaCl 0,9% - 1200,0 в/в</v>
      </c>
    </row>
    <row r="40" spans="3:12" customFormat="1" hidden="1" x14ac:dyDescent="0.25">
      <c r="C40" s="1074" t="s">
        <v>48</v>
      </c>
      <c r="D40" s="1223"/>
      <c r="E40" s="1223"/>
      <c r="F40" s="1223"/>
      <c r="G40" s="1223"/>
      <c r="H40" s="1223"/>
      <c r="I40" s="1223"/>
      <c r="L40" s="478" t="str">
        <f t="shared" si="0"/>
        <v>Система постоянного орошения мочевого пуыря</v>
      </c>
    </row>
    <row r="41" spans="3:12" customFormat="1" hidden="1" x14ac:dyDescent="0.25">
      <c r="C41" s="1074" t="s">
        <v>419</v>
      </c>
      <c r="D41" s="1223"/>
      <c r="E41" s="1223"/>
      <c r="F41" s="1223"/>
      <c r="G41" s="1223"/>
      <c r="H41" s="1223"/>
      <c r="I41" s="1223"/>
      <c r="L41" s="478" t="str">
        <f t="shared" si="0"/>
        <v>Удаление системы постоянного орошения мочевого пузыря</v>
      </c>
    </row>
    <row r="42" spans="3:12" customFormat="1" hidden="1" x14ac:dyDescent="0.25">
      <c r="C42" s="1074" t="s">
        <v>49</v>
      </c>
      <c r="D42" s="1223"/>
      <c r="E42" s="1223"/>
      <c r="F42" s="1223"/>
      <c r="G42" s="1223"/>
      <c r="H42" s="1223"/>
      <c r="I42" s="1223"/>
      <c r="L42" s="478" t="str">
        <f t="shared" si="0"/>
        <v>Эластическое бинтование нижних конечностей</v>
      </c>
    </row>
    <row r="43" spans="3:12" customFormat="1" hidden="1" x14ac:dyDescent="0.25">
      <c r="C43" s="1074" t="s">
        <v>40</v>
      </c>
      <c r="D43" s="1223"/>
      <c r="E43" s="1223"/>
      <c r="F43" s="1223"/>
      <c r="G43" s="1223"/>
      <c r="H43" s="1223"/>
      <c r="I43" s="1223"/>
      <c r="L43" s="478" t="str">
        <f t="shared" si="0"/>
        <v>ОАК, ОАМ, б/х крови, коагулограмма, группа крови</v>
      </c>
    </row>
    <row r="44" spans="3:12" customFormat="1" hidden="1" x14ac:dyDescent="0.25">
      <c r="C44" s="1074" t="s">
        <v>44</v>
      </c>
      <c r="D44" s="1223"/>
      <c r="E44" s="1223"/>
      <c r="F44" s="1223"/>
      <c r="G44" s="1223"/>
      <c r="H44" s="1223"/>
      <c r="I44" s="1223"/>
      <c r="L44" s="478" t="str">
        <f t="shared" si="0"/>
        <v>ЭКГ, УЗИ, ТРУЗИ, УФМ</v>
      </c>
    </row>
    <row r="45" spans="3:12" customFormat="1" hidden="1" x14ac:dyDescent="0.25">
      <c r="C45" s="1074" t="s">
        <v>42</v>
      </c>
      <c r="D45" s="1223"/>
      <c r="E45" s="1223"/>
      <c r="F45" s="1223"/>
      <c r="G45" s="1223"/>
      <c r="H45" s="1223"/>
      <c r="I45" s="1223"/>
      <c r="L45" s="478" t="str">
        <f t="shared" si="0"/>
        <v>Обзорная урогафия</v>
      </c>
    </row>
    <row r="46" spans="3:12" customFormat="1" hidden="1" x14ac:dyDescent="0.25">
      <c r="C46" s="1074" t="s">
        <v>43</v>
      </c>
      <c r="D46" s="1223"/>
      <c r="E46" s="1223"/>
      <c r="F46" s="1223"/>
      <c r="G46" s="1223"/>
      <c r="H46" s="1223"/>
      <c r="I46" s="1223"/>
      <c r="L46" s="478" t="str">
        <f t="shared" si="0"/>
        <v>Экскреторная урография</v>
      </c>
    </row>
    <row r="47" spans="3:12" customFormat="1" hidden="1" x14ac:dyDescent="0.25">
      <c r="C47" s="1074" t="s">
        <v>53</v>
      </c>
      <c r="D47" s="1223"/>
      <c r="E47" s="1223"/>
      <c r="F47" s="1223"/>
      <c r="G47" s="1223"/>
      <c r="H47" s="1223"/>
      <c r="I47" s="1223"/>
      <c r="L47" s="478" t="str">
        <f t="shared" si="0"/>
        <v>Глюкоза крови на 6:00, 18:00</v>
      </c>
    </row>
    <row r="48" spans="3:12" customFormat="1" hidden="1" x14ac:dyDescent="0.25">
      <c r="C48" s="1074" t="s">
        <v>41</v>
      </c>
      <c r="D48" s="1223"/>
      <c r="E48" s="1223"/>
      <c r="F48" s="1223"/>
      <c r="G48" s="1223"/>
      <c r="H48" s="1223"/>
      <c r="I48" s="1223"/>
      <c r="L48" s="478" t="str">
        <f t="shared" si="0"/>
        <v>Консультация терапевта</v>
      </c>
    </row>
    <row r="49" spans="3:12" customFormat="1" hidden="1" x14ac:dyDescent="0.25">
      <c r="C49" s="1074" t="s">
        <v>52</v>
      </c>
      <c r="D49" s="1223"/>
      <c r="E49" s="1223"/>
      <c r="F49" s="1223"/>
      <c r="G49" s="1223"/>
      <c r="H49" s="1223"/>
      <c r="I49" s="1223"/>
      <c r="L49" s="478" t="str">
        <f t="shared" si="0"/>
        <v>Консультация хирурга</v>
      </c>
    </row>
    <row r="50" spans="3:12" customFormat="1" hidden="1" x14ac:dyDescent="0.25">
      <c r="C50" s="1074" t="s">
        <v>62</v>
      </c>
      <c r="D50" s="1223"/>
      <c r="E50" s="1223"/>
      <c r="F50" s="1223"/>
      <c r="G50" s="1223"/>
      <c r="H50" s="1223"/>
      <c r="I50" s="1223"/>
      <c r="L50" s="478" t="str">
        <f t="shared" si="0"/>
        <v>Консультация нефролога</v>
      </c>
    </row>
    <row r="51" spans="3:12" customFormat="1" hidden="1" x14ac:dyDescent="0.25">
      <c r="C51" s="1074" t="s">
        <v>51</v>
      </c>
      <c r="D51" s="1223"/>
      <c r="E51" s="1223"/>
      <c r="F51" s="1223"/>
      <c r="G51" s="1223"/>
      <c r="H51" s="1223"/>
      <c r="I51" s="1223"/>
      <c r="L51" s="478" t="str">
        <f t="shared" si="0"/>
        <v>Консультация невролога</v>
      </c>
    </row>
    <row r="52" spans="3:12" customFormat="1" hidden="1" x14ac:dyDescent="0.25">
      <c r="C52" s="1074" t="s">
        <v>54</v>
      </c>
      <c r="D52" s="1223"/>
      <c r="E52" s="1223"/>
      <c r="F52" s="1223"/>
      <c r="G52" s="1223"/>
      <c r="H52" s="1223"/>
      <c r="I52" s="1223"/>
      <c r="L52" s="478" t="str">
        <f t="shared" si="0"/>
        <v>Контроль АД 2 раза в сутки</v>
      </c>
    </row>
    <row r="53" spans="3:12" customFormat="1" hidden="1" x14ac:dyDescent="0.25">
      <c r="C53" s="1074" t="s">
        <v>55</v>
      </c>
      <c r="D53" s="1223"/>
      <c r="E53" s="1223"/>
      <c r="F53" s="1223"/>
      <c r="G53" s="1223"/>
      <c r="H53" s="1223"/>
      <c r="I53" s="1223"/>
      <c r="L53" s="478" t="str">
        <f t="shared" si="0"/>
        <v>ЭхоКГ</v>
      </c>
    </row>
    <row r="54" spans="3:12" customFormat="1" hidden="1" x14ac:dyDescent="0.25">
      <c r="C54" s="1074" t="s">
        <v>57</v>
      </c>
      <c r="D54" s="1223"/>
      <c r="E54" s="1223"/>
      <c r="F54" s="1223"/>
      <c r="G54" s="1223"/>
      <c r="H54" s="1223"/>
      <c r="I54" s="1223"/>
      <c r="L54" s="478" t="str">
        <f t="shared" si="0"/>
        <v>КТ натив</v>
      </c>
    </row>
    <row r="55" spans="3:12" customFormat="1" hidden="1" x14ac:dyDescent="0.25">
      <c r="C55" s="1074" t="s">
        <v>58</v>
      </c>
      <c r="D55" s="1223"/>
      <c r="E55" s="1223"/>
      <c r="F55" s="1223"/>
      <c r="G55" s="1223"/>
      <c r="H55" s="1223"/>
      <c r="I55" s="1223"/>
      <c r="L55" s="478" t="str">
        <f t="shared" si="0"/>
        <v>КТ с в/в болюсом</v>
      </c>
    </row>
    <row r="56" spans="3:12" customFormat="1" hidden="1" x14ac:dyDescent="0.25">
      <c r="C56" s="1074" t="s">
        <v>56</v>
      </c>
      <c r="D56" s="1223"/>
      <c r="E56" s="1223"/>
      <c r="F56" s="1223"/>
      <c r="G56" s="1223"/>
      <c r="H56" s="1223"/>
      <c r="I56" s="1223"/>
      <c r="L56" s="478" t="str">
        <f t="shared" si="0"/>
        <v>МРТ</v>
      </c>
    </row>
    <row r="57" spans="3:12" customFormat="1" hidden="1" x14ac:dyDescent="0.25">
      <c r="C57" s="1074" t="s">
        <v>59</v>
      </c>
      <c r="D57" s="1223"/>
      <c r="E57" s="1223"/>
      <c r="F57" s="1223"/>
      <c r="G57" s="1223"/>
      <c r="H57" s="1223"/>
      <c r="I57" s="1223"/>
      <c r="L57" s="478" t="str">
        <f t="shared" si="0"/>
        <v>УЗАС вен н/к</v>
      </c>
    </row>
    <row r="58" spans="3:12" customFormat="1" hidden="1" x14ac:dyDescent="0.25">
      <c r="C58" s="1074" t="s">
        <v>60</v>
      </c>
      <c r="D58" s="1223"/>
      <c r="E58" s="1223"/>
      <c r="F58" s="1223"/>
      <c r="G58" s="1223"/>
      <c r="H58" s="1223"/>
      <c r="I58" s="1223"/>
      <c r="L58" s="478" t="str">
        <f t="shared" si="0"/>
        <v>ДНСГ</v>
      </c>
    </row>
    <row r="59" spans="3:12" customFormat="1" hidden="1" x14ac:dyDescent="0.25">
      <c r="C59" s="1074" t="s">
        <v>61</v>
      </c>
      <c r="D59" s="1223"/>
      <c r="E59" s="1223"/>
      <c r="F59" s="1223"/>
      <c r="G59" s="1223"/>
      <c r="H59" s="1223"/>
      <c r="I59" s="1223"/>
      <c r="L59" s="478" t="str">
        <f t="shared" si="0"/>
        <v>УЗИ брюшной полости, малого таза</v>
      </c>
    </row>
    <row r="60" spans="3:12" customFormat="1" hidden="1" x14ac:dyDescent="0.25">
      <c r="C60" s="1074" t="s">
        <v>63</v>
      </c>
      <c r="D60" s="1223"/>
      <c r="E60" s="1223"/>
      <c r="F60" s="1223"/>
      <c r="G60" s="1223"/>
      <c r="H60" s="1223"/>
      <c r="I60" s="1223"/>
      <c r="L60" s="478" t="str">
        <f t="shared" si="0"/>
        <v>Р-графия органов грудной клетки</v>
      </c>
    </row>
    <row r="61" spans="3:12" customFormat="1" hidden="1" x14ac:dyDescent="0.25">
      <c r="C61" s="1074" t="s">
        <v>64</v>
      </c>
      <c r="D61" s="1223"/>
      <c r="E61" s="1223"/>
      <c r="F61" s="1223"/>
      <c r="G61" s="1223"/>
      <c r="H61" s="1223"/>
      <c r="I61" s="1223"/>
      <c r="L61" s="478" t="str">
        <f t="shared" si="0"/>
        <v>ПСА крови общий</v>
      </c>
    </row>
    <row r="62" spans="3:12" customFormat="1" hidden="1" x14ac:dyDescent="0.25">
      <c r="C62" s="1074" t="s">
        <v>65</v>
      </c>
      <c r="D62" s="1223"/>
      <c r="E62" s="1223"/>
      <c r="F62" s="1223"/>
      <c r="G62" s="1223"/>
      <c r="H62" s="1223"/>
      <c r="I62" s="1223"/>
      <c r="L62" s="478" t="str">
        <f t="shared" si="0"/>
        <v>УЗИ мошонки, пахового канала</v>
      </c>
    </row>
    <row r="63" spans="3:12" customFormat="1" hidden="1" x14ac:dyDescent="0.25">
      <c r="C63" s="1074" t="s">
        <v>66</v>
      </c>
      <c r="D63" s="1223"/>
      <c r="E63" s="1223"/>
      <c r="F63" s="1223"/>
      <c r="G63" s="1223"/>
      <c r="H63" s="1223"/>
      <c r="I63" s="1223"/>
      <c r="L63" s="478" t="str">
        <f t="shared" si="0"/>
        <v>Посев мочи на микрофлору</v>
      </c>
    </row>
    <row r="64" spans="3:12" customFormat="1" hidden="1" x14ac:dyDescent="0.25">
      <c r="C64" s="1074" t="s">
        <v>67</v>
      </c>
      <c r="D64" s="1223"/>
      <c r="E64" s="1223"/>
      <c r="F64" s="1223"/>
      <c r="G64" s="1223"/>
      <c r="H64" s="1223"/>
      <c r="I64" s="1223"/>
      <c r="L64" s="478" t="str">
        <f t="shared" si="0"/>
        <v>Остеосцинтиграфия</v>
      </c>
    </row>
    <row r="65" spans="3:12" s="5" customFormat="1" x14ac:dyDescent="0.25">
      <c r="C65" s="479"/>
      <c r="D65" s="482"/>
      <c r="E65" s="482"/>
      <c r="F65" s="482"/>
      <c r="G65" s="482"/>
      <c r="H65" s="482"/>
      <c r="I65" s="482"/>
      <c r="L65" s="483"/>
    </row>
    <row r="66" spans="3:12" x14ac:dyDescent="0.25">
      <c r="G66" s="424" t="str">
        <f>IF(Канал_поступления="э"," Деж.врач", IF(Канал_поступления="Э"," Деж.врач ","Леч.врач"))</f>
        <v>Леч.врач</v>
      </c>
      <c r="H66" s="957" t="str">
        <f>Лечащий_врач</f>
        <v>Еременко А. Н.</v>
      </c>
      <c r="I66" s="957"/>
    </row>
    <row r="67" spans="3:12" x14ac:dyDescent="0.25">
      <c r="G67" s="18" t="str">
        <f>IF(Канал_поступления="э"," ",IF(Канал_поступления="Э","  ",IF(И.О.ЗАВ.ОТД.=1,"И.о. зав.отд.","Зав.отд.")))</f>
        <v>Зав.отд.</v>
      </c>
      <c r="H67" s="957" t="str">
        <f>IF(Канал_поступления="э"," ", IF(Канал_поступления="Э","  ", Зав.отд.))</f>
        <v>Еременко С. Н.</v>
      </c>
      <c r="I67" s="957"/>
    </row>
  </sheetData>
  <sheetProtection formatCells="0" formatRows="0" autoFilter="0"/>
  <autoFilter ref="C14:I64">
    <filterColumn colId="0" showButton="0">
      <filters>
        <filter val="Динамическое наблюдение, контроль жалоб, термометрия"/>
      </filters>
    </filterColumn>
    <filterColumn colId="1" showButton="0"/>
    <filterColumn colId="2" showButton="0"/>
    <filterColumn colId="3" showButton="0"/>
    <filterColumn colId="4" showButton="0"/>
    <filterColumn colId="5" showButton="0"/>
  </autoFilter>
  <mergeCells count="61">
    <mergeCell ref="C20:I20"/>
    <mergeCell ref="C21:I21"/>
    <mergeCell ref="C32:I32"/>
    <mergeCell ref="C59:I59"/>
    <mergeCell ref="C60:I60"/>
    <mergeCell ref="C47:I47"/>
    <mergeCell ref="C48:I48"/>
    <mergeCell ref="C49:I49"/>
    <mergeCell ref="C50:I50"/>
    <mergeCell ref="C38:I38"/>
    <mergeCell ref="C39:I39"/>
    <mergeCell ref="C40:I40"/>
    <mergeCell ref="C51:I51"/>
    <mergeCell ref="C52:I52"/>
    <mergeCell ref="C41:I41"/>
    <mergeCell ref="C42:I42"/>
    <mergeCell ref="C62:I62"/>
    <mergeCell ref="C63:I63"/>
    <mergeCell ref="C64:I64"/>
    <mergeCell ref="C53:I53"/>
    <mergeCell ref="C54:I54"/>
    <mergeCell ref="C55:I55"/>
    <mergeCell ref="C56:I56"/>
    <mergeCell ref="C57:I57"/>
    <mergeCell ref="C58:I58"/>
    <mergeCell ref="C61:I61"/>
    <mergeCell ref="C43:I43"/>
    <mergeCell ref="C44:I44"/>
    <mergeCell ref="C45:I45"/>
    <mergeCell ref="C46:I46"/>
    <mergeCell ref="C33:I33"/>
    <mergeCell ref="C34:I34"/>
    <mergeCell ref="C35:I35"/>
    <mergeCell ref="C36:I36"/>
    <mergeCell ref="C37:I37"/>
    <mergeCell ref="C27:I27"/>
    <mergeCell ref="C28:I28"/>
    <mergeCell ref="C29:I29"/>
    <mergeCell ref="C30:I30"/>
    <mergeCell ref="C31:I31"/>
    <mergeCell ref="C22:I22"/>
    <mergeCell ref="C23:I23"/>
    <mergeCell ref="C24:I24"/>
    <mergeCell ref="C25:I25"/>
    <mergeCell ref="C26:I26"/>
    <mergeCell ref="A13:I13"/>
    <mergeCell ref="H66:I66"/>
    <mergeCell ref="H67:I67"/>
    <mergeCell ref="A3:I3"/>
    <mergeCell ref="C1:I1"/>
    <mergeCell ref="C4:I4"/>
    <mergeCell ref="A6:I6"/>
    <mergeCell ref="A7:I7"/>
    <mergeCell ref="A10:I10"/>
    <mergeCell ref="A12:I12"/>
    <mergeCell ref="C14:I14"/>
    <mergeCell ref="C15:I15"/>
    <mergeCell ref="C16:I16"/>
    <mergeCell ref="C17:I17"/>
    <mergeCell ref="C18:I18"/>
    <mergeCell ref="C19:I19"/>
  </mergeCells>
  <pageMargins left="1.0096153846153846" right="0.7" top="0.53921568627450978"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I35"/>
  <sheetViews>
    <sheetView view="pageLayout" topLeftCell="A4" zoomScale="145" zoomScaleNormal="100" zoomScaleSheetLayoutView="115" zoomScalePageLayoutView="145" workbookViewId="0">
      <selection activeCell="E30" sqref="E30"/>
    </sheetView>
  </sheetViews>
  <sheetFormatPr defaultRowHeight="15" x14ac:dyDescent="0.25"/>
  <cols>
    <col min="1" max="8" width="9.140625" style="8"/>
    <col min="9" max="9" width="73.7109375" style="294" hidden="1" customWidth="1"/>
    <col min="10" max="16384" width="9.140625" style="8"/>
  </cols>
  <sheetData>
    <row r="1" spans="1:9" x14ac:dyDescent="0.25">
      <c r="F1" s="8" t="s">
        <v>1536</v>
      </c>
    </row>
    <row r="2" spans="1:9" x14ac:dyDescent="0.25">
      <c r="F2" s="8" t="s">
        <v>1537</v>
      </c>
    </row>
    <row r="3" spans="1:9" x14ac:dyDescent="0.25">
      <c r="F3" s="8" t="s">
        <v>1538</v>
      </c>
    </row>
    <row r="4" spans="1:9" x14ac:dyDescent="0.25">
      <c r="F4" s="8" t="str">
        <f>IF(И.О.ЗАВ.ОТД.=1,"От и.о. заведующего","От заведующего")</f>
        <v>От заведующего</v>
      </c>
    </row>
    <row r="5" spans="1:9" x14ac:dyDescent="0.25">
      <c r="F5" s="8" t="s">
        <v>1539</v>
      </c>
    </row>
    <row r="6" spans="1:9" x14ac:dyDescent="0.25">
      <c r="F6" s="8" t="str">
        <f>IF(И.О.ЗАВ.ОТД.=1,"А.Г. Юсуфова","С.В. Котова")</f>
        <v>С.В. Котова</v>
      </c>
    </row>
    <row r="7" spans="1:9" ht="15.75" x14ac:dyDescent="0.25">
      <c r="D7" s="4" t="s">
        <v>1540</v>
      </c>
    </row>
    <row r="8" spans="1:9" ht="15.75" x14ac:dyDescent="0.25">
      <c r="D8" s="4" t="s">
        <v>1541</v>
      </c>
    </row>
    <row r="9" spans="1:9" x14ac:dyDescent="0.25">
      <c r="A9" s="8" t="s">
        <v>1542</v>
      </c>
    </row>
    <row r="10" spans="1:9" x14ac:dyDescent="0.25">
      <c r="A10" s="8" t="s">
        <v>1543</v>
      </c>
      <c r="B10" s="1224" t="str">
        <f>ФИО</f>
        <v>Иванова Е.П.</v>
      </c>
      <c r="C10" s="1224"/>
      <c r="D10" s="1224"/>
      <c r="E10" s="1224"/>
      <c r="F10" s="1224"/>
      <c r="G10" s="1224"/>
      <c r="H10" s="1224"/>
    </row>
    <row r="11" spans="1:9" x14ac:dyDescent="0.25">
      <c r="A11" s="8" t="s">
        <v>343</v>
      </c>
      <c r="B11" s="296" t="e">
        <f ca="1">Возраст_лет</f>
        <v>#REF!</v>
      </c>
      <c r="D11" s="8" t="s">
        <v>1544</v>
      </c>
      <c r="F11" s="1229">
        <f>№_и_б</f>
        <v>21949</v>
      </c>
      <c r="G11" s="1229"/>
    </row>
    <row r="12" spans="1:9" x14ac:dyDescent="0.25">
      <c r="A12" s="8" t="s">
        <v>1545</v>
      </c>
      <c r="C12" s="1230">
        <f>дата_поступления</f>
        <v>42592</v>
      </c>
      <c r="D12" s="1230"/>
      <c r="E12" s="1230"/>
      <c r="F12" s="1230"/>
    </row>
    <row r="13" spans="1:9" x14ac:dyDescent="0.25">
      <c r="A13" s="8" t="s">
        <v>191</v>
      </c>
      <c r="C13" s="7"/>
    </row>
    <row r="14" spans="1:9" ht="45" x14ac:dyDescent="0.25">
      <c r="A14" s="1228"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B14" s="1228"/>
      <c r="C14" s="1228"/>
      <c r="D14" s="1228"/>
      <c r="E14" s="1228"/>
      <c r="F14" s="1228"/>
      <c r="G14" s="1228"/>
      <c r="H14" s="1228"/>
      <c r="I14" s="294" t="str">
        <f>A14</f>
        <v>МКБ, рецидив. Резидуальный камень н\чашки справа 20 мм.                                                                                                                                                                                                                                                                                                                                                           Гидронефроз справа 1 ст. Хронический калькулезный пиелонефрит , латентное течение. ХПН 0-1</v>
      </c>
    </row>
    <row r="15" spans="1:9" x14ac:dyDescent="0.25">
      <c r="A15" s="15" t="str">
        <f>IF(Сопутствующий_диагноз=0, "", "Сопутствующий диагноз:")</f>
        <v>Сопутствующий диагноз:</v>
      </c>
    </row>
    <row r="16" spans="1:9" x14ac:dyDescent="0.25">
      <c r="A16" s="1228" t="str">
        <f>IF(Сопутствующий_диагноз=0, "", Сопутствующий_диагноз)</f>
        <v xml:space="preserve">ИБС: АКС. САГ 2 ст, 2 ст, риск 3. Ожирение 3-4 ст. П\о вентральная грыжа. </v>
      </c>
      <c r="B16" s="1228"/>
      <c r="C16" s="1228"/>
      <c r="D16" s="1228"/>
      <c r="E16" s="1228"/>
      <c r="F16" s="1228"/>
      <c r="G16" s="1228"/>
      <c r="H16" s="1228"/>
      <c r="I16" s="294" t="str">
        <f>A16</f>
        <v xml:space="preserve">ИБС: АКС. САГ 2 ст, 2 ст, риск 3. Ожирение 3-4 ст. П\о вентральная грыжа. </v>
      </c>
    </row>
    <row r="17" spans="1:9" x14ac:dyDescent="0.25">
      <c r="A17" s="8" t="s">
        <v>1546</v>
      </c>
    </row>
    <row r="18" spans="1:9" x14ac:dyDescent="0.25">
      <c r="A18" s="1227" t="s">
        <v>1568</v>
      </c>
      <c r="B18" s="1228"/>
      <c r="C18" s="1228"/>
      <c r="D18" s="1228"/>
      <c r="E18" s="1228"/>
      <c r="F18" s="1228"/>
      <c r="G18" s="1228"/>
      <c r="H18" s="1228"/>
      <c r="I18" s="294" t="str">
        <f>A18</f>
        <v>стабильная</v>
      </c>
    </row>
    <row r="19" spans="1:9" x14ac:dyDescent="0.25">
      <c r="A19" s="1231" t="s">
        <v>1547</v>
      </c>
      <c r="B19" s="1231"/>
      <c r="C19" s="1231"/>
      <c r="D19" s="1231"/>
      <c r="E19" s="1231"/>
      <c r="F19" s="1231"/>
      <c r="G19" s="1231"/>
      <c r="H19" s="1231"/>
    </row>
    <row r="20" spans="1:9" x14ac:dyDescent="0.25">
      <c r="A20" s="1227" t="s">
        <v>1569</v>
      </c>
      <c r="B20" s="1228"/>
      <c r="C20" s="1228"/>
      <c r="D20" s="1228"/>
      <c r="E20" s="1228"/>
      <c r="F20" s="1228"/>
      <c r="G20" s="1228"/>
      <c r="H20" s="1228"/>
      <c r="I20" s="294" t="str">
        <f>A20</f>
        <v>не проводилось</v>
      </c>
    </row>
    <row r="21" spans="1:9" x14ac:dyDescent="0.25">
      <c r="A21" s="8" t="s">
        <v>1548</v>
      </c>
    </row>
    <row r="22" spans="1:9" x14ac:dyDescent="0.25">
      <c r="A22" s="1227" t="s">
        <v>1570</v>
      </c>
      <c r="B22" s="1228"/>
      <c r="C22" s="1228"/>
      <c r="D22" s="1228"/>
      <c r="E22" s="1228"/>
      <c r="F22" s="1228"/>
      <c r="G22" s="1228"/>
      <c r="H22" s="1228"/>
      <c r="I22" s="294" t="str">
        <f>A22</f>
        <v>показана терапия</v>
      </c>
    </row>
    <row r="23" spans="1:9" x14ac:dyDescent="0.25">
      <c r="A23" s="8" t="s">
        <v>1561</v>
      </c>
      <c r="D23" s="1232" t="s">
        <v>1563</v>
      </c>
      <c r="E23" s="1232"/>
      <c r="F23" s="1232"/>
      <c r="G23" s="1232"/>
      <c r="H23" s="1232"/>
    </row>
    <row r="24" spans="1:9" x14ac:dyDescent="0.25">
      <c r="C24" s="18" t="s">
        <v>1549</v>
      </c>
      <c r="D24" s="8" t="s">
        <v>1552</v>
      </c>
      <c r="E24" s="1232" t="s">
        <v>1564</v>
      </c>
      <c r="F24" s="1232"/>
      <c r="G24" s="1232"/>
      <c r="H24" s="1232"/>
    </row>
    <row r="25" spans="1:9" x14ac:dyDescent="0.25">
      <c r="C25" s="18" t="s">
        <v>1550</v>
      </c>
      <c r="D25" s="8" t="s">
        <v>1553</v>
      </c>
      <c r="F25" s="1232" t="s">
        <v>1560</v>
      </c>
      <c r="G25" s="1232"/>
      <c r="H25" s="1232"/>
    </row>
    <row r="26" spans="1:9" x14ac:dyDescent="0.25">
      <c r="C26" s="18" t="s">
        <v>1551</v>
      </c>
      <c r="D26" s="8" t="s">
        <v>1554</v>
      </c>
      <c r="F26" s="1232" t="s">
        <v>1560</v>
      </c>
      <c r="G26" s="1232"/>
      <c r="H26" s="1232"/>
    </row>
    <row r="28" spans="1:9" x14ac:dyDescent="0.25">
      <c r="A28" s="8" t="s">
        <v>1555</v>
      </c>
      <c r="D28" s="18" t="s">
        <v>37</v>
      </c>
      <c r="E28" s="8" t="s">
        <v>1559</v>
      </c>
      <c r="G28" s="8" t="str">
        <f>Лечащий_врач</f>
        <v>Еременко А. Н.</v>
      </c>
    </row>
    <row r="29" spans="1:9" x14ac:dyDescent="0.25">
      <c r="D29" s="18" t="str">
        <f>IF(И.О.ЗАВ.ОТД.=1,"И.о. зав.отделением","Зав. отделением")</f>
        <v>Зав. отделением</v>
      </c>
      <c r="E29" s="8" t="s">
        <v>1559</v>
      </c>
      <c r="G29" s="8" t="str">
        <f>Зав.отд.</f>
        <v>Еременко С. Н.</v>
      </c>
    </row>
    <row r="30" spans="1:9" x14ac:dyDescent="0.25">
      <c r="D30" s="18" t="s">
        <v>1556</v>
      </c>
      <c r="E30" s="8" t="s">
        <v>1565</v>
      </c>
    </row>
    <row r="31" spans="1:9" x14ac:dyDescent="0.25">
      <c r="D31" s="18" t="s">
        <v>1566</v>
      </c>
      <c r="E31" s="8" t="s">
        <v>1567</v>
      </c>
    </row>
    <row r="32" spans="1:9" x14ac:dyDescent="0.25">
      <c r="D32" s="18"/>
      <c r="I32" s="617"/>
    </row>
    <row r="33" spans="1:9" x14ac:dyDescent="0.25">
      <c r="D33" s="18"/>
      <c r="I33" s="617"/>
    </row>
    <row r="34" spans="1:9" x14ac:dyDescent="0.25">
      <c r="A34" s="8" t="s">
        <v>1557</v>
      </c>
      <c r="D34" s="1225">
        <f ca="1">TODAY()</f>
        <v>42601</v>
      </c>
      <c r="E34" s="1226"/>
      <c r="F34" s="1226"/>
    </row>
    <row r="35" spans="1:9" x14ac:dyDescent="0.25">
      <c r="A35" s="8" t="s">
        <v>1558</v>
      </c>
      <c r="D35" s="8" t="s">
        <v>1562</v>
      </c>
    </row>
  </sheetData>
  <sheetProtection formatCells="0" formatRows="0"/>
  <mergeCells count="14">
    <mergeCell ref="B10:H10"/>
    <mergeCell ref="D34:F34"/>
    <mergeCell ref="A20:H20"/>
    <mergeCell ref="A22:H22"/>
    <mergeCell ref="F11:G11"/>
    <mergeCell ref="C12:F12"/>
    <mergeCell ref="A16:H16"/>
    <mergeCell ref="A14:H14"/>
    <mergeCell ref="A18:H18"/>
    <mergeCell ref="A19:H19"/>
    <mergeCell ref="D23:H23"/>
    <mergeCell ref="E24:H24"/>
    <mergeCell ref="F25:H25"/>
    <mergeCell ref="F26:H26"/>
  </mergeCells>
  <pageMargins left="1.0197916666666667" right="0.7" top="0.75" bottom="0.75" header="0.3" footer="0.3"/>
  <pageSetup paperSize="9" scale="110"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dimension ref="A1:R102"/>
  <sheetViews>
    <sheetView view="pageLayout" zoomScaleNormal="100" zoomScaleSheetLayoutView="100" workbookViewId="0">
      <selection activeCell="A96" sqref="A96:J97"/>
    </sheetView>
  </sheetViews>
  <sheetFormatPr defaultRowHeight="16.5" x14ac:dyDescent="0.25"/>
  <cols>
    <col min="3" max="3" width="10.140625" bestFit="1" customWidth="1"/>
    <col min="12" max="12" width="68" style="470" hidden="1" customWidth="1"/>
  </cols>
  <sheetData>
    <row r="1" spans="1:18" x14ac:dyDescent="0.25">
      <c r="E1" s="297" t="s">
        <v>353</v>
      </c>
    </row>
    <row r="3" spans="1:18" x14ac:dyDescent="0.25">
      <c r="E3" s="297" t="s">
        <v>1571</v>
      </c>
    </row>
    <row r="4" spans="1:18" x14ac:dyDescent="0.25">
      <c r="E4" s="298" t="s">
        <v>1572</v>
      </c>
    </row>
    <row r="5" spans="1:18" x14ac:dyDescent="0.3">
      <c r="E5" s="299" t="s">
        <v>77</v>
      </c>
    </row>
    <row r="6" spans="1:18" x14ac:dyDescent="0.25">
      <c r="A6" s="308"/>
      <c r="B6" s="308"/>
      <c r="C6" s="308"/>
      <c r="D6" s="308"/>
      <c r="E6" s="308"/>
      <c r="F6" s="308"/>
      <c r="G6" s="308"/>
      <c r="H6" s="308"/>
      <c r="I6" s="308"/>
      <c r="J6" s="308"/>
    </row>
    <row r="7" spans="1:18" x14ac:dyDescent="0.3">
      <c r="A7" s="1241" t="s">
        <v>1573</v>
      </c>
      <c r="B7" s="849"/>
      <c r="C7" s="849"/>
      <c r="D7" s="849"/>
      <c r="E7" s="849"/>
      <c r="F7" s="849"/>
      <c r="G7" s="849"/>
      <c r="H7" s="849"/>
      <c r="I7" s="849"/>
      <c r="J7" s="849"/>
    </row>
    <row r="8" spans="1:18" x14ac:dyDescent="0.3">
      <c r="A8" s="300"/>
      <c r="D8" s="304" t="s">
        <v>1574</v>
      </c>
      <c r="G8" s="1236"/>
      <c r="H8" s="1236"/>
      <c r="I8" s="1236"/>
      <c r="J8" s="1236"/>
    </row>
    <row r="9" spans="1:18" x14ac:dyDescent="0.3">
      <c r="D9" s="304" t="s">
        <v>1575</v>
      </c>
      <c r="F9" s="1242" t="str">
        <f>ФИО</f>
        <v>Иванова Е.П.</v>
      </c>
      <c r="G9" s="1242"/>
      <c r="H9" s="1242"/>
      <c r="I9" s="1242"/>
      <c r="J9" s="1242"/>
    </row>
    <row r="10" spans="1:18" x14ac:dyDescent="0.3">
      <c r="D10" s="304" t="s">
        <v>1615</v>
      </c>
      <c r="E10" s="471" t="e">
        <f ca="1">Возраст_лет</f>
        <v>#REF!</v>
      </c>
      <c r="F10" s="304" t="s">
        <v>1616</v>
      </c>
      <c r="I10" s="471">
        <f>№_и_б</f>
        <v>21949</v>
      </c>
    </row>
    <row r="11" spans="1:18" x14ac:dyDescent="0.3">
      <c r="D11" s="304" t="s">
        <v>2085</v>
      </c>
      <c r="J11" s="304"/>
    </row>
    <row r="12" spans="1:18" s="5" customFormat="1" ht="49.5" x14ac:dyDescent="0.25">
      <c r="D12" s="1235" t="str">
        <f>Клинический_диагноз</f>
        <v>МКБ, рецидив. Резидуальный камень н\чашки справа 20 мм.                                                                                                                                                                                                                                                                                                                                                           Гидронефроз справа 1 ст. Хронический калькулезный пиелонефрит , латентное течение. ХПН 0-1</v>
      </c>
      <c r="E12" s="1235"/>
      <c r="F12" s="1235"/>
      <c r="G12" s="1235"/>
      <c r="H12" s="1235"/>
      <c r="I12" s="1235"/>
      <c r="J12" s="1235"/>
      <c r="L12" s="470" t="str">
        <f>D12</f>
        <v>МКБ, рецидив. Резидуальный камень н\чашки справа 20 мм.                                                                                                                                                                                                                                                                                                                                                           Гидронефроз справа 1 ст. Хронический калькулезный пиелонефрит , латентное течение. ХПН 0-1</v>
      </c>
    </row>
    <row r="13" spans="1:18" x14ac:dyDescent="0.3">
      <c r="D13" s="307" t="s">
        <v>1576</v>
      </c>
    </row>
    <row r="14" spans="1:18" x14ac:dyDescent="0.25">
      <c r="D14" s="1235" t="e">
        <f>Ректально</f>
        <v>#REF!</v>
      </c>
      <c r="E14" s="1235"/>
      <c r="F14" s="1235"/>
      <c r="G14" s="1235"/>
      <c r="H14" s="1235"/>
      <c r="I14" s="1235"/>
      <c r="J14" s="1235"/>
      <c r="L14" s="470" t="e">
        <f>D14</f>
        <v>#REF!</v>
      </c>
      <c r="M14" s="309"/>
      <c r="N14" s="309"/>
      <c r="O14" s="309"/>
      <c r="P14" s="309"/>
      <c r="Q14" s="309"/>
      <c r="R14" s="309"/>
    </row>
    <row r="15" spans="1:18" x14ac:dyDescent="0.3">
      <c r="D15" s="307" t="s">
        <v>1577</v>
      </c>
      <c r="F15" s="1048"/>
      <c r="G15" s="1048"/>
      <c r="H15" s="1048"/>
      <c r="I15" s="1048"/>
      <c r="J15" s="1048"/>
    </row>
    <row r="16" spans="1:18" ht="18.75" x14ac:dyDescent="0.3">
      <c r="A16" s="302" t="s">
        <v>2090</v>
      </c>
      <c r="D16" s="307" t="s">
        <v>1617</v>
      </c>
      <c r="E16" s="307" t="s">
        <v>1618</v>
      </c>
      <c r="G16" s="1233"/>
      <c r="H16" s="1233"/>
      <c r="I16" s="1233"/>
      <c r="J16" s="1233"/>
    </row>
    <row r="17" spans="1:12" x14ac:dyDescent="0.3">
      <c r="E17" s="307" t="s">
        <v>1619</v>
      </c>
      <c r="I17" s="1233" t="s">
        <v>1620</v>
      </c>
      <c r="J17" s="1234"/>
    </row>
    <row r="18" spans="1:12" x14ac:dyDescent="0.3">
      <c r="E18" s="307" t="s">
        <v>1578</v>
      </c>
      <c r="G18" s="1233"/>
      <c r="H18" s="1233"/>
      <c r="I18" s="1233"/>
      <c r="J18" s="1233"/>
    </row>
    <row r="19" spans="1:12" x14ac:dyDescent="0.3">
      <c r="D19" s="310" t="s">
        <v>1621</v>
      </c>
      <c r="E19" s="311"/>
      <c r="F19" s="311"/>
      <c r="G19" s="311"/>
      <c r="H19" s="311"/>
      <c r="I19" s="1233" t="s">
        <v>1622</v>
      </c>
      <c r="J19" s="1234"/>
    </row>
    <row r="20" spans="1:12" x14ac:dyDescent="0.3">
      <c r="A20" s="312" t="s">
        <v>2091</v>
      </c>
      <c r="D20" s="1235" t="str">
        <f>IF(ГИСТОЛОГИЯ=0,"нет",ГИСТОЛОГИЯ)</f>
        <v>нет</v>
      </c>
      <c r="E20" s="1235"/>
      <c r="F20" s="1235"/>
      <c r="G20" s="1235"/>
      <c r="H20" s="1235"/>
      <c r="I20" s="1235"/>
      <c r="J20" s="1235"/>
      <c r="L20" s="470" t="str">
        <f>D20</f>
        <v>нет</v>
      </c>
    </row>
    <row r="21" spans="1:12" x14ac:dyDescent="0.3">
      <c r="A21" s="307" t="s">
        <v>2086</v>
      </c>
      <c r="C21" s="306"/>
      <c r="D21" s="469" t="s">
        <v>2087</v>
      </c>
      <c r="E21" s="472" t="s">
        <v>2089</v>
      </c>
      <c r="G21" s="469" t="s">
        <v>2088</v>
      </c>
      <c r="H21" s="472" t="s">
        <v>2089</v>
      </c>
    </row>
    <row r="22" spans="1:12" x14ac:dyDescent="0.3">
      <c r="A22" s="304" t="s">
        <v>1579</v>
      </c>
      <c r="E22" s="471" t="str">
        <f>Оперирующий.хирург</f>
        <v>Еременко А. Н.</v>
      </c>
    </row>
    <row r="23" spans="1:12" x14ac:dyDescent="0.3">
      <c r="A23" s="304" t="s">
        <v>1580</v>
      </c>
      <c r="C23" s="473">
        <f>Дата_операции</f>
        <v>42587</v>
      </c>
    </row>
    <row r="24" spans="1:12" x14ac:dyDescent="0.25">
      <c r="A24" s="308"/>
      <c r="B24" s="308"/>
      <c r="C24" s="308"/>
      <c r="D24" s="308"/>
      <c r="E24" s="308"/>
      <c r="F24" s="308"/>
      <c r="G24" s="308"/>
      <c r="H24" s="308"/>
      <c r="I24" s="308"/>
      <c r="J24" s="308"/>
    </row>
    <row r="25" spans="1:12" x14ac:dyDescent="0.25">
      <c r="E25" s="297" t="s">
        <v>353</v>
      </c>
    </row>
    <row r="26" spans="1:12" x14ac:dyDescent="0.25">
      <c r="E26" s="297" t="s">
        <v>1571</v>
      </c>
    </row>
    <row r="27" spans="1:12" x14ac:dyDescent="0.25">
      <c r="E27" s="298" t="s">
        <v>1581</v>
      </c>
    </row>
    <row r="28" spans="1:12" x14ac:dyDescent="0.3">
      <c r="E28" s="299" t="s">
        <v>1582</v>
      </c>
    </row>
    <row r="29" spans="1:12" x14ac:dyDescent="0.3">
      <c r="E29" s="299"/>
    </row>
    <row r="30" spans="1:12" x14ac:dyDescent="0.3">
      <c r="E30" s="299" t="s">
        <v>1583</v>
      </c>
    </row>
    <row r="31" spans="1:12" x14ac:dyDescent="0.25">
      <c r="E31" s="298" t="s">
        <v>1584</v>
      </c>
    </row>
    <row r="32" spans="1:12" x14ac:dyDescent="0.25">
      <c r="B32" s="1240" t="s">
        <v>1585</v>
      </c>
      <c r="C32" s="1239"/>
      <c r="D32" s="1240" t="s">
        <v>1586</v>
      </c>
      <c r="E32" s="1239"/>
      <c r="F32" s="1240" t="s">
        <v>1585</v>
      </c>
      <c r="G32" s="1239"/>
      <c r="H32" s="1240" t="s">
        <v>1586</v>
      </c>
      <c r="I32" s="1239"/>
    </row>
    <row r="33" spans="1:12" ht="33" x14ac:dyDescent="0.25">
      <c r="B33" s="1238" t="s">
        <v>2092</v>
      </c>
      <c r="C33" s="1239"/>
      <c r="D33" s="1240"/>
      <c r="E33" s="1240"/>
      <c r="F33" s="1238">
        <v>13</v>
      </c>
      <c r="G33" s="1239"/>
      <c r="H33" s="1240"/>
      <c r="I33" s="1240"/>
      <c r="L33" s="470" t="s">
        <v>2104</v>
      </c>
    </row>
    <row r="34" spans="1:12" ht="33" x14ac:dyDescent="0.25">
      <c r="B34" s="1238" t="s">
        <v>2093</v>
      </c>
      <c r="C34" s="1239"/>
      <c r="D34" s="1240"/>
      <c r="E34" s="1239"/>
      <c r="F34" s="1238">
        <v>14</v>
      </c>
      <c r="G34" s="1239"/>
      <c r="H34" s="1240"/>
      <c r="I34" s="1239"/>
      <c r="L34" s="470" t="s">
        <v>2104</v>
      </c>
    </row>
    <row r="35" spans="1:12" ht="33" x14ac:dyDescent="0.25">
      <c r="B35" s="1238" t="s">
        <v>2094</v>
      </c>
      <c r="C35" s="1239"/>
      <c r="D35" s="1240"/>
      <c r="E35" s="1240"/>
      <c r="F35" s="1238">
        <v>15</v>
      </c>
      <c r="G35" s="1239"/>
      <c r="H35" s="1240"/>
      <c r="I35" s="1240"/>
      <c r="L35" s="470" t="s">
        <v>2104</v>
      </c>
    </row>
    <row r="36" spans="1:12" ht="33" x14ac:dyDescent="0.25">
      <c r="B36" s="1238" t="s">
        <v>2095</v>
      </c>
      <c r="C36" s="1239"/>
      <c r="D36" s="1240"/>
      <c r="E36" s="1240"/>
      <c r="F36" s="1238">
        <v>16</v>
      </c>
      <c r="G36" s="1239"/>
      <c r="H36" s="1240"/>
      <c r="I36" s="1240"/>
      <c r="L36" s="470" t="s">
        <v>2104</v>
      </c>
    </row>
    <row r="37" spans="1:12" ht="33" x14ac:dyDescent="0.25">
      <c r="B37" s="1238" t="s">
        <v>2096</v>
      </c>
      <c r="C37" s="1239"/>
      <c r="D37" s="1240"/>
      <c r="E37" s="1240"/>
      <c r="F37" s="1238">
        <v>17</v>
      </c>
      <c r="G37" s="1239"/>
      <c r="H37" s="1240"/>
      <c r="I37" s="1240"/>
      <c r="L37" s="470" t="s">
        <v>2104</v>
      </c>
    </row>
    <row r="38" spans="1:12" ht="33" x14ac:dyDescent="0.25">
      <c r="B38" s="1238" t="s">
        <v>2097</v>
      </c>
      <c r="C38" s="1239"/>
      <c r="D38" s="1240"/>
      <c r="E38" s="1240"/>
      <c r="F38" s="1238">
        <v>18</v>
      </c>
      <c r="G38" s="1239"/>
      <c r="H38" s="1240"/>
      <c r="I38" s="1240"/>
      <c r="L38" s="470" t="s">
        <v>2104</v>
      </c>
    </row>
    <row r="39" spans="1:12" ht="33" x14ac:dyDescent="0.25">
      <c r="B39" s="1238" t="s">
        <v>2098</v>
      </c>
      <c r="C39" s="1239"/>
      <c r="D39" s="1240"/>
      <c r="E39" s="1240"/>
      <c r="F39" s="1238">
        <v>19</v>
      </c>
      <c r="G39" s="1239"/>
      <c r="H39" s="1240"/>
      <c r="I39" s="1240"/>
      <c r="L39" s="470" t="s">
        <v>2104</v>
      </c>
    </row>
    <row r="40" spans="1:12" ht="33" x14ac:dyDescent="0.25">
      <c r="B40" s="1238" t="s">
        <v>2099</v>
      </c>
      <c r="C40" s="1239"/>
      <c r="D40" s="1240"/>
      <c r="E40" s="1240"/>
      <c r="F40" s="1238">
        <v>20</v>
      </c>
      <c r="G40" s="1239"/>
      <c r="H40" s="1240"/>
      <c r="I40" s="1240"/>
      <c r="L40" s="470" t="s">
        <v>2104</v>
      </c>
    </row>
    <row r="41" spans="1:12" ht="33" x14ac:dyDescent="0.25">
      <c r="B41" s="1238" t="s">
        <v>2100</v>
      </c>
      <c r="C41" s="1239"/>
      <c r="D41" s="1240"/>
      <c r="E41" s="1240"/>
      <c r="F41" s="1238">
        <v>21</v>
      </c>
      <c r="G41" s="1239"/>
      <c r="H41" s="1240"/>
      <c r="I41" s="1240"/>
      <c r="L41" s="470" t="s">
        <v>2104</v>
      </c>
    </row>
    <row r="42" spans="1:12" ht="33" x14ac:dyDescent="0.25">
      <c r="B42" s="1238" t="s">
        <v>2101</v>
      </c>
      <c r="C42" s="1239"/>
      <c r="D42" s="1240"/>
      <c r="E42" s="1240"/>
      <c r="F42" s="1238">
        <v>22</v>
      </c>
      <c r="G42" s="1239"/>
      <c r="H42" s="1240"/>
      <c r="I42" s="1240"/>
      <c r="L42" s="470" t="s">
        <v>2104</v>
      </c>
    </row>
    <row r="43" spans="1:12" ht="33" x14ac:dyDescent="0.25">
      <c r="B43" s="1238" t="s">
        <v>2102</v>
      </c>
      <c r="C43" s="1239"/>
      <c r="D43" s="1240"/>
      <c r="E43" s="1240"/>
      <c r="F43" s="1238">
        <v>23</v>
      </c>
      <c r="G43" s="1239"/>
      <c r="H43" s="1240"/>
      <c r="I43" s="1240"/>
      <c r="L43" s="470" t="s">
        <v>2104</v>
      </c>
    </row>
    <row r="44" spans="1:12" ht="33" x14ac:dyDescent="0.25">
      <c r="B44" s="1238" t="s">
        <v>2103</v>
      </c>
      <c r="C44" s="1239"/>
      <c r="D44" s="1240"/>
      <c r="E44" s="1240"/>
      <c r="F44" s="1238">
        <v>24</v>
      </c>
      <c r="G44" s="1239"/>
      <c r="H44" s="1240"/>
      <c r="I44" s="1240"/>
      <c r="L44" s="470" t="s">
        <v>2104</v>
      </c>
    </row>
    <row r="45" spans="1:12" x14ac:dyDescent="0.3">
      <c r="A45" s="301"/>
    </row>
    <row r="46" spans="1:12" x14ac:dyDescent="0.3">
      <c r="A46" s="305" t="s">
        <v>1587</v>
      </c>
    </row>
    <row r="47" spans="1:12" x14ac:dyDescent="0.3">
      <c r="A47" s="301"/>
    </row>
    <row r="48" spans="1:12" x14ac:dyDescent="0.25">
      <c r="A48" s="303" t="s">
        <v>1588</v>
      </c>
    </row>
    <row r="49" spans="1:1" x14ac:dyDescent="0.25">
      <c r="A49" s="303"/>
    </row>
    <row r="50" spans="1:1" x14ac:dyDescent="0.25">
      <c r="A50" s="303" t="s">
        <v>1589</v>
      </c>
    </row>
    <row r="51" spans="1:1" x14ac:dyDescent="0.25">
      <c r="A51" s="303"/>
    </row>
    <row r="52" spans="1:1" x14ac:dyDescent="0.25">
      <c r="A52" s="303" t="s">
        <v>1590</v>
      </c>
    </row>
    <row r="53" spans="1:1" x14ac:dyDescent="0.25">
      <c r="A53" s="303"/>
    </row>
    <row r="54" spans="1:1" x14ac:dyDescent="0.25">
      <c r="A54" s="303" t="s">
        <v>1591</v>
      </c>
    </row>
    <row r="55" spans="1:1" x14ac:dyDescent="0.25">
      <c r="A55" s="303"/>
    </row>
    <row r="56" spans="1:1" x14ac:dyDescent="0.25">
      <c r="A56" s="303" t="s">
        <v>1592</v>
      </c>
    </row>
    <row r="57" spans="1:1" x14ac:dyDescent="0.25">
      <c r="A57" s="303"/>
    </row>
    <row r="58" spans="1:1" x14ac:dyDescent="0.25">
      <c r="A58" s="303" t="s">
        <v>1593</v>
      </c>
    </row>
    <row r="59" spans="1:1" x14ac:dyDescent="0.25">
      <c r="A59" s="303"/>
    </row>
    <row r="60" spans="1:1" x14ac:dyDescent="0.25">
      <c r="A60" s="303" t="s">
        <v>1594</v>
      </c>
    </row>
    <row r="61" spans="1:1" x14ac:dyDescent="0.25">
      <c r="A61" s="303"/>
    </row>
    <row r="62" spans="1:1" x14ac:dyDescent="0.25">
      <c r="A62" s="303" t="s">
        <v>1595</v>
      </c>
    </row>
    <row r="63" spans="1:1" x14ac:dyDescent="0.25">
      <c r="A63" s="303"/>
    </row>
    <row r="64" spans="1:1" x14ac:dyDescent="0.25">
      <c r="A64" s="303" t="s">
        <v>1596</v>
      </c>
    </row>
    <row r="65" spans="1:1" x14ac:dyDescent="0.25">
      <c r="A65" s="303"/>
    </row>
    <row r="66" spans="1:1" x14ac:dyDescent="0.25">
      <c r="A66" s="303" t="s">
        <v>1597</v>
      </c>
    </row>
    <row r="67" spans="1:1" x14ac:dyDescent="0.25">
      <c r="A67" s="303"/>
    </row>
    <row r="68" spans="1:1" x14ac:dyDescent="0.25">
      <c r="A68" s="303" t="s">
        <v>1598</v>
      </c>
    </row>
    <row r="69" spans="1:1" x14ac:dyDescent="0.25">
      <c r="A69" s="303"/>
    </row>
    <row r="70" spans="1:1" x14ac:dyDescent="0.25">
      <c r="A70" s="303" t="s">
        <v>1599</v>
      </c>
    </row>
    <row r="71" spans="1:1" x14ac:dyDescent="0.25">
      <c r="A71" s="303"/>
    </row>
    <row r="72" spans="1:1" x14ac:dyDescent="0.25">
      <c r="A72" s="303" t="s">
        <v>1600</v>
      </c>
    </row>
    <row r="73" spans="1:1" x14ac:dyDescent="0.25">
      <c r="A73" s="303"/>
    </row>
    <row r="74" spans="1:1" x14ac:dyDescent="0.25">
      <c r="A74" s="303" t="s">
        <v>1601</v>
      </c>
    </row>
    <row r="75" spans="1:1" x14ac:dyDescent="0.25">
      <c r="A75" s="303"/>
    </row>
    <row r="76" spans="1:1" x14ac:dyDescent="0.25">
      <c r="A76" s="303" t="s">
        <v>1602</v>
      </c>
    </row>
    <row r="77" spans="1:1" x14ac:dyDescent="0.25">
      <c r="A77" s="303"/>
    </row>
    <row r="78" spans="1:1" x14ac:dyDescent="0.25">
      <c r="A78" s="303" t="s">
        <v>1603</v>
      </c>
    </row>
    <row r="79" spans="1:1" x14ac:dyDescent="0.25">
      <c r="A79" s="303"/>
    </row>
    <row r="80" spans="1:1" x14ac:dyDescent="0.25">
      <c r="A80" s="303" t="s">
        <v>1604</v>
      </c>
    </row>
    <row r="81" spans="1:10" x14ac:dyDescent="0.25">
      <c r="A81" s="303"/>
    </row>
    <row r="82" spans="1:10" x14ac:dyDescent="0.25">
      <c r="A82" s="303" t="s">
        <v>1605</v>
      </c>
    </row>
    <row r="83" spans="1:10" x14ac:dyDescent="0.25">
      <c r="A83" s="303"/>
    </row>
    <row r="84" spans="1:10" x14ac:dyDescent="0.25">
      <c r="A84" s="303" t="s">
        <v>1606</v>
      </c>
    </row>
    <row r="85" spans="1:10" x14ac:dyDescent="0.25">
      <c r="A85" s="303"/>
    </row>
    <row r="86" spans="1:10" x14ac:dyDescent="0.25">
      <c r="A86" s="303" t="s">
        <v>1607</v>
      </c>
    </row>
    <row r="87" spans="1:10" x14ac:dyDescent="0.25">
      <c r="A87" s="303"/>
    </row>
    <row r="88" spans="1:10" x14ac:dyDescent="0.25">
      <c r="A88" s="303" t="s">
        <v>1608</v>
      </c>
    </row>
    <row r="89" spans="1:10" x14ac:dyDescent="0.25">
      <c r="A89" s="303"/>
    </row>
    <row r="90" spans="1:10" x14ac:dyDescent="0.25">
      <c r="A90" s="303" t="s">
        <v>1609</v>
      </c>
    </row>
    <row r="91" spans="1:10" x14ac:dyDescent="0.25">
      <c r="A91" s="303"/>
    </row>
    <row r="92" spans="1:10" x14ac:dyDescent="0.25">
      <c r="A92" s="303" t="s">
        <v>1610</v>
      </c>
    </row>
    <row r="93" spans="1:10" x14ac:dyDescent="0.25">
      <c r="A93" s="303"/>
    </row>
    <row r="94" spans="1:10" x14ac:dyDescent="0.25">
      <c r="A94" s="303" t="s">
        <v>1611</v>
      </c>
    </row>
    <row r="95" spans="1:10" x14ac:dyDescent="0.25">
      <c r="A95" s="303"/>
    </row>
    <row r="96" spans="1:10" x14ac:dyDescent="0.25">
      <c r="A96" s="1237" t="s">
        <v>1612</v>
      </c>
      <c r="B96" s="853"/>
      <c r="C96" s="853"/>
      <c r="D96" s="853"/>
      <c r="E96" s="853"/>
      <c r="F96" s="853"/>
      <c r="G96" s="853"/>
      <c r="H96" s="853"/>
      <c r="I96" s="853"/>
      <c r="J96" s="853"/>
    </row>
    <row r="97" spans="1:10" x14ac:dyDescent="0.25">
      <c r="A97" s="853"/>
      <c r="B97" s="853"/>
      <c r="C97" s="853"/>
      <c r="D97" s="853"/>
      <c r="E97" s="853"/>
      <c r="F97" s="853"/>
      <c r="G97" s="853"/>
      <c r="H97" s="853"/>
      <c r="I97" s="853"/>
      <c r="J97" s="853"/>
    </row>
    <row r="99" spans="1:10" x14ac:dyDescent="0.3">
      <c r="A99" s="304" t="s">
        <v>1613</v>
      </c>
    </row>
    <row r="100" spans="1:10" x14ac:dyDescent="0.25">
      <c r="A100" s="306"/>
    </row>
    <row r="101" spans="1:10" x14ac:dyDescent="0.3">
      <c r="A101" s="304" t="s">
        <v>1614</v>
      </c>
    </row>
    <row r="102" spans="1:10" x14ac:dyDescent="0.25">
      <c r="A102" s="306"/>
    </row>
  </sheetData>
  <sheetProtection formatCells="0" formatRows="0"/>
  <mergeCells count="64">
    <mergeCell ref="B32:C32"/>
    <mergeCell ref="H33:I33"/>
    <mergeCell ref="H34:I34"/>
    <mergeCell ref="H39:I39"/>
    <mergeCell ref="H40:I40"/>
    <mergeCell ref="H32:I32"/>
    <mergeCell ref="F32:G32"/>
    <mergeCell ref="D32:E32"/>
    <mergeCell ref="F38:G38"/>
    <mergeCell ref="H35:I35"/>
    <mergeCell ref="H36:I36"/>
    <mergeCell ref="H37:I37"/>
    <mergeCell ref="H38:I38"/>
    <mergeCell ref="F33:G33"/>
    <mergeCell ref="F34:G34"/>
    <mergeCell ref="F35:G35"/>
    <mergeCell ref="F36:G36"/>
    <mergeCell ref="F37:G37"/>
    <mergeCell ref="F44:G44"/>
    <mergeCell ref="H41:I41"/>
    <mergeCell ref="H42:I42"/>
    <mergeCell ref="H43:I43"/>
    <mergeCell ref="H44:I44"/>
    <mergeCell ref="F39:G39"/>
    <mergeCell ref="F40:G40"/>
    <mergeCell ref="F41:G41"/>
    <mergeCell ref="F42:G42"/>
    <mergeCell ref="F43:G43"/>
    <mergeCell ref="B42:C42"/>
    <mergeCell ref="B43:C43"/>
    <mergeCell ref="D44:E44"/>
    <mergeCell ref="D33:E33"/>
    <mergeCell ref="D34:E34"/>
    <mergeCell ref="D35:E35"/>
    <mergeCell ref="D36:E36"/>
    <mergeCell ref="D37:E37"/>
    <mergeCell ref="D38:E38"/>
    <mergeCell ref="D39:E39"/>
    <mergeCell ref="D40:E40"/>
    <mergeCell ref="D41:E41"/>
    <mergeCell ref="A7:J7"/>
    <mergeCell ref="F9:J9"/>
    <mergeCell ref="D14:J14"/>
    <mergeCell ref="G18:J18"/>
    <mergeCell ref="G16:J16"/>
    <mergeCell ref="F15:J15"/>
    <mergeCell ref="I17:J17"/>
    <mergeCell ref="D12:J12"/>
    <mergeCell ref="I19:J19"/>
    <mergeCell ref="D20:J20"/>
    <mergeCell ref="G8:J8"/>
    <mergeCell ref="A96:J97"/>
    <mergeCell ref="B39:C39"/>
    <mergeCell ref="B44:C44"/>
    <mergeCell ref="B33:C33"/>
    <mergeCell ref="B34:C34"/>
    <mergeCell ref="B35:C35"/>
    <mergeCell ref="B36:C36"/>
    <mergeCell ref="B37:C37"/>
    <mergeCell ref="B38:C38"/>
    <mergeCell ref="D42:E42"/>
    <mergeCell ref="D43:E43"/>
    <mergeCell ref="B40:C40"/>
    <mergeCell ref="B41:C41"/>
  </mergeCells>
  <pageMargins left="1.0182291666666667" right="0.7" top="0.140625" bottom="0.1875" header="0.3" footer="0.3"/>
  <pageSetup paperSize="9" scale="85" orientation="portrait" r:id="rId1"/>
  <rowBreaks count="1" manualBreakCount="1">
    <brk id="44" max="9" man="1"/>
  </rowBreak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dimension ref="A1:DP19"/>
  <sheetViews>
    <sheetView showZeros="0" zoomScaleNormal="100" workbookViewId="0">
      <selection activeCell="G9" sqref="G9"/>
    </sheetView>
  </sheetViews>
  <sheetFormatPr defaultColWidth="7.7109375" defaultRowHeight="15" x14ac:dyDescent="0.25"/>
  <cols>
    <col min="1" max="1" width="7.7109375" style="372" customWidth="1"/>
    <col min="2" max="3" width="9" style="372" customWidth="1"/>
    <col min="4" max="4" width="8.85546875" style="372" customWidth="1"/>
    <col min="5" max="7" width="8.5703125" style="372" customWidth="1"/>
    <col min="8" max="8" width="9" style="372" customWidth="1"/>
    <col min="9" max="9" width="7.42578125" style="372" customWidth="1"/>
    <col min="10" max="10" width="9" style="372" customWidth="1"/>
    <col min="11" max="11" width="8.7109375" style="372" customWidth="1"/>
    <col min="12" max="12" width="5.85546875" style="372" customWidth="1"/>
    <col min="13" max="13" width="6" style="372" customWidth="1"/>
    <col min="14" max="14" width="8.140625" style="372" customWidth="1"/>
    <col min="15" max="15" width="8.7109375" style="372" customWidth="1"/>
    <col min="16" max="16" width="8.140625" style="372" customWidth="1"/>
    <col min="17" max="17" width="9" style="372" customWidth="1"/>
    <col min="18" max="18" width="8.140625" style="372" customWidth="1"/>
    <col min="19" max="19" width="8.42578125" style="372" customWidth="1"/>
    <col min="20" max="20" width="8.140625" style="372" customWidth="1"/>
    <col min="21" max="21" width="6.7109375" style="372" customWidth="1"/>
    <col min="22" max="22" width="7.5703125" style="372" customWidth="1"/>
    <col min="23" max="23" width="6.85546875" style="372" customWidth="1"/>
    <col min="24" max="24" width="8.42578125" style="372" customWidth="1"/>
    <col min="25" max="26" width="7.42578125" style="372" customWidth="1"/>
    <col min="27" max="27" width="8.140625" style="372" customWidth="1"/>
    <col min="28" max="29" width="9" style="372" customWidth="1"/>
    <col min="30" max="30" width="8.85546875" style="372" customWidth="1"/>
    <col min="31" max="31" width="9" style="372" customWidth="1"/>
    <col min="32" max="32" width="7" style="372" customWidth="1"/>
    <col min="33" max="34" width="8.85546875" style="372" customWidth="1"/>
    <col min="35" max="35" width="5.85546875" style="372" customWidth="1"/>
    <col min="36" max="36" width="8.5703125" style="372" customWidth="1"/>
    <col min="37" max="37" width="8.140625" style="372" customWidth="1"/>
    <col min="38" max="39" width="8.85546875" style="372" customWidth="1"/>
    <col min="40" max="41" width="9" style="372" customWidth="1"/>
    <col min="42" max="42" width="8.5703125" style="373" customWidth="1"/>
    <col min="43" max="43" width="7.42578125" style="372" customWidth="1"/>
    <col min="44" max="44" width="8.85546875" style="372" bestFit="1" customWidth="1"/>
    <col min="45" max="46" width="8.7109375" style="372" bestFit="1" customWidth="1"/>
    <col min="47" max="48" width="8.85546875" style="372" bestFit="1" customWidth="1"/>
    <col min="49" max="49" width="9" style="372" bestFit="1" customWidth="1"/>
    <col min="50" max="50" width="7.85546875" style="372" bestFit="1" customWidth="1"/>
    <col min="51" max="51" width="8.42578125" style="372" bestFit="1" customWidth="1"/>
    <col min="52" max="52" width="9" style="372" bestFit="1" customWidth="1"/>
    <col min="53" max="53" width="6.42578125" style="372" customWidth="1"/>
    <col min="54" max="54" width="8.42578125" style="372" bestFit="1" customWidth="1"/>
    <col min="55" max="55" width="9" style="372" bestFit="1" customWidth="1"/>
    <col min="56" max="56" width="9" style="372" customWidth="1"/>
    <col min="57" max="57" width="6.42578125" style="372" customWidth="1"/>
    <col min="58" max="58" width="8.42578125" style="372" bestFit="1" customWidth="1"/>
    <col min="59" max="59" width="9" style="372" bestFit="1" customWidth="1"/>
    <col min="60" max="60" width="7.42578125" style="372" customWidth="1"/>
    <col min="61" max="61" width="8.42578125" style="372" bestFit="1" customWidth="1"/>
    <col min="62" max="62" width="9" style="372" bestFit="1" customWidth="1"/>
    <col min="63" max="63" width="7.42578125" style="372" customWidth="1"/>
    <col min="64" max="64" width="8.42578125" style="372" bestFit="1" customWidth="1"/>
    <col min="65" max="16384" width="7.7109375" style="372"/>
  </cols>
  <sheetData>
    <row r="1" spans="1:120" s="385" customFormat="1" x14ac:dyDescent="0.25"/>
    <row r="2" spans="1:120" s="386" customFormat="1" ht="169.5" x14ac:dyDescent="0.25">
      <c r="A2" s="386" t="s">
        <v>1879</v>
      </c>
      <c r="B2" s="386" t="s">
        <v>0</v>
      </c>
      <c r="C2" s="386" t="s">
        <v>1880</v>
      </c>
      <c r="D2" s="386" t="s">
        <v>7</v>
      </c>
      <c r="E2" s="386" t="s">
        <v>1881</v>
      </c>
      <c r="F2" s="386" t="s">
        <v>1630</v>
      </c>
      <c r="G2" s="386" t="s">
        <v>1925</v>
      </c>
      <c r="H2" s="387" t="s">
        <v>1924</v>
      </c>
      <c r="I2" s="386" t="s">
        <v>411</v>
      </c>
      <c r="J2" s="386" t="s">
        <v>1930</v>
      </c>
      <c r="K2" s="386" t="s">
        <v>1882</v>
      </c>
      <c r="L2" s="386" t="s">
        <v>1974</v>
      </c>
      <c r="M2" s="386" t="s">
        <v>1883</v>
      </c>
      <c r="N2" s="386" t="s">
        <v>1884</v>
      </c>
      <c r="O2" s="386" t="s">
        <v>1885</v>
      </c>
      <c r="P2" s="386" t="s">
        <v>1926</v>
      </c>
      <c r="Q2" s="387" t="s">
        <v>1983</v>
      </c>
      <c r="R2" s="387" t="s">
        <v>1984</v>
      </c>
      <c r="S2" s="386" t="s">
        <v>1981</v>
      </c>
      <c r="T2" s="386" t="s">
        <v>1976</v>
      </c>
      <c r="U2" s="386" t="s">
        <v>1931</v>
      </c>
      <c r="V2" s="386" t="s">
        <v>1932</v>
      </c>
      <c r="W2" s="386" t="s">
        <v>1933</v>
      </c>
      <c r="X2" s="386" t="s">
        <v>1936</v>
      </c>
      <c r="Y2" s="388" t="s">
        <v>1987</v>
      </c>
      <c r="Z2" s="388" t="s">
        <v>1988</v>
      </c>
      <c r="AA2" s="386" t="s">
        <v>1895</v>
      </c>
      <c r="AB2" s="386" t="s">
        <v>1896</v>
      </c>
      <c r="AC2" s="386" t="s">
        <v>1897</v>
      </c>
      <c r="AD2" s="386" t="s">
        <v>1937</v>
      </c>
      <c r="AE2" s="386" t="s">
        <v>1938</v>
      </c>
      <c r="AF2" s="386" t="s">
        <v>1940</v>
      </c>
      <c r="AG2" s="386" t="s">
        <v>1971</v>
      </c>
      <c r="AH2" s="386" t="s">
        <v>1944</v>
      </c>
      <c r="AI2" s="386" t="s">
        <v>1945</v>
      </c>
      <c r="AJ2" s="386" t="s">
        <v>1946</v>
      </c>
      <c r="AK2" s="386" t="s">
        <v>1939</v>
      </c>
      <c r="AL2" s="387" t="s">
        <v>1886</v>
      </c>
      <c r="AM2" s="389" t="s">
        <v>1973</v>
      </c>
      <c r="AN2" s="386" t="s">
        <v>1934</v>
      </c>
      <c r="AO2" s="387" t="s">
        <v>83</v>
      </c>
      <c r="AP2" s="386" t="s">
        <v>1935</v>
      </c>
      <c r="AQ2" s="386" t="s">
        <v>1887</v>
      </c>
      <c r="AR2" s="386" t="s">
        <v>1975</v>
      </c>
      <c r="AS2" s="386" t="s">
        <v>1888</v>
      </c>
      <c r="AT2" s="386" t="s">
        <v>1982</v>
      </c>
      <c r="AU2" s="386" t="s">
        <v>1941</v>
      </c>
      <c r="AV2" s="386" t="s">
        <v>1942</v>
      </c>
      <c r="AW2" s="386" t="s">
        <v>1972</v>
      </c>
      <c r="AX2" s="386" t="s">
        <v>1943</v>
      </c>
      <c r="AY2" s="386" t="s">
        <v>1986</v>
      </c>
      <c r="AZ2" s="386" t="s">
        <v>1929</v>
      </c>
      <c r="BA2" s="386" t="s">
        <v>1889</v>
      </c>
      <c r="BB2" s="386" t="s">
        <v>1890</v>
      </c>
      <c r="BC2" s="386" t="s">
        <v>1891</v>
      </c>
      <c r="BD2" s="386" t="s">
        <v>1994</v>
      </c>
      <c r="BE2" s="386" t="s">
        <v>1892</v>
      </c>
      <c r="BF2" s="387" t="s">
        <v>383</v>
      </c>
      <c r="BG2" s="387" t="s">
        <v>1927</v>
      </c>
      <c r="BH2" s="387" t="s">
        <v>1928</v>
      </c>
      <c r="BI2" s="386" t="s">
        <v>1893</v>
      </c>
      <c r="BJ2" s="387" t="s">
        <v>1990</v>
      </c>
      <c r="BK2" s="387" t="s">
        <v>1991</v>
      </c>
      <c r="BL2" s="387" t="s">
        <v>1989</v>
      </c>
      <c r="BM2" s="386" t="s">
        <v>1894</v>
      </c>
      <c r="BN2" s="386" t="s">
        <v>1985</v>
      </c>
      <c r="BO2" s="386" t="s">
        <v>1923</v>
      </c>
      <c r="BP2" s="386" t="s">
        <v>1898</v>
      </c>
      <c r="BQ2" s="386" t="s">
        <v>1899</v>
      </c>
      <c r="BR2" s="386" t="s">
        <v>1900</v>
      </c>
      <c r="BS2" s="386" t="s">
        <v>1901</v>
      </c>
      <c r="BT2" s="386" t="s">
        <v>1902</v>
      </c>
      <c r="BU2" s="386" t="s">
        <v>1903</v>
      </c>
      <c r="BV2" s="386" t="s">
        <v>1904</v>
      </c>
      <c r="BW2" s="386" t="s">
        <v>1905</v>
      </c>
      <c r="BX2" s="386" t="s">
        <v>1906</v>
      </c>
      <c r="BY2" s="386" t="s">
        <v>1907</v>
      </c>
      <c r="BZ2" s="386" t="s">
        <v>1908</v>
      </c>
      <c r="CA2" s="386" t="s">
        <v>1909</v>
      </c>
      <c r="CB2" s="386" t="s">
        <v>1910</v>
      </c>
      <c r="CC2" s="386" t="s">
        <v>1911</v>
      </c>
      <c r="CD2" s="386" t="s">
        <v>1912</v>
      </c>
      <c r="CE2" s="386" t="s">
        <v>1913</v>
      </c>
      <c r="CF2" s="386" t="s">
        <v>1914</v>
      </c>
      <c r="CG2" s="386" t="s">
        <v>1915</v>
      </c>
      <c r="CH2" s="386" t="s">
        <v>1916</v>
      </c>
      <c r="CI2" s="386" t="s">
        <v>1917</v>
      </c>
      <c r="CJ2" s="386" t="s">
        <v>1918</v>
      </c>
      <c r="CK2" s="386" t="s">
        <v>1919</v>
      </c>
      <c r="CL2" s="386" t="s">
        <v>1920</v>
      </c>
      <c r="CM2" s="386" t="s">
        <v>1921</v>
      </c>
      <c r="CN2" s="386" t="s">
        <v>1922</v>
      </c>
      <c r="CO2" s="386" t="s">
        <v>1947</v>
      </c>
      <c r="CP2" s="386" t="s">
        <v>1948</v>
      </c>
      <c r="CQ2" s="386" t="s">
        <v>1949</v>
      </c>
      <c r="CR2" s="386" t="s">
        <v>1950</v>
      </c>
      <c r="CS2" s="386" t="s">
        <v>1977</v>
      </c>
      <c r="CT2" s="386" t="s">
        <v>1978</v>
      </c>
      <c r="CU2" s="386" t="s">
        <v>1951</v>
      </c>
      <c r="CV2" s="386" t="s">
        <v>1952</v>
      </c>
      <c r="CW2" s="386" t="s">
        <v>1953</v>
      </c>
      <c r="CX2" s="386" t="s">
        <v>1954</v>
      </c>
      <c r="CY2" s="386" t="s">
        <v>1955</v>
      </c>
      <c r="CZ2" s="386" t="s">
        <v>1956</v>
      </c>
      <c r="DA2" s="386" t="s">
        <v>1957</v>
      </c>
      <c r="DB2" s="386" t="s">
        <v>1980</v>
      </c>
      <c r="DC2" s="386" t="s">
        <v>1958</v>
      </c>
      <c r="DD2" s="386" t="s">
        <v>1979</v>
      </c>
      <c r="DE2" s="386" t="s">
        <v>1959</v>
      </c>
      <c r="DF2" s="386" t="s">
        <v>1960</v>
      </c>
      <c r="DG2" s="386" t="s">
        <v>1961</v>
      </c>
      <c r="DH2" s="386" t="s">
        <v>1962</v>
      </c>
      <c r="DI2" s="386" t="s">
        <v>1963</v>
      </c>
      <c r="DJ2" s="386" t="s">
        <v>1964</v>
      </c>
      <c r="DK2" s="386" t="s">
        <v>1965</v>
      </c>
      <c r="DL2" s="386" t="s">
        <v>1967</v>
      </c>
      <c r="DM2" s="386" t="s">
        <v>1966</v>
      </c>
      <c r="DN2" s="386" t="s">
        <v>1968</v>
      </c>
      <c r="DO2" s="386" t="s">
        <v>1969</v>
      </c>
      <c r="DP2" s="386" t="s">
        <v>1970</v>
      </c>
    </row>
    <row r="3" spans="1:120" s="385" customFormat="1" x14ac:dyDescent="0.25"/>
    <row r="4" spans="1:120" s="397" customFormat="1" ht="111" x14ac:dyDescent="0.25">
      <c r="A4" s="393"/>
      <c r="B4" s="393" t="str">
        <f>ФИО</f>
        <v>Иванова Е.П.</v>
      </c>
      <c r="C4" s="393" t="str">
        <f>Лечащий_врач</f>
        <v>Еременко А. Н.</v>
      </c>
      <c r="D4" s="393">
        <f>Телефон</f>
        <v>0</v>
      </c>
      <c r="E4" s="393" t="e">
        <f ca="1">Возраст_лет</f>
        <v>#REF!</v>
      </c>
      <c r="F4" s="393" t="e">
        <f>дата_рождения</f>
        <v>#REF!</v>
      </c>
      <c r="G4" s="393">
        <f>Место_жительства</f>
        <v>0</v>
      </c>
      <c r="H4" s="393">
        <f>№_и_б</f>
        <v>21949</v>
      </c>
      <c r="I4" s="393" t="str">
        <f>ИМТ</f>
        <v>-</v>
      </c>
      <c r="J4" s="393">
        <f>Данные!C39</f>
        <v>0</v>
      </c>
      <c r="K4" s="393">
        <f>Данные!C40</f>
        <v>0</v>
      </c>
      <c r="L4" s="393">
        <f>Данные!C42</f>
        <v>0</v>
      </c>
      <c r="M4" s="393">
        <f>Данные!C43</f>
        <v>0</v>
      </c>
      <c r="N4" s="393">
        <f>Данные!E39</f>
        <v>0</v>
      </c>
      <c r="O4" s="393">
        <f>Данные!C45</f>
        <v>0</v>
      </c>
      <c r="P4" s="393">
        <f>Данные!F39</f>
        <v>0</v>
      </c>
      <c r="Q4" s="393">
        <f>Данные!N33</f>
        <v>0</v>
      </c>
      <c r="R4" s="393">
        <f>Данные!O33</f>
        <v>0</v>
      </c>
      <c r="S4" s="393">
        <f>Данные!G39</f>
        <v>0</v>
      </c>
      <c r="T4" s="393">
        <f>ГИСТОЛОГИЯ</f>
        <v>0</v>
      </c>
      <c r="U4" s="393">
        <f>Данные!E36</f>
        <v>0</v>
      </c>
      <c r="V4" s="393">
        <f>Данные!F36</f>
        <v>0</v>
      </c>
      <c r="W4" s="393">
        <f>ГИСТОЛОГИЯ</f>
        <v>0</v>
      </c>
      <c r="X4" s="393">
        <f>Данные!G36</f>
        <v>0</v>
      </c>
      <c r="Y4" s="393">
        <f>Данные!H36</f>
        <v>0</v>
      </c>
      <c r="Z4" s="394">
        <f>Данные!I36</f>
        <v>0</v>
      </c>
      <c r="AA4" s="393">
        <f>Данные!J36</f>
        <v>0</v>
      </c>
      <c r="AB4" s="393">
        <f>Данные!K36</f>
        <v>0</v>
      </c>
      <c r="AC4" s="393">
        <f>Данные!L36</f>
        <v>0</v>
      </c>
      <c r="AD4" s="393">
        <f>Данные!M36</f>
        <v>0</v>
      </c>
      <c r="AE4" s="393">
        <f>Данные!N36</f>
        <v>0</v>
      </c>
      <c r="AF4" s="393">
        <f>Данные!M42</f>
        <v>0</v>
      </c>
      <c r="AG4" s="393">
        <f>Данные!E42</f>
        <v>0</v>
      </c>
      <c r="AH4" s="393">
        <f>Данные!F42</f>
        <v>0</v>
      </c>
      <c r="AI4" s="393">
        <f>Данные!G42</f>
        <v>0</v>
      </c>
      <c r="AJ4" s="393">
        <f>Данные!H42</f>
        <v>0</v>
      </c>
      <c r="AK4" s="393">
        <f>Данные!O36</f>
        <v>0</v>
      </c>
      <c r="AL4" s="393" t="str">
        <f>Планируемое_оперативное_вмешательство__проведенное</f>
        <v xml:space="preserve">Комбинированная нефролитолапаксия. Стентирование справа. </v>
      </c>
      <c r="AM4" s="393">
        <f>Данные!C36</f>
        <v>0</v>
      </c>
      <c r="AN4" s="393">
        <f>Номер_операции</f>
        <v>0</v>
      </c>
      <c r="AO4" s="393">
        <f>Дата_операции</f>
        <v>42587</v>
      </c>
      <c r="AP4" s="393" t="str">
        <f>Время_операции_от_и_до</f>
        <v>13.45-14.45</v>
      </c>
      <c r="AQ4" s="395"/>
      <c r="AR4" s="393">
        <f>AI15</f>
        <v>0</v>
      </c>
      <c r="AS4" s="393" t="e">
        <f>Кровопотеря</f>
        <v>#REF!</v>
      </c>
      <c r="AT4" s="393">
        <f>Данные!E33</f>
        <v>0</v>
      </c>
      <c r="AU4" s="393">
        <f>Данные!F33</f>
        <v>0</v>
      </c>
      <c r="AV4" s="393">
        <f>Данные!G33</f>
        <v>0</v>
      </c>
      <c r="AW4" s="393">
        <f>Данные!O39</f>
        <v>0</v>
      </c>
      <c r="AX4" s="393">
        <f>Данные!H33</f>
        <v>0</v>
      </c>
      <c r="AY4" s="393">
        <f>Данные!I33</f>
        <v>0</v>
      </c>
      <c r="AZ4" s="393">
        <f>Данные!J33</f>
        <v>0</v>
      </c>
      <c r="BA4" s="393" t="str">
        <f>Оперирующий.хирург</f>
        <v>Еременко А. Н.</v>
      </c>
      <c r="BB4" s="393">
        <f>H15</f>
        <v>0</v>
      </c>
      <c r="BC4" s="393">
        <f>G15</f>
        <v>0</v>
      </c>
      <c r="BD4" s="393">
        <f>Химиотерапия</f>
        <v>2</v>
      </c>
      <c r="BE4" s="396">
        <f ca="1">(YEAR(TODAY())-YEAR(AO4))*12+MONTH(TODAY())-MONTH(AO4)</f>
        <v>0</v>
      </c>
      <c r="BF4" s="393">
        <f ca="1">Койкодень_общий</f>
        <v>9</v>
      </c>
      <c r="BG4" s="393">
        <f>Койкодень_до_опер</f>
        <v>-5</v>
      </c>
      <c r="BH4" s="393">
        <f ca="1">Койкодень_после_опер</f>
        <v>14</v>
      </c>
      <c r="BI4" s="393">
        <f>B15</f>
        <v>0</v>
      </c>
      <c r="BJ4" s="393">
        <f>C15</f>
        <v>0</v>
      </c>
      <c r="BK4" s="393">
        <f>D15</f>
        <v>0</v>
      </c>
      <c r="BL4" s="393">
        <f>E15</f>
        <v>0</v>
      </c>
      <c r="BM4" s="393">
        <f>F15</f>
        <v>0</v>
      </c>
      <c r="BN4" s="393">
        <f>Данные!I39</f>
        <v>0</v>
      </c>
      <c r="BO4" s="393">
        <f>Данные!J42</f>
        <v>0</v>
      </c>
      <c r="BP4" s="393">
        <f>Данные!K42</f>
        <v>0</v>
      </c>
      <c r="BQ4" s="393">
        <f t="shared" ref="BQ4:CN4" si="0">J15</f>
        <v>0</v>
      </c>
      <c r="BR4" s="393">
        <f t="shared" si="0"/>
        <v>0</v>
      </c>
      <c r="BS4" s="393">
        <f t="shared" si="0"/>
        <v>0</v>
      </c>
      <c r="BT4" s="393">
        <f t="shared" si="0"/>
        <v>0</v>
      </c>
      <c r="BU4" s="393">
        <f t="shared" si="0"/>
        <v>0</v>
      </c>
      <c r="BV4" s="393">
        <f t="shared" si="0"/>
        <v>0</v>
      </c>
      <c r="BW4" s="393">
        <f t="shared" si="0"/>
        <v>0</v>
      </c>
      <c r="BX4" s="393">
        <f t="shared" si="0"/>
        <v>0</v>
      </c>
      <c r="BY4" s="393">
        <f t="shared" si="0"/>
        <v>0</v>
      </c>
      <c r="BZ4" s="393">
        <f t="shared" si="0"/>
        <v>0</v>
      </c>
      <c r="CA4" s="393">
        <f t="shared" si="0"/>
        <v>0</v>
      </c>
      <c r="CB4" s="393">
        <f t="shared" si="0"/>
        <v>0</v>
      </c>
      <c r="CC4" s="393">
        <f t="shared" si="0"/>
        <v>0</v>
      </c>
      <c r="CD4" s="393">
        <f t="shared" si="0"/>
        <v>0</v>
      </c>
      <c r="CE4" s="393">
        <f t="shared" si="0"/>
        <v>0</v>
      </c>
      <c r="CF4" s="393">
        <f t="shared" si="0"/>
        <v>0</v>
      </c>
      <c r="CG4" s="393">
        <f t="shared" si="0"/>
        <v>0</v>
      </c>
      <c r="CH4" s="393">
        <f t="shared" si="0"/>
        <v>0</v>
      </c>
      <c r="CI4" s="393">
        <f t="shared" si="0"/>
        <v>0</v>
      </c>
      <c r="CJ4" s="393">
        <f t="shared" si="0"/>
        <v>0</v>
      </c>
      <c r="CK4" s="393">
        <f t="shared" si="0"/>
        <v>0</v>
      </c>
      <c r="CL4" s="393">
        <f t="shared" si="0"/>
        <v>0</v>
      </c>
      <c r="CM4" s="393">
        <f t="shared" si="0"/>
        <v>0</v>
      </c>
      <c r="CN4" s="393">
        <f t="shared" si="0"/>
        <v>0</v>
      </c>
      <c r="CO4" s="393">
        <f>Данные!C37</f>
        <v>0</v>
      </c>
      <c r="CP4" s="393">
        <f>Данные!J39</f>
        <v>0</v>
      </c>
      <c r="CQ4" s="393">
        <f>Данные!K39</f>
        <v>0</v>
      </c>
      <c r="CR4" s="393">
        <f>Данные!L39</f>
        <v>0</v>
      </c>
      <c r="CS4" s="393">
        <f>Данные!M39</f>
        <v>0</v>
      </c>
      <c r="CT4" s="393">
        <f>Данные!N39</f>
        <v>0</v>
      </c>
      <c r="CU4" s="393">
        <f t="shared" ref="CU4:DA4" si="1">B19</f>
        <v>0</v>
      </c>
      <c r="CV4" s="393">
        <f t="shared" si="1"/>
        <v>0</v>
      </c>
      <c r="CW4" s="393">
        <f t="shared" si="1"/>
        <v>0</v>
      </c>
      <c r="CX4" s="393">
        <f t="shared" si="1"/>
        <v>0</v>
      </c>
      <c r="CY4" s="393">
        <f t="shared" si="1"/>
        <v>0</v>
      </c>
      <c r="CZ4" s="393">
        <f t="shared" si="1"/>
        <v>0</v>
      </c>
      <c r="DA4" s="393">
        <f t="shared" si="1"/>
        <v>0</v>
      </c>
      <c r="DB4" s="393">
        <f>Данные!L42</f>
        <v>0</v>
      </c>
      <c r="DC4" s="393">
        <f>Данные!K33</f>
        <v>0</v>
      </c>
      <c r="DD4" s="393">
        <f>Данные!L33</f>
        <v>0</v>
      </c>
      <c r="DE4" s="393">
        <f t="shared" ref="DE4:DP4" si="2">I19</f>
        <v>0</v>
      </c>
      <c r="DF4" s="393">
        <f t="shared" si="2"/>
        <v>0</v>
      </c>
      <c r="DG4" s="393">
        <f t="shared" si="2"/>
        <v>0</v>
      </c>
      <c r="DH4" s="393">
        <f t="shared" si="2"/>
        <v>0</v>
      </c>
      <c r="DI4" s="393">
        <f t="shared" si="2"/>
        <v>0</v>
      </c>
      <c r="DJ4" s="393">
        <f t="shared" si="2"/>
        <v>0</v>
      </c>
      <c r="DK4" s="393">
        <f t="shared" si="2"/>
        <v>0</v>
      </c>
      <c r="DL4" s="393">
        <f t="shared" si="2"/>
        <v>0</v>
      </c>
      <c r="DM4" s="393">
        <f t="shared" si="2"/>
        <v>0</v>
      </c>
      <c r="DN4" s="393">
        <f t="shared" si="2"/>
        <v>0</v>
      </c>
      <c r="DO4" s="393">
        <f t="shared" si="2"/>
        <v>0</v>
      </c>
      <c r="DP4" s="393">
        <f t="shared" si="2"/>
        <v>0</v>
      </c>
    </row>
    <row r="5" spans="1:120" s="385" customFormat="1" x14ac:dyDescent="0.25"/>
    <row r="6" spans="1:120" s="374" customFormat="1" x14ac:dyDescent="0.25"/>
    <row r="7" spans="1:120" s="374" customFormat="1" x14ac:dyDescent="0.25"/>
    <row r="8" spans="1:120" s="374" customFormat="1" x14ac:dyDescent="0.25">
      <c r="AP8" s="377"/>
    </row>
    <row r="10" spans="1:120" x14ac:dyDescent="0.25">
      <c r="Z10" s="379"/>
      <c r="AO10" s="373"/>
      <c r="AP10" s="372"/>
    </row>
    <row r="11" spans="1:120" x14ac:dyDescent="0.25">
      <c r="Z11" s="380"/>
      <c r="AO11" s="373"/>
      <c r="AP11" s="372"/>
    </row>
    <row r="14" spans="1:120" ht="115.5" hidden="1" x14ac:dyDescent="0.25">
      <c r="B14" s="375" t="s">
        <v>1893</v>
      </c>
      <c r="C14" s="378" t="s">
        <v>1990</v>
      </c>
      <c r="D14" s="378" t="s">
        <v>1991</v>
      </c>
      <c r="E14" s="378" t="s">
        <v>1989</v>
      </c>
      <c r="F14" s="375" t="s">
        <v>1894</v>
      </c>
      <c r="G14" s="375" t="s">
        <v>1891</v>
      </c>
      <c r="H14" s="375" t="s">
        <v>1890</v>
      </c>
      <c r="J14" s="375" t="s">
        <v>1899</v>
      </c>
      <c r="K14" s="375" t="s">
        <v>1900</v>
      </c>
      <c r="L14" s="375" t="s">
        <v>1901</v>
      </c>
      <c r="M14" s="375" t="s">
        <v>1902</v>
      </c>
      <c r="N14" s="375" t="s">
        <v>1903</v>
      </c>
      <c r="O14" s="375" t="s">
        <v>1904</v>
      </c>
      <c r="P14" s="375" t="s">
        <v>1905</v>
      </c>
      <c r="Q14" s="375" t="s">
        <v>1906</v>
      </c>
      <c r="R14" s="375" t="s">
        <v>1907</v>
      </c>
      <c r="S14" s="375" t="s">
        <v>1908</v>
      </c>
      <c r="T14" s="375" t="s">
        <v>1909</v>
      </c>
      <c r="U14" s="375" t="s">
        <v>1910</v>
      </c>
      <c r="V14" s="375" t="s">
        <v>1911</v>
      </c>
      <c r="W14" s="375" t="s">
        <v>1912</v>
      </c>
      <c r="X14" s="375" t="s">
        <v>1913</v>
      </c>
      <c r="Y14" s="375" t="s">
        <v>1914</v>
      </c>
      <c r="Z14" s="375" t="s">
        <v>1915</v>
      </c>
      <c r="AA14" s="375" t="s">
        <v>1916</v>
      </c>
      <c r="AB14" s="375" t="s">
        <v>1917</v>
      </c>
      <c r="AC14" s="375" t="s">
        <v>1918</v>
      </c>
      <c r="AD14" s="375" t="s">
        <v>1919</v>
      </c>
      <c r="AE14" s="375" t="s">
        <v>1920</v>
      </c>
      <c r="AF14" s="375" t="s">
        <v>1921</v>
      </c>
      <c r="AG14" s="375" t="s">
        <v>1922</v>
      </c>
      <c r="AI14" s="375" t="s">
        <v>1975</v>
      </c>
    </row>
    <row r="15" spans="1:120" hidden="1" x14ac:dyDescent="0.25">
      <c r="B15" s="376"/>
      <c r="C15" s="376"/>
      <c r="D15" s="376"/>
      <c r="E15" s="376"/>
      <c r="F15" s="376"/>
      <c r="G15" s="376"/>
      <c r="H15" s="376"/>
      <c r="J15" s="376"/>
      <c r="K15" s="376"/>
      <c r="L15" s="376"/>
      <c r="M15" s="376"/>
      <c r="N15" s="376"/>
      <c r="O15" s="376"/>
      <c r="P15" s="376"/>
      <c r="Q15" s="376"/>
      <c r="R15" s="376"/>
      <c r="S15" s="376"/>
      <c r="T15" s="376"/>
      <c r="U15" s="376"/>
      <c r="V15" s="376"/>
      <c r="W15" s="376"/>
      <c r="X15" s="376"/>
      <c r="Y15" s="376"/>
      <c r="Z15" s="376"/>
      <c r="AA15" s="376"/>
      <c r="AB15" s="376"/>
      <c r="AC15" s="376"/>
      <c r="AD15" s="376"/>
      <c r="AE15" s="376"/>
      <c r="AF15" s="376"/>
      <c r="AG15" s="376"/>
      <c r="AI15" s="376"/>
    </row>
    <row r="16" spans="1:120" hidden="1" x14ac:dyDescent="0.25"/>
    <row r="17" spans="2:42" hidden="1" x14ac:dyDescent="0.25"/>
    <row r="18" spans="2:42" ht="64.5" hidden="1" x14ac:dyDescent="0.25">
      <c r="B18" s="375" t="s">
        <v>1951</v>
      </c>
      <c r="C18" s="375" t="s">
        <v>1952</v>
      </c>
      <c r="D18" s="375" t="s">
        <v>1953</v>
      </c>
      <c r="E18" s="375" t="s">
        <v>1954</v>
      </c>
      <c r="F18" s="375" t="s">
        <v>1955</v>
      </c>
      <c r="G18" s="375" t="s">
        <v>1956</v>
      </c>
      <c r="H18" s="375" t="s">
        <v>1957</v>
      </c>
      <c r="I18" s="375" t="s">
        <v>1959</v>
      </c>
      <c r="J18" s="375" t="s">
        <v>1960</v>
      </c>
      <c r="K18" s="375" t="s">
        <v>1961</v>
      </c>
      <c r="L18" s="375" t="s">
        <v>1962</v>
      </c>
      <c r="M18" s="375" t="s">
        <v>1963</v>
      </c>
      <c r="N18" s="375" t="s">
        <v>1964</v>
      </c>
      <c r="O18" s="375" t="s">
        <v>1965</v>
      </c>
      <c r="P18" s="375" t="s">
        <v>1967</v>
      </c>
      <c r="Q18" s="375" t="s">
        <v>1966</v>
      </c>
      <c r="R18" s="375" t="s">
        <v>1968</v>
      </c>
      <c r="S18" s="375" t="s">
        <v>1969</v>
      </c>
      <c r="T18" s="375" t="s">
        <v>1970</v>
      </c>
      <c r="AB18" s="374"/>
      <c r="AO18" s="373"/>
      <c r="AP18" s="372"/>
    </row>
    <row r="19" spans="2:42" hidden="1" x14ac:dyDescent="0.25">
      <c r="B19" s="376"/>
      <c r="C19" s="376"/>
      <c r="D19" s="376"/>
      <c r="E19" s="376"/>
      <c r="F19" s="376"/>
      <c r="G19" s="376"/>
      <c r="H19" s="376"/>
      <c r="I19" s="376"/>
      <c r="J19" s="376"/>
      <c r="K19" s="376"/>
      <c r="L19" s="376"/>
      <c r="M19" s="376"/>
      <c r="N19" s="376"/>
      <c r="O19" s="376"/>
      <c r="P19" s="376"/>
      <c r="Q19" s="376"/>
      <c r="R19" s="376"/>
      <c r="S19" s="376"/>
      <c r="T19" s="376"/>
      <c r="AB19" s="374"/>
      <c r="AO19" s="373"/>
      <c r="AP19" s="372"/>
    </row>
  </sheetData>
  <pageMargins left="0.7" right="0.7" top="0.75" bottom="0.75" header="0.3" footer="0.3"/>
  <pageSetup paperSize="9"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5"/>
  <dimension ref="A1:M37"/>
  <sheetViews>
    <sheetView view="pageLayout" zoomScaleNormal="100" zoomScaleSheetLayoutView="115" workbookViewId="0">
      <selection activeCell="C19" sqref="C19:H19"/>
    </sheetView>
  </sheetViews>
  <sheetFormatPr defaultRowHeight="15" x14ac:dyDescent="0.25"/>
  <cols>
    <col min="1" max="1" width="9.140625" style="8"/>
    <col min="2" max="2" width="10.28515625" style="8" customWidth="1"/>
    <col min="3" max="11" width="9.140625" style="8"/>
    <col min="12" max="12" width="94.7109375" style="423" hidden="1" customWidth="1"/>
    <col min="13" max="13" width="58.7109375" style="423" hidden="1" customWidth="1"/>
    <col min="14" max="16384" width="9.140625" style="8"/>
  </cols>
  <sheetData>
    <row r="1" spans="1:12" ht="30" x14ac:dyDescent="0.25">
      <c r="G1" s="12" t="s">
        <v>2047</v>
      </c>
      <c r="L1" s="520" t="s">
        <v>2104</v>
      </c>
    </row>
    <row r="2" spans="1:12" ht="30" x14ac:dyDescent="0.25">
      <c r="A2" s="3" t="s">
        <v>2050</v>
      </c>
      <c r="G2" s="12" t="s">
        <v>2048</v>
      </c>
      <c r="L2" s="520" t="s">
        <v>2104</v>
      </c>
    </row>
    <row r="3" spans="1:12" ht="30" x14ac:dyDescent="0.25">
      <c r="A3" s="3" t="s">
        <v>2051</v>
      </c>
      <c r="G3" s="12" t="s">
        <v>2049</v>
      </c>
      <c r="L3" s="520" t="s">
        <v>2104</v>
      </c>
    </row>
    <row r="4" spans="1:12" ht="30" x14ac:dyDescent="0.25">
      <c r="A4" s="3" t="s">
        <v>2052</v>
      </c>
      <c r="L4" s="520" t="s">
        <v>2104</v>
      </c>
    </row>
    <row r="6" spans="1:12" ht="30" x14ac:dyDescent="0.25">
      <c r="A6" s="12" t="s">
        <v>2053</v>
      </c>
      <c r="C6" s="15" t="s">
        <v>1628</v>
      </c>
      <c r="L6" s="520" t="s">
        <v>2104</v>
      </c>
    </row>
    <row r="7" spans="1:12" ht="30" x14ac:dyDescent="0.25">
      <c r="A7" s="12" t="s">
        <v>2054</v>
      </c>
      <c r="C7" s="15" t="str">
        <f>ФИО</f>
        <v>Иванова Е.П.</v>
      </c>
      <c r="L7" s="520" t="s">
        <v>2104</v>
      </c>
    </row>
    <row r="8" spans="1:12" ht="30" x14ac:dyDescent="0.25">
      <c r="A8" s="12" t="s">
        <v>2055</v>
      </c>
      <c r="D8" s="15">
        <f>№_и_б</f>
        <v>21949</v>
      </c>
      <c r="L8" s="520" t="s">
        <v>2104</v>
      </c>
    </row>
    <row r="9" spans="1:12" x14ac:dyDescent="0.25">
      <c r="E9" s="329" t="s">
        <v>2056</v>
      </c>
    </row>
    <row r="10" spans="1:12" ht="15.75" x14ac:dyDescent="0.25">
      <c r="A10" s="12" t="s">
        <v>2057</v>
      </c>
    </row>
    <row r="11" spans="1:12" x14ac:dyDescent="0.25">
      <c r="A11" s="1243" t="s">
        <v>2082</v>
      </c>
      <c r="B11" s="1243"/>
      <c r="C11" s="1243"/>
      <c r="D11" s="1243"/>
      <c r="E11" s="1243"/>
      <c r="F11" s="1243"/>
      <c r="G11" s="1243"/>
      <c r="H11" s="1243"/>
      <c r="I11" s="1243"/>
      <c r="J11" s="1243"/>
      <c r="L11" s="423" t="str">
        <f>A11</f>
        <v>______________________________________________________________________________</v>
      </c>
    </row>
    <row r="12" spans="1:12" ht="30" x14ac:dyDescent="0.25">
      <c r="A12" s="12" t="s">
        <v>2058</v>
      </c>
      <c r="L12" s="520" t="s">
        <v>2104</v>
      </c>
    </row>
    <row r="13" spans="1:12" x14ac:dyDescent="0.25">
      <c r="A13" s="1243" t="s">
        <v>2082</v>
      </c>
      <c r="B13" s="1243"/>
      <c r="C13" s="1243"/>
      <c r="D13" s="1243"/>
      <c r="E13" s="1243"/>
      <c r="F13" s="1243"/>
      <c r="G13" s="1243"/>
      <c r="H13" s="1243"/>
      <c r="I13" s="1243"/>
      <c r="J13" s="1243"/>
      <c r="L13" s="423" t="str">
        <f>A13</f>
        <v>______________________________________________________________________________</v>
      </c>
    </row>
    <row r="14" spans="1:12" ht="30" x14ac:dyDescent="0.25">
      <c r="A14" s="8" t="s">
        <v>2062</v>
      </c>
      <c r="C14" s="429">
        <v>16</v>
      </c>
      <c r="D14" s="18" t="s">
        <v>2061</v>
      </c>
      <c r="E14" s="429">
        <v>80</v>
      </c>
      <c r="F14" s="18" t="s">
        <v>2060</v>
      </c>
      <c r="G14" s="429">
        <v>80</v>
      </c>
      <c r="H14" s="18" t="s">
        <v>2059</v>
      </c>
      <c r="I14" s="430" t="s">
        <v>2064</v>
      </c>
      <c r="J14" s="8" t="s">
        <v>2063</v>
      </c>
      <c r="L14" s="520" t="s">
        <v>2104</v>
      </c>
    </row>
    <row r="15" spans="1:12" ht="30" x14ac:dyDescent="0.25">
      <c r="A15" s="12" t="s">
        <v>2065</v>
      </c>
      <c r="L15" s="520" t="s">
        <v>2104</v>
      </c>
    </row>
    <row r="16" spans="1:12" x14ac:dyDescent="0.25">
      <c r="A16" s="1243" t="s">
        <v>2082</v>
      </c>
      <c r="B16" s="1243"/>
      <c r="C16" s="1243"/>
      <c r="D16" s="1243"/>
      <c r="E16" s="1243"/>
      <c r="F16" s="1243"/>
      <c r="G16" s="1243"/>
      <c r="H16" s="1243"/>
      <c r="I16" s="1243"/>
      <c r="J16" s="1243"/>
      <c r="L16" s="423" t="str">
        <f>A16</f>
        <v>______________________________________________________________________________</v>
      </c>
    </row>
    <row r="17" spans="1:13" ht="30" x14ac:dyDescent="0.25">
      <c r="A17" s="56" t="s">
        <v>2066</v>
      </c>
      <c r="L17" s="520" t="s">
        <v>2104</v>
      </c>
    </row>
    <row r="18" spans="1:13" x14ac:dyDescent="0.25">
      <c r="A18" s="1243" t="s">
        <v>2082</v>
      </c>
      <c r="B18" s="1243"/>
      <c r="C18" s="1243"/>
      <c r="D18" s="1243"/>
      <c r="E18" s="1243"/>
      <c r="F18" s="1243"/>
      <c r="G18" s="1243"/>
      <c r="H18" s="1243"/>
      <c r="I18" s="1243"/>
      <c r="J18" s="1243"/>
      <c r="L18" s="423" t="str">
        <f>A18</f>
        <v>______________________________________________________________________________</v>
      </c>
    </row>
    <row r="19" spans="1:13" x14ac:dyDescent="0.25">
      <c r="A19" s="56" t="s">
        <v>2067</v>
      </c>
      <c r="C19" s="1232" t="s">
        <v>2083</v>
      </c>
      <c r="D19" s="1232"/>
      <c r="E19" s="1232"/>
      <c r="F19" s="1232"/>
      <c r="G19" s="1232"/>
      <c r="H19" s="1232"/>
      <c r="I19" s="425"/>
      <c r="J19" s="425"/>
      <c r="L19" s="520"/>
      <c r="M19" s="423" t="str">
        <f>C19</f>
        <v>_______________________________________________</v>
      </c>
    </row>
    <row r="20" spans="1:13" ht="15.75" x14ac:dyDescent="0.25">
      <c r="A20" s="12" t="s">
        <v>2068</v>
      </c>
      <c r="C20" s="1232" t="s">
        <v>2083</v>
      </c>
      <c r="D20" s="1232"/>
      <c r="E20" s="1232"/>
      <c r="F20" s="1232"/>
      <c r="G20" s="1232"/>
      <c r="H20" s="1232"/>
      <c r="I20" s="425"/>
      <c r="J20" s="425"/>
      <c r="M20" s="423" t="str">
        <f>C20</f>
        <v>_______________________________________________</v>
      </c>
    </row>
    <row r="21" spans="1:13" ht="30" x14ac:dyDescent="0.25">
      <c r="A21" s="12" t="s">
        <v>2070</v>
      </c>
      <c r="E21" s="15" t="str">
        <f>Лечащий_врач</f>
        <v>Еременко А. Н.</v>
      </c>
      <c r="G21" s="8" t="s">
        <v>2069</v>
      </c>
      <c r="H21" s="8" t="s">
        <v>267</v>
      </c>
      <c r="L21" s="520" t="s">
        <v>2104</v>
      </c>
    </row>
    <row r="22" spans="1:13" ht="30" x14ac:dyDescent="0.25">
      <c r="A22" s="12" t="s">
        <v>2071</v>
      </c>
      <c r="L22" s="520" t="s">
        <v>2104</v>
      </c>
    </row>
    <row r="23" spans="1:13" x14ac:dyDescent="0.25">
      <c r="A23" s="1232" t="s">
        <v>2083</v>
      </c>
      <c r="B23" s="1232"/>
      <c r="C23" s="1232"/>
      <c r="D23" s="1232"/>
      <c r="E23" s="1232"/>
      <c r="F23" s="1232"/>
      <c r="G23" s="8" t="s">
        <v>2069</v>
      </c>
      <c r="H23" s="8" t="s">
        <v>267</v>
      </c>
      <c r="M23" s="423" t="str">
        <f>A23</f>
        <v>_______________________________________________</v>
      </c>
    </row>
    <row r="24" spans="1:13" ht="30" x14ac:dyDescent="0.25">
      <c r="A24" s="12" t="s">
        <v>2072</v>
      </c>
      <c r="B24" s="431">
        <f ca="1">TODAY()</f>
        <v>42601</v>
      </c>
      <c r="C24" s="15" t="s">
        <v>2073</v>
      </c>
      <c r="D24" s="432" t="s">
        <v>2081</v>
      </c>
      <c r="E24" s="12" t="s">
        <v>2074</v>
      </c>
      <c r="F24" s="432" t="s">
        <v>2081</v>
      </c>
      <c r="G24" s="12" t="s">
        <v>2075</v>
      </c>
      <c r="L24" s="520" t="s">
        <v>2104</v>
      </c>
    </row>
    <row r="25" spans="1:13" ht="30" x14ac:dyDescent="0.25">
      <c r="A25" s="45" t="s">
        <v>2076</v>
      </c>
      <c r="L25" s="520" t="s">
        <v>2104</v>
      </c>
    </row>
    <row r="26" spans="1:13" ht="30" x14ac:dyDescent="0.25">
      <c r="A26" s="1244" t="s">
        <v>2126</v>
      </c>
      <c r="B26" s="1244"/>
      <c r="C26" s="1244"/>
      <c r="D26" s="1244"/>
      <c r="E26" s="1244"/>
      <c r="F26" s="1244"/>
      <c r="G26" s="1244"/>
      <c r="H26" s="1244"/>
      <c r="I26" s="1244"/>
      <c r="J26" s="1244"/>
      <c r="L26" s="520" t="s">
        <v>2104</v>
      </c>
    </row>
    <row r="27" spans="1:13" ht="30" x14ac:dyDescent="0.25">
      <c r="A27" s="12" t="s">
        <v>2077</v>
      </c>
      <c r="E27" s="8" t="s">
        <v>360</v>
      </c>
      <c r="H27" s="8" t="s">
        <v>2069</v>
      </c>
      <c r="I27" s="8" t="s">
        <v>2127</v>
      </c>
      <c r="L27" s="520" t="s">
        <v>2104</v>
      </c>
    </row>
    <row r="28" spans="1:13" ht="30" x14ac:dyDescent="0.25">
      <c r="A28" s="12" t="s">
        <v>2078</v>
      </c>
      <c r="L28" s="520" t="s">
        <v>2104</v>
      </c>
    </row>
    <row r="29" spans="1:13" x14ac:dyDescent="0.25">
      <c r="A29" s="1125" t="str">
        <f>C19</f>
        <v>_______________________________________________</v>
      </c>
      <c r="B29" s="1125"/>
      <c r="C29" s="1125"/>
      <c r="D29" s="1125"/>
      <c r="E29" s="1125"/>
      <c r="F29" s="1125"/>
    </row>
    <row r="30" spans="1:13" ht="30" x14ac:dyDescent="0.25">
      <c r="A30" s="1244" t="s">
        <v>2126</v>
      </c>
      <c r="B30" s="1244"/>
      <c r="C30" s="1244"/>
      <c r="D30" s="1244"/>
      <c r="E30" s="1244"/>
      <c r="F30" s="1244"/>
      <c r="G30" s="1244"/>
      <c r="H30" s="1244"/>
      <c r="I30" s="1244"/>
      <c r="J30" s="1244"/>
      <c r="L30" s="520" t="s">
        <v>2104</v>
      </c>
    </row>
    <row r="31" spans="1:13" ht="30" x14ac:dyDescent="0.25">
      <c r="A31" s="12" t="s">
        <v>2079</v>
      </c>
      <c r="C31" s="15" t="str">
        <f>Лечащий_врач</f>
        <v>Еременко А. Н.</v>
      </c>
      <c r="G31" s="10" t="s">
        <v>2069</v>
      </c>
      <c r="H31" s="8" t="s">
        <v>267</v>
      </c>
      <c r="L31" s="520" t="s">
        <v>2104</v>
      </c>
    </row>
    <row r="32" spans="1:13" ht="30" x14ac:dyDescent="0.25">
      <c r="A32" s="541" t="s">
        <v>2080</v>
      </c>
      <c r="L32" s="520" t="s">
        <v>2104</v>
      </c>
    </row>
    <row r="33" spans="1:12" ht="30" x14ac:dyDescent="0.25">
      <c r="A33" s="12" t="s">
        <v>24</v>
      </c>
      <c r="B33" s="431">
        <f ca="1">TODAY()</f>
        <v>42601</v>
      </c>
      <c r="D33" s="432" t="s">
        <v>2081</v>
      </c>
      <c r="E33" s="12" t="s">
        <v>2074</v>
      </c>
      <c r="F33" s="432" t="s">
        <v>2081</v>
      </c>
      <c r="G33" s="12" t="s">
        <v>2075</v>
      </c>
      <c r="L33" s="520" t="s">
        <v>2104</v>
      </c>
    </row>
    <row r="34" spans="1:12" x14ac:dyDescent="0.25">
      <c r="A34" s="1243" t="s">
        <v>2082</v>
      </c>
      <c r="B34" s="1243"/>
      <c r="C34" s="1243"/>
      <c r="D34" s="1243"/>
      <c r="E34" s="1243"/>
      <c r="F34" s="1243"/>
      <c r="G34" s="1243"/>
      <c r="H34" s="1243"/>
      <c r="I34" s="1243"/>
      <c r="J34" s="1243"/>
      <c r="L34" s="423" t="str">
        <f>A34</f>
        <v>______________________________________________________________________________</v>
      </c>
    </row>
    <row r="35" spans="1:12" ht="15.75" x14ac:dyDescent="0.25">
      <c r="A35" s="1245" t="s">
        <v>2128</v>
      </c>
      <c r="B35" s="1245"/>
      <c r="C35" s="1245"/>
      <c r="D35" s="1245"/>
      <c r="E35" s="1245"/>
      <c r="F35" s="1245"/>
      <c r="G35" s="1245"/>
      <c r="H35" s="1245"/>
      <c r="I35" s="1245"/>
      <c r="J35" s="1245"/>
    </row>
    <row r="36" spans="1:12" x14ac:dyDescent="0.25">
      <c r="A36" s="1243" t="s">
        <v>2082</v>
      </c>
      <c r="B36" s="1243"/>
      <c r="C36" s="1243"/>
      <c r="D36" s="1243"/>
      <c r="E36" s="1243"/>
      <c r="F36" s="1243"/>
      <c r="G36" s="1243"/>
      <c r="H36" s="1243"/>
      <c r="I36" s="1243"/>
      <c r="J36" s="1243"/>
      <c r="L36" s="423" t="str">
        <f>A36</f>
        <v>______________________________________________________________________________</v>
      </c>
    </row>
    <row r="37" spans="1:12" ht="30" x14ac:dyDescent="0.25">
      <c r="A37" s="12" t="s">
        <v>2079</v>
      </c>
      <c r="C37" s="15" t="str">
        <f>Лечащий_врач</f>
        <v>Еременко А. Н.</v>
      </c>
      <c r="G37" s="10" t="s">
        <v>2069</v>
      </c>
      <c r="H37" s="8" t="s">
        <v>267</v>
      </c>
      <c r="L37" s="520" t="s">
        <v>2104</v>
      </c>
    </row>
  </sheetData>
  <sheetProtection formatCells="0" formatRows="0"/>
  <mergeCells count="13">
    <mergeCell ref="A35:J35"/>
    <mergeCell ref="A36:J36"/>
    <mergeCell ref="A23:F23"/>
    <mergeCell ref="A30:J30"/>
    <mergeCell ref="C19:H19"/>
    <mergeCell ref="C20:H20"/>
    <mergeCell ref="A29:F29"/>
    <mergeCell ref="A34:J34"/>
    <mergeCell ref="A11:J11"/>
    <mergeCell ref="A13:J13"/>
    <mergeCell ref="A16:J16"/>
    <mergeCell ref="A18:J18"/>
    <mergeCell ref="A26:J26"/>
  </mergeCells>
  <pageMargins left="0.95625000000000004" right="0.7" top="0.20364583333333333" bottom="0.23020833333333332" header="0.3" footer="0.3"/>
  <pageSetup paperSize="9" scale="90"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6"/>
  <dimension ref="A1:AS708"/>
  <sheetViews>
    <sheetView zoomScale="85" zoomScaleNormal="85" workbookViewId="0">
      <selection activeCell="B12" sqref="B12:D12"/>
    </sheetView>
  </sheetViews>
  <sheetFormatPr defaultRowHeight="15" x14ac:dyDescent="0.25"/>
  <cols>
    <col min="1" max="24" width="9.140625" style="565"/>
    <col min="25" max="29" width="9.140625" style="566"/>
    <col min="30" max="30" width="9.140625" style="564"/>
    <col min="31" max="32" width="9.140625" style="566"/>
    <col min="33" max="33" width="9.140625" style="564"/>
    <col min="34" max="35" width="9.140625" style="566"/>
    <col min="36" max="36" width="9.140625" style="564"/>
    <col min="37" max="37" width="9.140625" style="566"/>
    <col min="38" max="38" width="9.140625" style="566" customWidth="1"/>
    <col min="39" max="40" width="9.140625" style="565" customWidth="1"/>
    <col min="41" max="41" width="9.140625" style="566" customWidth="1"/>
    <col min="42" max="43" width="9.140625" style="565" customWidth="1"/>
    <col min="44" max="16384" width="9.140625" style="565"/>
  </cols>
  <sheetData>
    <row r="1" spans="2:45" ht="15.75" thickBot="1" x14ac:dyDescent="0.3"/>
    <row r="2" spans="2:45" x14ac:dyDescent="0.25">
      <c r="B2" s="1267" t="s">
        <v>2208</v>
      </c>
      <c r="C2" s="1290"/>
      <c r="D2" s="1291"/>
      <c r="L2" s="1246" t="s">
        <v>2229</v>
      </c>
      <c r="M2" s="1247"/>
      <c r="N2" s="1247"/>
      <c r="O2" s="1247"/>
      <c r="P2" s="1248"/>
      <c r="AP2" s="580" t="s">
        <v>2237</v>
      </c>
      <c r="AQ2" s="573"/>
      <c r="AR2" s="573"/>
      <c r="AS2" s="573"/>
    </row>
    <row r="3" spans="2:45" ht="15.75" thickBot="1" x14ac:dyDescent="0.3">
      <c r="B3" s="1261" t="str">
        <f>IF( ВЕС_кг=0, " ", 15*ВЕС_кг)</f>
        <v xml:space="preserve"> </v>
      </c>
      <c r="C3" s="1262"/>
      <c r="D3" s="1263"/>
      <c r="L3" s="1249"/>
      <c r="M3" s="1250"/>
      <c r="N3" s="1250"/>
      <c r="O3" s="1250"/>
      <c r="P3" s="1251"/>
      <c r="AP3" s="573">
        <f>IF(P5=0,0,IF(P5&gt;5,47,IF(P5&lt;0,0,VLOOKUP(P5,$AP$5:$AQ$10,2,0))))</f>
        <v>47</v>
      </c>
      <c r="AQ3" s="573"/>
      <c r="AR3" s="573">
        <f>AP21+AP3+AP12</f>
        <v>149</v>
      </c>
      <c r="AS3" s="573"/>
    </row>
    <row r="4" spans="2:45" ht="15.75" customHeight="1" thickBot="1" x14ac:dyDescent="0.3">
      <c r="F4" s="1267" t="s">
        <v>2154</v>
      </c>
      <c r="G4" s="1268"/>
      <c r="H4" s="1268"/>
      <c r="I4" s="1268"/>
      <c r="J4" s="1269"/>
      <c r="L4" s="1252" t="s">
        <v>2230</v>
      </c>
      <c r="M4" s="974"/>
      <c r="N4" s="974"/>
      <c r="O4" s="974"/>
      <c r="P4" s="574">
        <v>9</v>
      </c>
      <c r="AP4" s="573" t="s">
        <v>2233</v>
      </c>
      <c r="AQ4" s="573" t="s">
        <v>2213</v>
      </c>
      <c r="AR4" s="573" t="s">
        <v>2234</v>
      </c>
      <c r="AS4" s="580" t="s">
        <v>2235</v>
      </c>
    </row>
    <row r="5" spans="2:45" ht="15.75" customHeight="1" x14ac:dyDescent="0.25">
      <c r="B5" s="1267" t="s">
        <v>2209</v>
      </c>
      <c r="C5" s="1290"/>
      <c r="D5" s="1291"/>
      <c r="F5" s="1279" t="s">
        <v>2155</v>
      </c>
      <c r="G5" s="1281" t="s">
        <v>2156</v>
      </c>
      <c r="H5" s="1281"/>
      <c r="I5" s="1281"/>
      <c r="J5" s="1282"/>
      <c r="L5" s="1312" t="s">
        <v>2231</v>
      </c>
      <c r="M5" s="1313"/>
      <c r="N5" s="1313"/>
      <c r="O5" s="1313"/>
      <c r="P5" s="1253">
        <v>5</v>
      </c>
      <c r="AP5" s="573">
        <v>0</v>
      </c>
      <c r="AQ5" s="573">
        <v>24</v>
      </c>
      <c r="AR5" s="573">
        <v>40</v>
      </c>
      <c r="AS5" s="573">
        <v>0.96</v>
      </c>
    </row>
    <row r="6" spans="2:45" ht="15.75" customHeight="1" thickBot="1" x14ac:dyDescent="0.3">
      <c r="B6" s="1261">
        <f>Биохимия_креатинин*9/88.5</f>
        <v>7.9322033898305087</v>
      </c>
      <c r="C6" s="1262"/>
      <c r="D6" s="1263"/>
      <c r="F6" s="1280"/>
      <c r="G6" s="567" t="s">
        <v>2157</v>
      </c>
      <c r="H6" s="567" t="s">
        <v>2158</v>
      </c>
      <c r="I6" s="567" t="s">
        <v>2159</v>
      </c>
      <c r="J6" s="568" t="s">
        <v>2160</v>
      </c>
      <c r="L6" s="1314"/>
      <c r="M6" s="1313"/>
      <c r="N6" s="1313"/>
      <c r="O6" s="1313"/>
      <c r="P6" s="1254"/>
      <c r="AP6" s="573">
        <v>1</v>
      </c>
      <c r="AQ6" s="573">
        <v>0</v>
      </c>
      <c r="AR6" s="573">
        <v>41</v>
      </c>
      <c r="AS6" s="573">
        <v>0.96</v>
      </c>
    </row>
    <row r="7" spans="2:45" ht="15.75" thickBot="1" x14ac:dyDescent="0.3">
      <c r="F7" s="569" t="s">
        <v>2161</v>
      </c>
      <c r="G7" s="570">
        <v>8</v>
      </c>
      <c r="H7" s="570">
        <v>8</v>
      </c>
      <c r="I7" s="570">
        <v>8</v>
      </c>
      <c r="J7" s="571">
        <v>6</v>
      </c>
      <c r="L7" s="1314"/>
      <c r="M7" s="1313"/>
      <c r="N7" s="1313"/>
      <c r="O7" s="1313"/>
      <c r="P7" s="1254"/>
      <c r="AP7" s="573">
        <v>2</v>
      </c>
      <c r="AQ7" s="573">
        <v>10</v>
      </c>
      <c r="AR7" s="573">
        <v>42</v>
      </c>
      <c r="AS7" s="573">
        <v>0.96</v>
      </c>
    </row>
    <row r="8" spans="2:45" x14ac:dyDescent="0.25">
      <c r="B8" s="1273" t="s">
        <v>2210</v>
      </c>
      <c r="C8" s="1274"/>
      <c r="D8" s="1275"/>
      <c r="F8" s="572" t="s">
        <v>2162</v>
      </c>
      <c r="G8" s="573">
        <v>12</v>
      </c>
      <c r="H8" s="573">
        <v>10</v>
      </c>
      <c r="I8" s="573">
        <v>8</v>
      </c>
      <c r="J8" s="574">
        <v>6</v>
      </c>
      <c r="L8" s="1314"/>
      <c r="M8" s="1313"/>
      <c r="N8" s="1313"/>
      <c r="O8" s="1313"/>
      <c r="P8" s="1254"/>
      <c r="AP8" s="573">
        <v>3</v>
      </c>
      <c r="AQ8" s="573">
        <v>30</v>
      </c>
      <c r="AR8" s="573">
        <v>43</v>
      </c>
      <c r="AS8" s="573">
        <v>0.96</v>
      </c>
    </row>
    <row r="9" spans="2:45" ht="15.75" customHeight="1" thickBot="1" x14ac:dyDescent="0.3">
      <c r="B9" s="1276" t="e">
        <f ca="1">IF(ПОЛ=2, 186*((Биохимия_креатинин*0.0113)^(-1.154))*((YEAR(TODAY())-YEAR(дата_рождения))^(-0.203))*0.742,186*((Биохимия_креатинин*0.0113)^(-1.154))*((YEAR(TODAY())-YEAR(дата_рождения))^(-0.203)))</f>
        <v>#REF!</v>
      </c>
      <c r="C9" s="1277"/>
      <c r="D9" s="1278"/>
      <c r="F9" s="572" t="s">
        <v>2163</v>
      </c>
      <c r="G9" s="573">
        <v>14</v>
      </c>
      <c r="H9" s="573">
        <v>12</v>
      </c>
      <c r="I9" s="573">
        <v>10</v>
      </c>
      <c r="J9" s="574">
        <v>8</v>
      </c>
      <c r="L9" s="1337" t="s">
        <v>2232</v>
      </c>
      <c r="M9" s="1338"/>
      <c r="N9" s="1338"/>
      <c r="O9" s="1338"/>
      <c r="P9" s="1341">
        <v>5</v>
      </c>
      <c r="AP9" s="573">
        <v>4</v>
      </c>
      <c r="AQ9" s="573">
        <v>24</v>
      </c>
      <c r="AR9" s="573">
        <v>44</v>
      </c>
      <c r="AS9" s="573">
        <v>0.96</v>
      </c>
    </row>
    <row r="10" spans="2:45" ht="15.75" thickBot="1" x14ac:dyDescent="0.3">
      <c r="F10" s="572" t="s">
        <v>2164</v>
      </c>
      <c r="G10" s="573">
        <v>16</v>
      </c>
      <c r="H10" s="573">
        <v>14</v>
      </c>
      <c r="I10" s="573">
        <v>12</v>
      </c>
      <c r="J10" s="574">
        <v>10</v>
      </c>
      <c r="L10" s="1339"/>
      <c r="M10" s="1338"/>
      <c r="N10" s="1338"/>
      <c r="O10" s="1338"/>
      <c r="P10" s="1254"/>
      <c r="AP10" s="573">
        <v>5</v>
      </c>
      <c r="AQ10" s="573">
        <v>47</v>
      </c>
      <c r="AR10" s="573">
        <v>45</v>
      </c>
      <c r="AS10" s="573">
        <v>0.95</v>
      </c>
    </row>
    <row r="11" spans="2:45" x14ac:dyDescent="0.25">
      <c r="B11" s="1273" t="s">
        <v>2211</v>
      </c>
      <c r="C11" s="1274"/>
      <c r="D11" s="1275"/>
      <c r="F11" s="572" t="s">
        <v>2165</v>
      </c>
      <c r="G11" s="573" t="s">
        <v>198</v>
      </c>
      <c r="H11" s="573">
        <v>16</v>
      </c>
      <c r="I11" s="573">
        <v>14</v>
      </c>
      <c r="J11" s="574">
        <v>12</v>
      </c>
      <c r="L11" s="1339"/>
      <c r="M11" s="1338"/>
      <c r="N11" s="1338"/>
      <c r="O11" s="1338"/>
      <c r="P11" s="1254"/>
      <c r="AP11" s="573"/>
      <c r="AQ11" s="573"/>
      <c r="AR11" s="573">
        <v>46</v>
      </c>
      <c r="AS11" s="573">
        <v>0.95</v>
      </c>
    </row>
    <row r="12" spans="2:45" ht="15.75" customHeight="1" thickBot="1" x14ac:dyDescent="0.3">
      <c r="B12" s="1276" t="e">
        <f ca="1">IF(ПОЛ=1, 1.23*(140-(YEAR(TODAY())-YEAR(дата_рождения)))*ВЕС_кг/Биохимия_креатинин,1.05*(140-(YEAR(TODAY())-YEAR(дата_рождения)))*ВЕС_кг/Биохимия_креатинин)</f>
        <v>#REF!</v>
      </c>
      <c r="C12" s="1277"/>
      <c r="D12" s="1278"/>
      <c r="F12" s="575" t="s">
        <v>2160</v>
      </c>
      <c r="G12" s="576" t="s">
        <v>198</v>
      </c>
      <c r="H12" s="576">
        <v>18</v>
      </c>
      <c r="I12" s="576">
        <v>16</v>
      </c>
      <c r="J12" s="577">
        <v>14</v>
      </c>
      <c r="L12" s="1339"/>
      <c r="M12" s="1338"/>
      <c r="N12" s="1338"/>
      <c r="O12" s="1340"/>
      <c r="P12" s="1336"/>
      <c r="AP12" s="573">
        <f>IF(P9=0,0,IF(P9&gt;5,47,IF(P9&lt;0,0,VLOOKUP(P9,$AP$14:$AQ$19,2,0))))</f>
        <v>49</v>
      </c>
      <c r="AQ12" s="573"/>
      <c r="AR12" s="573">
        <v>47</v>
      </c>
      <c r="AS12" s="573">
        <v>0.95</v>
      </c>
    </row>
    <row r="13" spans="2:45" ht="15.75" thickBot="1" x14ac:dyDescent="0.3">
      <c r="L13" s="1315" t="s">
        <v>2236</v>
      </c>
      <c r="M13" s="1316"/>
      <c r="N13" s="1317"/>
      <c r="O13" s="1321">
        <f>IF(AR3&lt;40,0.96, IF(AR3&gt;180,0.05, VLOOKUP(AR3,$AR$5:$AS$145,2,0)))</f>
        <v>0.32</v>
      </c>
      <c r="P13" s="1322"/>
      <c r="AP13" s="573" t="s">
        <v>2214</v>
      </c>
      <c r="AQ13" s="573" t="s">
        <v>2213</v>
      </c>
      <c r="AR13" s="573">
        <v>48</v>
      </c>
      <c r="AS13" s="573">
        <v>0.95</v>
      </c>
    </row>
    <row r="14" spans="2:45" ht="15.75" thickBot="1" x14ac:dyDescent="0.3">
      <c r="B14" s="1273" t="s">
        <v>2179</v>
      </c>
      <c r="C14" s="1274"/>
      <c r="D14" s="1275"/>
      <c r="L14" s="1318"/>
      <c r="M14" s="1319"/>
      <c r="N14" s="1320"/>
      <c r="O14" s="1323"/>
      <c r="P14" s="1324"/>
      <c r="AP14" s="573">
        <v>0</v>
      </c>
      <c r="AQ14" s="573">
        <v>0</v>
      </c>
      <c r="AR14" s="573">
        <v>49</v>
      </c>
      <c r="AS14" s="573">
        <v>0.95</v>
      </c>
    </row>
    <row r="15" spans="2:45" ht="15.75" customHeight="1" thickBot="1" x14ac:dyDescent="0.3">
      <c r="B15" s="1270">
        <f>IF(ОАК_лимфоциты=0, " ", ((ОАК_сегментоядерные+ОАК_палочки)/ОАК_лимфоциты))</f>
        <v>0.96078431372549022</v>
      </c>
      <c r="C15" s="1271"/>
      <c r="D15" s="1272"/>
      <c r="AP15" s="573">
        <v>1</v>
      </c>
      <c r="AQ15" s="573">
        <v>24</v>
      </c>
      <c r="AR15" s="573">
        <v>50</v>
      </c>
      <c r="AS15" s="573">
        <v>0.94</v>
      </c>
    </row>
    <row r="16" spans="2:45" ht="15.75" customHeight="1" thickBot="1" x14ac:dyDescent="0.3">
      <c r="AP16" s="573">
        <v>2</v>
      </c>
      <c r="AQ16" s="573">
        <v>25</v>
      </c>
      <c r="AR16" s="573">
        <v>51</v>
      </c>
      <c r="AS16" s="573">
        <v>0.94</v>
      </c>
    </row>
    <row r="17" spans="1:45" x14ac:dyDescent="0.25">
      <c r="B17" s="1264" t="s">
        <v>2207</v>
      </c>
      <c r="C17" s="1265"/>
      <c r="D17" s="1265"/>
      <c r="E17" s="1265"/>
      <c r="F17" s="1265"/>
      <c r="G17" s="1265"/>
      <c r="H17" s="1265"/>
      <c r="I17" s="1265"/>
      <c r="J17" s="1266"/>
      <c r="L17" s="1246" t="s">
        <v>2218</v>
      </c>
      <c r="M17" s="1247"/>
      <c r="N17" s="1247"/>
      <c r="O17" s="1247"/>
      <c r="P17" s="1248"/>
      <c r="AP17" s="573">
        <v>3</v>
      </c>
      <c r="AQ17" s="573">
        <v>26</v>
      </c>
      <c r="AR17" s="573">
        <v>52</v>
      </c>
      <c r="AS17" s="573">
        <v>0.94</v>
      </c>
    </row>
    <row r="18" spans="1:45" x14ac:dyDescent="0.25">
      <c r="B18" s="1311" t="s">
        <v>2200</v>
      </c>
      <c r="C18" s="974"/>
      <c r="D18" s="974"/>
      <c r="E18" s="974"/>
      <c r="F18" s="974"/>
      <c r="G18" s="1288" t="s">
        <v>2193</v>
      </c>
      <c r="H18" s="974"/>
      <c r="I18" s="974"/>
      <c r="J18" s="1289"/>
      <c r="L18" s="1249"/>
      <c r="M18" s="1250"/>
      <c r="N18" s="1250"/>
      <c r="O18" s="1250"/>
      <c r="P18" s="1251"/>
      <c r="AP18" s="573">
        <v>4</v>
      </c>
      <c r="AQ18" s="573">
        <v>45</v>
      </c>
      <c r="AR18" s="573">
        <v>53</v>
      </c>
      <c r="AS18" s="573">
        <v>0.94</v>
      </c>
    </row>
    <row r="19" spans="1:45" x14ac:dyDescent="0.25">
      <c r="B19" s="1287"/>
      <c r="C19" s="974"/>
      <c r="D19" s="974"/>
      <c r="E19" s="974"/>
      <c r="F19" s="974"/>
      <c r="G19" s="974"/>
      <c r="H19" s="974"/>
      <c r="I19" s="974"/>
      <c r="J19" s="1289"/>
      <c r="L19" s="1252" t="s">
        <v>2220</v>
      </c>
      <c r="M19" s="974"/>
      <c r="N19" s="974"/>
      <c r="O19" s="974"/>
      <c r="P19" s="574">
        <v>20</v>
      </c>
      <c r="AP19" s="573">
        <v>5</v>
      </c>
      <c r="AQ19" s="573">
        <v>49</v>
      </c>
      <c r="AR19" s="573">
        <v>54</v>
      </c>
      <c r="AS19" s="573">
        <v>0.94</v>
      </c>
    </row>
    <row r="20" spans="1:45" ht="15" customHeight="1" x14ac:dyDescent="0.25">
      <c r="A20" s="563"/>
      <c r="B20" s="1285" t="s">
        <v>2180</v>
      </c>
      <c r="C20" s="1286"/>
      <c r="D20" s="1286"/>
      <c r="E20" s="1286"/>
      <c r="F20" s="573">
        <v>0</v>
      </c>
      <c r="G20" s="1292" t="s">
        <v>2194</v>
      </c>
      <c r="H20" s="1292"/>
      <c r="I20" s="1292"/>
      <c r="J20" s="1295">
        <v>0</v>
      </c>
      <c r="L20" s="1252" t="s">
        <v>2221</v>
      </c>
      <c r="M20" s="974"/>
      <c r="N20" s="974"/>
      <c r="O20" s="974"/>
      <c r="P20" s="574">
        <v>8</v>
      </c>
      <c r="AP20" s="573"/>
      <c r="AQ20" s="573"/>
      <c r="AR20" s="573">
        <v>55</v>
      </c>
      <c r="AS20" s="573">
        <v>0.94</v>
      </c>
    </row>
    <row r="21" spans="1:45" ht="15" customHeight="1" x14ac:dyDescent="0.25">
      <c r="B21" s="1285" t="s">
        <v>2205</v>
      </c>
      <c r="C21" s="1286"/>
      <c r="D21" s="1286"/>
      <c r="E21" s="1286"/>
      <c r="F21" s="573">
        <v>0</v>
      </c>
      <c r="G21" s="1293"/>
      <c r="H21" s="1293"/>
      <c r="I21" s="1293"/>
      <c r="J21" s="1296"/>
      <c r="L21" s="1312" t="s">
        <v>2222</v>
      </c>
      <c r="M21" s="1313"/>
      <c r="N21" s="1313"/>
      <c r="O21" s="1313"/>
      <c r="P21" s="1253">
        <v>3</v>
      </c>
      <c r="AP21" s="579">
        <f>IF(P4=0,0,IF(P19&gt;110,100,VLOOKUP(P4,$AP$23:$AQ$141,2,0)))</f>
        <v>53</v>
      </c>
      <c r="AQ21" s="579"/>
      <c r="AR21" s="573">
        <v>56</v>
      </c>
      <c r="AS21" s="573">
        <v>0.93</v>
      </c>
    </row>
    <row r="22" spans="1:45" ht="15" customHeight="1" x14ac:dyDescent="0.25">
      <c r="B22" s="1285" t="s">
        <v>2181</v>
      </c>
      <c r="C22" s="1286"/>
      <c r="D22" s="1286"/>
      <c r="E22" s="1286"/>
      <c r="F22" s="573">
        <v>0</v>
      </c>
      <c r="G22" s="1292" t="s">
        <v>2195</v>
      </c>
      <c r="H22" s="1292"/>
      <c r="I22" s="1292"/>
      <c r="J22" s="1296"/>
      <c r="L22" s="1314"/>
      <c r="M22" s="1313"/>
      <c r="N22" s="1313"/>
      <c r="O22" s="1313"/>
      <c r="P22" s="1254"/>
      <c r="AP22" s="579" t="s">
        <v>2212</v>
      </c>
      <c r="AQ22" s="579" t="s">
        <v>2213</v>
      </c>
      <c r="AR22" s="573">
        <v>57</v>
      </c>
      <c r="AS22" s="573">
        <v>0.93</v>
      </c>
    </row>
    <row r="23" spans="1:45" ht="15" customHeight="1" x14ac:dyDescent="0.25">
      <c r="B23" s="1285" t="s">
        <v>2206</v>
      </c>
      <c r="C23" s="1286"/>
      <c r="D23" s="1286"/>
      <c r="E23" s="1286"/>
      <c r="F23" s="573">
        <v>0</v>
      </c>
      <c r="G23" s="1293"/>
      <c r="H23" s="1293"/>
      <c r="I23" s="1293"/>
      <c r="J23" s="1296"/>
      <c r="L23" s="1314"/>
      <c r="M23" s="1313"/>
      <c r="N23" s="1313"/>
      <c r="O23" s="1313"/>
      <c r="P23" s="1254"/>
      <c r="AP23" s="579">
        <v>0.1</v>
      </c>
      <c r="AQ23" s="579">
        <v>0</v>
      </c>
      <c r="AR23" s="573">
        <v>58</v>
      </c>
      <c r="AS23" s="573">
        <v>0.93</v>
      </c>
    </row>
    <row r="24" spans="1:45" ht="15" customHeight="1" x14ac:dyDescent="0.25">
      <c r="B24" s="1285" t="s">
        <v>2182</v>
      </c>
      <c r="C24" s="1286"/>
      <c r="D24" s="1286"/>
      <c r="E24" s="1286"/>
      <c r="F24" s="573">
        <v>0</v>
      </c>
      <c r="G24" s="1292" t="s">
        <v>2196</v>
      </c>
      <c r="H24" s="1292"/>
      <c r="I24" s="1292"/>
      <c r="J24" s="1296"/>
      <c r="L24" s="1314"/>
      <c r="M24" s="1313"/>
      <c r="N24" s="1313"/>
      <c r="O24" s="1313"/>
      <c r="P24" s="1254"/>
      <c r="AP24" s="579">
        <v>0.2</v>
      </c>
      <c r="AQ24" s="579">
        <v>3</v>
      </c>
      <c r="AR24" s="573">
        <v>59</v>
      </c>
      <c r="AS24" s="573">
        <v>0.93</v>
      </c>
    </row>
    <row r="25" spans="1:45" ht="15" customHeight="1" x14ac:dyDescent="0.25">
      <c r="B25" s="1285" t="s">
        <v>2183</v>
      </c>
      <c r="C25" s="1286"/>
      <c r="D25" s="1286"/>
      <c r="E25" s="1286"/>
      <c r="F25" s="573">
        <v>0</v>
      </c>
      <c r="G25" s="1293"/>
      <c r="H25" s="1293"/>
      <c r="I25" s="1293"/>
      <c r="J25" s="1297"/>
      <c r="L25" s="1312" t="s">
        <v>2223</v>
      </c>
      <c r="M25" s="1313"/>
      <c r="N25" s="1313"/>
      <c r="O25" s="1313"/>
      <c r="P25" s="1253">
        <v>1</v>
      </c>
      <c r="AP25" s="579">
        <v>0.3</v>
      </c>
      <c r="AQ25" s="579">
        <v>6</v>
      </c>
      <c r="AR25" s="573">
        <v>60</v>
      </c>
      <c r="AS25" s="573">
        <v>0.93</v>
      </c>
    </row>
    <row r="26" spans="1:45" ht="15" customHeight="1" x14ac:dyDescent="0.25">
      <c r="B26" s="1285" t="s">
        <v>2188</v>
      </c>
      <c r="C26" s="1286"/>
      <c r="D26" s="1286"/>
      <c r="E26" s="1286"/>
      <c r="F26" s="573">
        <v>0</v>
      </c>
      <c r="G26" s="1292" t="s">
        <v>2197</v>
      </c>
      <c r="H26" s="1292"/>
      <c r="I26" s="1292"/>
      <c r="J26" s="1297"/>
      <c r="L26" s="1314"/>
      <c r="M26" s="1313"/>
      <c r="N26" s="1313"/>
      <c r="O26" s="1313"/>
      <c r="P26" s="1254"/>
      <c r="AP26" s="579">
        <v>0.4</v>
      </c>
      <c r="AQ26" s="579">
        <v>9</v>
      </c>
      <c r="AR26" s="573">
        <v>61</v>
      </c>
      <c r="AS26" s="573">
        <v>0.92</v>
      </c>
    </row>
    <row r="27" spans="1:45" ht="15" customHeight="1" x14ac:dyDescent="0.25">
      <c r="B27" s="1285" t="s">
        <v>2189</v>
      </c>
      <c r="C27" s="1286"/>
      <c r="D27" s="1286"/>
      <c r="E27" s="1286"/>
      <c r="F27" s="573">
        <v>0</v>
      </c>
      <c r="G27" s="1293"/>
      <c r="H27" s="1293"/>
      <c r="I27" s="1293"/>
      <c r="J27" s="1297"/>
      <c r="L27" s="1312" t="s">
        <v>2224</v>
      </c>
      <c r="M27" s="1313"/>
      <c r="N27" s="1313"/>
      <c r="O27" s="1313"/>
      <c r="P27" s="1253">
        <v>0</v>
      </c>
      <c r="AP27" s="579">
        <v>0.5</v>
      </c>
      <c r="AQ27" s="579">
        <v>12</v>
      </c>
      <c r="AR27" s="573">
        <v>62</v>
      </c>
      <c r="AS27" s="573">
        <v>0.92</v>
      </c>
    </row>
    <row r="28" spans="1:45" x14ac:dyDescent="0.25">
      <c r="B28" s="1285" t="s">
        <v>2199</v>
      </c>
      <c r="C28" s="1286"/>
      <c r="D28" s="1286"/>
      <c r="E28" s="1286"/>
      <c r="F28" s="1294">
        <v>0</v>
      </c>
      <c r="G28" s="1292" t="s">
        <v>2198</v>
      </c>
      <c r="H28" s="1292"/>
      <c r="I28" s="1292"/>
      <c r="J28" s="1297"/>
      <c r="L28" s="1314"/>
      <c r="M28" s="1313"/>
      <c r="N28" s="1313"/>
      <c r="O28" s="1313"/>
      <c r="P28" s="1254"/>
      <c r="AP28" s="579">
        <v>0.6</v>
      </c>
      <c r="AQ28" s="579">
        <v>15</v>
      </c>
      <c r="AR28" s="573">
        <v>63</v>
      </c>
      <c r="AS28" s="573">
        <v>0.92</v>
      </c>
    </row>
    <row r="29" spans="1:45" ht="15" customHeight="1" thickBot="1" x14ac:dyDescent="0.3">
      <c r="A29" s="578"/>
      <c r="B29" s="1252"/>
      <c r="C29" s="1293"/>
      <c r="D29" s="1293"/>
      <c r="E29" s="1293"/>
      <c r="F29" s="1293"/>
      <c r="G29" s="1342"/>
      <c r="H29" s="1342"/>
      <c r="I29" s="1342"/>
      <c r="J29" s="1298"/>
      <c r="L29" s="1312" t="s">
        <v>2225</v>
      </c>
      <c r="M29" s="1313"/>
      <c r="N29" s="1313"/>
      <c r="O29" s="1313"/>
      <c r="P29" s="1253">
        <v>0</v>
      </c>
      <c r="AP29" s="579">
        <v>0.7</v>
      </c>
      <c r="AQ29" s="579">
        <v>18</v>
      </c>
      <c r="AR29" s="573">
        <v>64</v>
      </c>
      <c r="AS29" s="573">
        <v>0.92</v>
      </c>
    </row>
    <row r="30" spans="1:45" ht="15" customHeight="1" thickBot="1" x14ac:dyDescent="0.3">
      <c r="A30" s="578"/>
      <c r="B30" s="1285" t="s">
        <v>2190</v>
      </c>
      <c r="C30" s="1286"/>
      <c r="D30" s="1286"/>
      <c r="E30" s="1286"/>
      <c r="F30" s="1283">
        <v>0</v>
      </c>
      <c r="G30" s="1299">
        <f>0.983^(EXP((F20+F21+F22+F23+F24+F25+F26+F27+F28+F30+F32+F33+F34+F35+F37+F39+J20)*0.9))</f>
        <v>0.98299999999999998</v>
      </c>
      <c r="H30" s="1300"/>
      <c r="I30" s="1300"/>
      <c r="J30" s="1301"/>
      <c r="L30" s="1314"/>
      <c r="M30" s="1313"/>
      <c r="N30" s="1313"/>
      <c r="O30" s="1335"/>
      <c r="P30" s="1336"/>
      <c r="AP30" s="579">
        <v>0.8</v>
      </c>
      <c r="AQ30" s="579">
        <v>21</v>
      </c>
      <c r="AR30" s="573">
        <v>65</v>
      </c>
      <c r="AS30" s="573">
        <v>0.92</v>
      </c>
    </row>
    <row r="31" spans="1:45" ht="15" customHeight="1" x14ac:dyDescent="0.25">
      <c r="B31" s="1252"/>
      <c r="C31" s="1293"/>
      <c r="D31" s="1293"/>
      <c r="E31" s="1293"/>
      <c r="F31" s="1347"/>
      <c r="G31" s="1302"/>
      <c r="H31" s="1303"/>
      <c r="I31" s="1303"/>
      <c r="J31" s="1304"/>
      <c r="L31" s="1315" t="s">
        <v>2227</v>
      </c>
      <c r="M31" s="1316"/>
      <c r="N31" s="1317"/>
      <c r="O31" s="1321">
        <f>IF(AQ182&lt;70,0.99, IF(AQ182&gt;241,0.01, VLOOKUP(AQ182,$AR$150:$AS$321,2,0)))</f>
        <v>0.13200000000000001</v>
      </c>
      <c r="P31" s="1322"/>
      <c r="AP31" s="579">
        <v>0.9</v>
      </c>
      <c r="AQ31" s="579">
        <v>24</v>
      </c>
      <c r="AR31" s="573">
        <v>66</v>
      </c>
      <c r="AS31" s="573">
        <v>0.91</v>
      </c>
    </row>
    <row r="32" spans="1:45" ht="15" customHeight="1" thickBot="1" x14ac:dyDescent="0.3">
      <c r="B32" s="1285" t="s">
        <v>2184</v>
      </c>
      <c r="C32" s="1286"/>
      <c r="D32" s="1286"/>
      <c r="E32" s="1286"/>
      <c r="F32" s="602">
        <v>0</v>
      </c>
      <c r="G32" s="1302"/>
      <c r="H32" s="1303"/>
      <c r="I32" s="1303"/>
      <c r="J32" s="1304"/>
      <c r="L32" s="1318"/>
      <c r="M32" s="1319"/>
      <c r="N32" s="1320"/>
      <c r="O32" s="1323"/>
      <c r="P32" s="1324"/>
      <c r="AP32" s="579">
        <v>1</v>
      </c>
      <c r="AQ32" s="579">
        <v>25</v>
      </c>
      <c r="AR32" s="573">
        <v>67</v>
      </c>
      <c r="AS32" s="573">
        <v>0.91</v>
      </c>
    </row>
    <row r="33" spans="1:45" ht="15" customHeight="1" x14ac:dyDescent="0.25">
      <c r="B33" s="1285" t="s">
        <v>2185</v>
      </c>
      <c r="C33" s="1286"/>
      <c r="D33" s="1286"/>
      <c r="E33" s="1286"/>
      <c r="F33" s="602">
        <v>0</v>
      </c>
      <c r="G33" s="1302"/>
      <c r="H33" s="1303"/>
      <c r="I33" s="1303"/>
      <c r="J33" s="1304"/>
      <c r="AP33" s="579">
        <v>2</v>
      </c>
      <c r="AQ33" s="579">
        <v>32</v>
      </c>
      <c r="AR33" s="573">
        <v>68</v>
      </c>
      <c r="AS33" s="573">
        <v>0.91</v>
      </c>
    </row>
    <row r="34" spans="1:45" ht="18.75" customHeight="1" thickBot="1" x14ac:dyDescent="0.3">
      <c r="A34" s="578"/>
      <c r="B34" s="1285" t="s">
        <v>2186</v>
      </c>
      <c r="C34" s="1286"/>
      <c r="D34" s="1286"/>
      <c r="E34" s="1286"/>
      <c r="F34" s="602">
        <v>0</v>
      </c>
      <c r="G34" s="1302"/>
      <c r="H34" s="1303"/>
      <c r="I34" s="1303"/>
      <c r="J34" s="1304"/>
      <c r="AP34" s="579">
        <v>3</v>
      </c>
      <c r="AQ34" s="579">
        <v>34</v>
      </c>
      <c r="AR34" s="573">
        <v>69</v>
      </c>
      <c r="AS34" s="573">
        <v>0.91</v>
      </c>
    </row>
    <row r="35" spans="1:45" ht="16.5" customHeight="1" x14ac:dyDescent="0.25">
      <c r="A35" s="578"/>
      <c r="B35" s="1285" t="s">
        <v>2191</v>
      </c>
      <c r="C35" s="1286"/>
      <c r="D35" s="1286"/>
      <c r="E35" s="1286"/>
      <c r="F35" s="1283">
        <v>0</v>
      </c>
      <c r="G35" s="1302"/>
      <c r="H35" s="1303"/>
      <c r="I35" s="1303"/>
      <c r="J35" s="1304"/>
      <c r="L35" s="1246" t="s">
        <v>2273</v>
      </c>
      <c r="M35" s="1247"/>
      <c r="N35" s="1247"/>
      <c r="O35" s="1247"/>
      <c r="P35" s="1248"/>
      <c r="AP35" s="579">
        <v>4</v>
      </c>
      <c r="AQ35" s="579">
        <v>37</v>
      </c>
      <c r="AR35" s="573">
        <v>70</v>
      </c>
      <c r="AS35" s="573">
        <v>0.91</v>
      </c>
    </row>
    <row r="36" spans="1:45" ht="15.75" customHeight="1" x14ac:dyDescent="0.25">
      <c r="B36" s="1287"/>
      <c r="C36" s="974"/>
      <c r="D36" s="974"/>
      <c r="E36" s="974"/>
      <c r="F36" s="1284"/>
      <c r="G36" s="1302"/>
      <c r="H36" s="1303"/>
      <c r="I36" s="1303"/>
      <c r="J36" s="1304"/>
      <c r="L36" s="1249"/>
      <c r="M36" s="1250"/>
      <c r="N36" s="1250"/>
      <c r="O36" s="1250"/>
      <c r="P36" s="1251"/>
      <c r="AP36" s="579">
        <v>5</v>
      </c>
      <c r="AQ36" s="579">
        <v>38</v>
      </c>
      <c r="AR36" s="573">
        <v>71</v>
      </c>
      <c r="AS36" s="573">
        <v>0.9</v>
      </c>
    </row>
    <row r="37" spans="1:45" ht="15" customHeight="1" x14ac:dyDescent="0.25">
      <c r="B37" s="1285" t="s">
        <v>2192</v>
      </c>
      <c r="C37" s="1286"/>
      <c r="D37" s="1286"/>
      <c r="E37" s="1286"/>
      <c r="F37" s="1283">
        <v>0</v>
      </c>
      <c r="G37" s="1305"/>
      <c r="H37" s="1306"/>
      <c r="I37" s="1306"/>
      <c r="J37" s="1307"/>
      <c r="L37" s="1252" t="s">
        <v>2260</v>
      </c>
      <c r="M37" s="974"/>
      <c r="N37" s="974"/>
      <c r="O37" s="974"/>
      <c r="P37" s="582">
        <v>4</v>
      </c>
      <c r="AP37" s="579">
        <v>6</v>
      </c>
      <c r="AQ37" s="579">
        <v>39</v>
      </c>
      <c r="AR37" s="573">
        <v>72</v>
      </c>
      <c r="AS37" s="573">
        <v>0.9</v>
      </c>
    </row>
    <row r="38" spans="1:45" x14ac:dyDescent="0.25">
      <c r="B38" s="1287"/>
      <c r="C38" s="974"/>
      <c r="D38" s="974"/>
      <c r="E38" s="974"/>
      <c r="F38" s="1284"/>
      <c r="G38" s="1305"/>
      <c r="H38" s="1306"/>
      <c r="I38" s="1306"/>
      <c r="J38" s="1307"/>
      <c r="L38" s="1312" t="s">
        <v>2261</v>
      </c>
      <c r="M38" s="1313"/>
      <c r="N38" s="1313"/>
      <c r="O38" s="1313"/>
      <c r="P38" s="1253">
        <v>3</v>
      </c>
      <c r="AP38" s="579">
        <v>7</v>
      </c>
      <c r="AQ38" s="579">
        <v>43</v>
      </c>
      <c r="AR38" s="573">
        <v>73</v>
      </c>
      <c r="AS38" s="573">
        <v>0.89</v>
      </c>
    </row>
    <row r="39" spans="1:45" ht="15.75" thickBot="1" x14ac:dyDescent="0.3">
      <c r="B39" s="1259" t="s">
        <v>2187</v>
      </c>
      <c r="C39" s="1260"/>
      <c r="D39" s="1260"/>
      <c r="E39" s="1260"/>
      <c r="F39" s="603">
        <v>0</v>
      </c>
      <c r="G39" s="1308"/>
      <c r="H39" s="1309"/>
      <c r="I39" s="1309"/>
      <c r="J39" s="1310"/>
      <c r="L39" s="1314"/>
      <c r="M39" s="1313"/>
      <c r="N39" s="1313"/>
      <c r="O39" s="1313"/>
      <c r="P39" s="1254"/>
      <c r="AP39" s="579">
        <v>8</v>
      </c>
      <c r="AQ39" s="579">
        <v>47</v>
      </c>
      <c r="AR39" s="573">
        <v>74</v>
      </c>
      <c r="AS39" s="573">
        <v>0.89</v>
      </c>
    </row>
    <row r="40" spans="1:45" ht="15.75" thickBot="1" x14ac:dyDescent="0.3">
      <c r="L40" s="1312" t="s">
        <v>2262</v>
      </c>
      <c r="M40" s="1313"/>
      <c r="N40" s="1313"/>
      <c r="O40" s="1313"/>
      <c r="P40" s="1253">
        <v>4</v>
      </c>
      <c r="AP40" s="579">
        <v>9</v>
      </c>
      <c r="AQ40" s="579">
        <v>53</v>
      </c>
      <c r="AR40" s="573">
        <v>75</v>
      </c>
      <c r="AS40" s="573">
        <v>0.88</v>
      </c>
    </row>
    <row r="41" spans="1:45" ht="15.75" thickBot="1" x14ac:dyDescent="0.3">
      <c r="B41" s="1267" t="s">
        <v>2202</v>
      </c>
      <c r="C41" s="1290"/>
      <c r="D41" s="1291"/>
      <c r="L41" s="1314"/>
      <c r="M41" s="1313"/>
      <c r="N41" s="1313"/>
      <c r="O41" s="1313"/>
      <c r="P41" s="1254"/>
      <c r="AP41" s="579">
        <v>10</v>
      </c>
      <c r="AQ41" s="579">
        <v>56</v>
      </c>
      <c r="AR41" s="573">
        <v>76</v>
      </c>
      <c r="AS41" s="573">
        <v>0.88</v>
      </c>
    </row>
    <row r="42" spans="1:45" ht="15.75" thickBot="1" x14ac:dyDescent="0.3">
      <c r="B42" s="1344" t="str">
        <f>IF(РОСТ__см=0," ",IF(ВЕС_кг=0," ",0.007184*(ВЕС_кг^0.425)*(РОСТ__см^0.725)))</f>
        <v xml:space="preserve"> </v>
      </c>
      <c r="C42" s="1345"/>
      <c r="D42" s="1346"/>
      <c r="G42" s="1343" t="s">
        <v>2238</v>
      </c>
      <c r="H42" s="1290"/>
      <c r="I42" s="1290"/>
      <c r="J42" s="1291"/>
      <c r="L42" s="1314"/>
      <c r="M42" s="1313"/>
      <c r="N42" s="1313"/>
      <c r="O42" s="1335"/>
      <c r="P42" s="1336"/>
      <c r="AP42" s="579">
        <v>11</v>
      </c>
      <c r="AQ42" s="579">
        <v>60</v>
      </c>
      <c r="AR42" s="573">
        <v>77</v>
      </c>
      <c r="AS42" s="573">
        <v>0.87</v>
      </c>
    </row>
    <row r="43" spans="1:45" ht="15.75" thickBot="1" x14ac:dyDescent="0.3">
      <c r="G43" s="1328" t="s">
        <v>2168</v>
      </c>
      <c r="H43" s="1329"/>
      <c r="I43" s="1330" t="s">
        <v>2169</v>
      </c>
      <c r="J43" s="1282"/>
      <c r="L43" s="1315" t="s">
        <v>2269</v>
      </c>
      <c r="M43" s="1316"/>
      <c r="N43" s="1317"/>
      <c r="O43" s="1321">
        <f>IF(AR341&lt;17,0.01, IF(AR341&gt;220,0.92, VLOOKUP(AR341,$AR$344:$AS$547,2,0)))</f>
        <v>0.57999999999999996</v>
      </c>
      <c r="P43" s="1322"/>
      <c r="AP43" s="579">
        <v>12</v>
      </c>
      <c r="AQ43" s="579">
        <v>64</v>
      </c>
      <c r="AR43" s="573">
        <v>78</v>
      </c>
      <c r="AS43" s="573">
        <v>0.87</v>
      </c>
    </row>
    <row r="44" spans="1:45" ht="15.75" thickBot="1" x14ac:dyDescent="0.3">
      <c r="B44" s="1267" t="s">
        <v>2203</v>
      </c>
      <c r="C44" s="1290"/>
      <c r="D44" s="1291"/>
      <c r="G44" s="1331" t="s">
        <v>2170</v>
      </c>
      <c r="H44" s="1332"/>
      <c r="I44" s="1257" t="s">
        <v>2171</v>
      </c>
      <c r="J44" s="1258"/>
      <c r="L44" s="1318"/>
      <c r="M44" s="1319"/>
      <c r="N44" s="1320"/>
      <c r="O44" s="1323"/>
      <c r="P44" s="1324"/>
      <c r="AP44" s="579">
        <v>13</v>
      </c>
      <c r="AQ44" s="579">
        <v>65</v>
      </c>
      <c r="AR44" s="573">
        <v>79</v>
      </c>
      <c r="AS44" s="573">
        <v>0.86</v>
      </c>
    </row>
    <row r="45" spans="1:45" ht="15.75" thickBot="1" x14ac:dyDescent="0.3">
      <c r="B45" s="1261" t="str">
        <f>IF(РОСТ__см=0," ",IF(ВЕС_кг=0," ",IF(ПОЛ=1,((1.1*ВЕС_кг)-(128*((ВЕС_кг^2)/((100*РОСТ__см)^2)))),((1.07*ВЕС_кг)-148*(((ВЕС_кг^2)/((100*РОСТ__см)^2)))))))</f>
        <v xml:space="preserve"> </v>
      </c>
      <c r="C45" s="1262"/>
      <c r="D45" s="1263"/>
      <c r="G45" s="1331" t="s">
        <v>2172</v>
      </c>
      <c r="H45" s="1332"/>
      <c r="I45" s="1257" t="s">
        <v>2173</v>
      </c>
      <c r="J45" s="1258"/>
      <c r="AP45" s="579">
        <v>14</v>
      </c>
      <c r="AQ45" s="579">
        <v>67</v>
      </c>
      <c r="AR45" s="573">
        <v>80</v>
      </c>
      <c r="AS45" s="573">
        <v>0.86</v>
      </c>
    </row>
    <row r="46" spans="1:45" ht="15.75" thickBot="1" x14ac:dyDescent="0.3">
      <c r="G46" s="1331" t="s">
        <v>2174</v>
      </c>
      <c r="H46" s="1332"/>
      <c r="I46" s="1257" t="s">
        <v>2175</v>
      </c>
      <c r="J46" s="1258"/>
      <c r="AP46" s="579">
        <v>15</v>
      </c>
      <c r="AQ46" s="579">
        <v>69</v>
      </c>
      <c r="AR46" s="573">
        <v>81</v>
      </c>
      <c r="AS46" s="573">
        <v>0.85</v>
      </c>
    </row>
    <row r="47" spans="1:45" ht="15.75" thickBot="1" x14ac:dyDescent="0.3">
      <c r="B47" s="1267" t="s">
        <v>2201</v>
      </c>
      <c r="C47" s="1290"/>
      <c r="D47" s="1291"/>
      <c r="G47" s="1255" t="s">
        <v>2176</v>
      </c>
      <c r="H47" s="1256"/>
      <c r="I47" s="1333" t="s">
        <v>2177</v>
      </c>
      <c r="J47" s="1334"/>
      <c r="L47" s="1246" t="s">
        <v>2283</v>
      </c>
      <c r="M47" s="1247"/>
      <c r="N47" s="1247"/>
      <c r="O47" s="1247"/>
      <c r="P47" s="1248"/>
      <c r="AP47" s="579">
        <v>16</v>
      </c>
      <c r="AQ47" s="579">
        <v>72</v>
      </c>
      <c r="AR47" s="573">
        <v>82</v>
      </c>
      <c r="AS47" s="573">
        <v>0.85</v>
      </c>
    </row>
    <row r="48" spans="1:45" ht="15.75" thickBot="1" x14ac:dyDescent="0.3">
      <c r="B48" s="1344" t="str">
        <f ca="1">IF(РОСТ__см=0," ",IF(ВЕС_кг=0," ",IF(ПОЛ=1,66.5+(13.75+ВЕС_кг)+(5.003*РОСТ__см)-(6.775*(YEAR(TODAY())-YEAR(дата_рождения))),655.1+(9.563*ВЕС_кг)+(1.85*РОСТ__см)-(4.676*(YEAR(TODAY())-YEAR(дата_рождения))))))</f>
        <v xml:space="preserve"> </v>
      </c>
      <c r="C48" s="1345"/>
      <c r="D48" s="1346"/>
      <c r="L48" s="1249"/>
      <c r="M48" s="1250"/>
      <c r="N48" s="1250"/>
      <c r="O48" s="1250"/>
      <c r="P48" s="1251"/>
      <c r="AP48" s="579">
        <v>17</v>
      </c>
      <c r="AQ48" s="579">
        <v>73</v>
      </c>
      <c r="AR48" s="573">
        <v>83</v>
      </c>
      <c r="AS48" s="573">
        <v>0.84</v>
      </c>
    </row>
    <row r="49" spans="2:45" ht="15.75" thickBot="1" x14ac:dyDescent="0.3">
      <c r="L49" s="1348" t="s">
        <v>2277</v>
      </c>
      <c r="M49" s="1349"/>
      <c r="N49" s="1349"/>
      <c r="O49" s="1349"/>
      <c r="P49" s="600">
        <v>7</v>
      </c>
      <c r="AP49" s="579">
        <v>18</v>
      </c>
      <c r="AQ49" s="579">
        <v>74</v>
      </c>
      <c r="AR49" s="573">
        <v>84</v>
      </c>
      <c r="AS49" s="573">
        <v>0.84</v>
      </c>
    </row>
    <row r="50" spans="2:45" x14ac:dyDescent="0.25">
      <c r="B50" s="1267" t="s">
        <v>2204</v>
      </c>
      <c r="C50" s="1290"/>
      <c r="D50" s="1291"/>
      <c r="L50" s="1348" t="s">
        <v>2276</v>
      </c>
      <c r="M50" s="1349"/>
      <c r="N50" s="1349"/>
      <c r="O50" s="1349"/>
      <c r="P50" s="600">
        <v>3</v>
      </c>
      <c r="AP50" s="579">
        <v>19</v>
      </c>
      <c r="AQ50" s="579">
        <v>75</v>
      </c>
      <c r="AR50" s="573">
        <v>85</v>
      </c>
      <c r="AS50" s="573">
        <v>0.84</v>
      </c>
    </row>
    <row r="51" spans="2:45" ht="15.75" thickBot="1" x14ac:dyDescent="0.3">
      <c r="B51" s="1261" t="str">
        <f>IF(РОСТ__см=0, " ", IF( ВЕС_кг=0, " ", IF(ПОЛ=1,50+(0.9*(РОСТ__см-150)),45+(0.9*(РОСТ__см-150)))))</f>
        <v xml:space="preserve"> </v>
      </c>
      <c r="C51" s="1262"/>
      <c r="D51" s="1263"/>
      <c r="L51" s="1348" t="s">
        <v>2274</v>
      </c>
      <c r="M51" s="974"/>
      <c r="N51" s="974"/>
      <c r="O51" s="974"/>
      <c r="P51" s="600">
        <v>4</v>
      </c>
      <c r="AP51" s="579">
        <v>20</v>
      </c>
      <c r="AQ51" s="579">
        <v>76</v>
      </c>
      <c r="AR51" s="573">
        <v>86</v>
      </c>
      <c r="AS51" s="573">
        <v>0.83</v>
      </c>
    </row>
    <row r="52" spans="2:45" ht="15.75" thickBot="1" x14ac:dyDescent="0.3">
      <c r="L52" s="1350" t="s">
        <v>2280</v>
      </c>
      <c r="M52" s="1313"/>
      <c r="N52" s="1313"/>
      <c r="O52" s="1313"/>
      <c r="P52" s="1253">
        <v>1</v>
      </c>
      <c r="AP52" s="579">
        <v>21</v>
      </c>
      <c r="AQ52" s="579">
        <v>77</v>
      </c>
      <c r="AR52" s="573">
        <v>87</v>
      </c>
      <c r="AS52" s="573">
        <v>0.83</v>
      </c>
    </row>
    <row r="53" spans="2:45" ht="15.75" thickBot="1" x14ac:dyDescent="0.3">
      <c r="B53" s="1267" t="s">
        <v>2167</v>
      </c>
      <c r="C53" s="1290"/>
      <c r="D53" s="1291"/>
      <c r="L53" s="1314"/>
      <c r="M53" s="1313"/>
      <c r="N53" s="1313"/>
      <c r="O53" s="1313"/>
      <c r="P53" s="1254"/>
      <c r="AP53" s="579">
        <v>22</v>
      </c>
      <c r="AQ53" s="579">
        <v>77</v>
      </c>
      <c r="AR53" s="573">
        <v>88</v>
      </c>
      <c r="AS53" s="573">
        <v>0.82</v>
      </c>
    </row>
    <row r="54" spans="2:45" x14ac:dyDescent="0.25">
      <c r="B54" s="1325" t="str">
        <f>IF(РОСТ__см=0, " ", IF( ВЕС_кг=0, " ", ВЕС_кг/((РОСТ__см/100)^2)))</f>
        <v xml:space="preserve"> </v>
      </c>
      <c r="C54" s="1326"/>
      <c r="D54" s="1327"/>
      <c r="L54" s="1287"/>
      <c r="M54" s="974"/>
      <c r="N54" s="974"/>
      <c r="O54" s="974"/>
      <c r="P54" s="1289"/>
      <c r="AP54" s="579">
        <v>23</v>
      </c>
      <c r="AQ54" s="579">
        <v>77</v>
      </c>
      <c r="AR54" s="573">
        <v>89</v>
      </c>
      <c r="AS54" s="573">
        <v>0.82</v>
      </c>
    </row>
    <row r="55" spans="2:45" x14ac:dyDescent="0.25">
      <c r="L55" s="1350" t="s">
        <v>2275</v>
      </c>
      <c r="M55" s="1313"/>
      <c r="N55" s="1313"/>
      <c r="O55" s="1313"/>
      <c r="P55" s="1253">
        <v>80</v>
      </c>
      <c r="AP55" s="579">
        <v>24</v>
      </c>
      <c r="AQ55" s="579">
        <v>78</v>
      </c>
      <c r="AR55" s="573">
        <v>90</v>
      </c>
      <c r="AS55" s="573">
        <v>0.81</v>
      </c>
    </row>
    <row r="56" spans="2:45" ht="15.75" thickBot="1" x14ac:dyDescent="0.3">
      <c r="L56" s="1314"/>
      <c r="M56" s="1313"/>
      <c r="N56" s="1313"/>
      <c r="O56" s="1335"/>
      <c r="P56" s="1336"/>
      <c r="AP56" s="579">
        <v>25</v>
      </c>
      <c r="AQ56" s="579">
        <v>78</v>
      </c>
      <c r="AR56" s="573">
        <v>91</v>
      </c>
      <c r="AS56" s="573">
        <v>0.81</v>
      </c>
    </row>
    <row r="57" spans="2:45" x14ac:dyDescent="0.25">
      <c r="L57" s="1315" t="s">
        <v>2284</v>
      </c>
      <c r="M57" s="1316"/>
      <c r="N57" s="1317"/>
      <c r="O57" s="1321">
        <f>IF(AQ551&lt;70,0, IF(AQ551&gt;142,0.8, VLOOKUP(AQ551,$AP$635:$AQ$707,2,0)))</f>
        <v>0.47299999999999998</v>
      </c>
      <c r="P57" s="1322"/>
      <c r="AP57" s="579">
        <v>26</v>
      </c>
      <c r="AQ57" s="579">
        <v>78</v>
      </c>
      <c r="AR57" s="573">
        <v>92</v>
      </c>
      <c r="AS57" s="573">
        <v>0.8</v>
      </c>
    </row>
    <row r="58" spans="2:45" ht="15.75" thickBot="1" x14ac:dyDescent="0.3">
      <c r="L58" s="1318"/>
      <c r="M58" s="1319"/>
      <c r="N58" s="1320"/>
      <c r="O58" s="1323"/>
      <c r="P58" s="1324"/>
      <c r="AP58" s="579">
        <v>27</v>
      </c>
      <c r="AQ58" s="579">
        <v>79</v>
      </c>
      <c r="AR58" s="573">
        <v>93</v>
      </c>
      <c r="AS58" s="573">
        <v>0.8</v>
      </c>
    </row>
    <row r="59" spans="2:45" x14ac:dyDescent="0.25">
      <c r="AP59" s="579">
        <v>28</v>
      </c>
      <c r="AQ59" s="579">
        <v>79</v>
      </c>
      <c r="AR59" s="573">
        <v>94</v>
      </c>
      <c r="AS59" s="573">
        <v>0.79</v>
      </c>
    </row>
    <row r="60" spans="2:45" x14ac:dyDescent="0.25">
      <c r="AP60" s="579">
        <v>29</v>
      </c>
      <c r="AQ60" s="579">
        <v>80</v>
      </c>
      <c r="AR60" s="573">
        <v>95</v>
      </c>
      <c r="AS60" s="573">
        <v>0.79</v>
      </c>
    </row>
    <row r="61" spans="2:45" x14ac:dyDescent="0.25">
      <c r="AP61" s="579">
        <v>30</v>
      </c>
      <c r="AQ61" s="579">
        <v>81</v>
      </c>
      <c r="AR61" s="573">
        <v>96</v>
      </c>
      <c r="AS61" s="573">
        <v>0.78</v>
      </c>
    </row>
    <row r="62" spans="2:45" x14ac:dyDescent="0.25">
      <c r="AP62" s="579">
        <v>31</v>
      </c>
      <c r="AQ62" s="579">
        <v>81</v>
      </c>
      <c r="AR62" s="573">
        <v>97</v>
      </c>
      <c r="AS62" s="573">
        <v>0.78</v>
      </c>
    </row>
    <row r="63" spans="2:45" x14ac:dyDescent="0.25">
      <c r="AP63" s="579">
        <v>32</v>
      </c>
      <c r="AQ63" s="579">
        <v>82</v>
      </c>
      <c r="AR63" s="573">
        <v>98</v>
      </c>
      <c r="AS63" s="573">
        <v>0.77</v>
      </c>
    </row>
    <row r="64" spans="2:45" x14ac:dyDescent="0.25">
      <c r="AP64" s="579">
        <v>33</v>
      </c>
      <c r="AQ64" s="579">
        <v>82</v>
      </c>
      <c r="AR64" s="573">
        <v>99</v>
      </c>
      <c r="AS64" s="573">
        <v>0.77</v>
      </c>
    </row>
    <row r="65" spans="42:45" x14ac:dyDescent="0.25">
      <c r="AP65" s="579">
        <v>34</v>
      </c>
      <c r="AQ65" s="579">
        <v>83</v>
      </c>
      <c r="AR65" s="573">
        <v>100</v>
      </c>
      <c r="AS65" s="573">
        <v>0.76</v>
      </c>
    </row>
    <row r="66" spans="42:45" x14ac:dyDescent="0.25">
      <c r="AP66" s="579">
        <v>35</v>
      </c>
      <c r="AQ66" s="579">
        <v>83</v>
      </c>
      <c r="AR66" s="573">
        <v>101</v>
      </c>
      <c r="AS66" s="573">
        <v>0.76</v>
      </c>
    </row>
    <row r="67" spans="42:45" x14ac:dyDescent="0.25">
      <c r="AP67" s="579">
        <v>36</v>
      </c>
      <c r="AQ67" s="579">
        <v>83</v>
      </c>
      <c r="AR67" s="573">
        <v>102</v>
      </c>
      <c r="AS67" s="573">
        <v>0.75</v>
      </c>
    </row>
    <row r="68" spans="42:45" x14ac:dyDescent="0.25">
      <c r="AP68" s="579">
        <v>37</v>
      </c>
      <c r="AQ68" s="579">
        <v>84</v>
      </c>
      <c r="AR68" s="573">
        <v>103</v>
      </c>
      <c r="AS68" s="573">
        <v>0.75</v>
      </c>
    </row>
    <row r="69" spans="42:45" x14ac:dyDescent="0.25">
      <c r="AP69" s="579">
        <v>38</v>
      </c>
      <c r="AQ69" s="579">
        <v>84</v>
      </c>
      <c r="AR69" s="573">
        <v>104</v>
      </c>
      <c r="AS69" s="573">
        <v>0.74</v>
      </c>
    </row>
    <row r="70" spans="42:45" x14ac:dyDescent="0.25">
      <c r="AP70" s="579">
        <v>39</v>
      </c>
      <c r="AQ70" s="579">
        <v>84</v>
      </c>
      <c r="AR70" s="573">
        <v>105</v>
      </c>
      <c r="AS70" s="573">
        <v>0.74</v>
      </c>
    </row>
    <row r="71" spans="42:45" x14ac:dyDescent="0.25">
      <c r="AP71" s="579">
        <v>40</v>
      </c>
      <c r="AQ71" s="579">
        <v>85</v>
      </c>
      <c r="AR71" s="573">
        <v>106</v>
      </c>
      <c r="AS71" s="573">
        <v>0.73</v>
      </c>
    </row>
    <row r="72" spans="42:45" x14ac:dyDescent="0.25">
      <c r="AP72" s="579">
        <v>41</v>
      </c>
      <c r="AQ72" s="579">
        <v>85</v>
      </c>
      <c r="AR72" s="573">
        <v>107</v>
      </c>
      <c r="AS72" s="573">
        <v>0.73</v>
      </c>
    </row>
    <row r="73" spans="42:45" x14ac:dyDescent="0.25">
      <c r="AP73" s="579">
        <v>42</v>
      </c>
      <c r="AQ73" s="579">
        <v>85</v>
      </c>
      <c r="AR73" s="573">
        <v>108</v>
      </c>
      <c r="AS73" s="573">
        <v>0.72</v>
      </c>
    </row>
    <row r="74" spans="42:45" x14ac:dyDescent="0.25">
      <c r="AP74" s="579">
        <v>43</v>
      </c>
      <c r="AQ74" s="579">
        <v>86</v>
      </c>
      <c r="AR74" s="573">
        <v>109</v>
      </c>
      <c r="AS74" s="573">
        <v>0.71</v>
      </c>
    </row>
    <row r="75" spans="42:45" x14ac:dyDescent="0.25">
      <c r="AP75" s="579">
        <v>44</v>
      </c>
      <c r="AQ75" s="579">
        <v>86</v>
      </c>
      <c r="AR75" s="573">
        <v>110</v>
      </c>
      <c r="AS75" s="573">
        <v>0.7</v>
      </c>
    </row>
    <row r="76" spans="42:45" x14ac:dyDescent="0.25">
      <c r="AP76" s="579">
        <v>45</v>
      </c>
      <c r="AQ76" s="579">
        <v>86</v>
      </c>
      <c r="AR76" s="573">
        <v>111</v>
      </c>
      <c r="AS76" s="573">
        <v>0.69</v>
      </c>
    </row>
    <row r="77" spans="42:45" x14ac:dyDescent="0.25">
      <c r="AP77" s="579">
        <v>46</v>
      </c>
      <c r="AQ77" s="579">
        <v>87</v>
      </c>
      <c r="AR77" s="573">
        <v>112</v>
      </c>
      <c r="AS77" s="573">
        <v>0.69</v>
      </c>
    </row>
    <row r="78" spans="42:45" x14ac:dyDescent="0.25">
      <c r="AP78" s="579">
        <v>47</v>
      </c>
      <c r="AQ78" s="579">
        <v>87</v>
      </c>
      <c r="AR78" s="573">
        <v>113</v>
      </c>
      <c r="AS78" s="573">
        <v>0.68</v>
      </c>
    </row>
    <row r="79" spans="42:45" x14ac:dyDescent="0.25">
      <c r="AP79" s="579">
        <v>48</v>
      </c>
      <c r="AQ79" s="579">
        <v>87</v>
      </c>
      <c r="AR79" s="573">
        <v>114</v>
      </c>
      <c r="AS79" s="573">
        <v>0.67</v>
      </c>
    </row>
    <row r="80" spans="42:45" x14ac:dyDescent="0.25">
      <c r="AP80" s="579">
        <v>49</v>
      </c>
      <c r="AQ80" s="579">
        <v>87</v>
      </c>
      <c r="AR80" s="573">
        <v>115</v>
      </c>
      <c r="AS80" s="573">
        <v>0.66</v>
      </c>
    </row>
    <row r="81" spans="42:45" x14ac:dyDescent="0.25">
      <c r="AP81" s="579">
        <v>50</v>
      </c>
      <c r="AQ81" s="579">
        <v>87</v>
      </c>
      <c r="AR81" s="573">
        <v>116</v>
      </c>
      <c r="AS81" s="573">
        <v>0.65</v>
      </c>
    </row>
    <row r="82" spans="42:45" x14ac:dyDescent="0.25">
      <c r="AP82" s="579">
        <v>51</v>
      </c>
      <c r="AQ82" s="579">
        <v>88</v>
      </c>
      <c r="AR82" s="573">
        <v>117</v>
      </c>
      <c r="AS82" s="573">
        <v>0.64</v>
      </c>
    </row>
    <row r="83" spans="42:45" x14ac:dyDescent="0.25">
      <c r="AP83" s="579">
        <v>52</v>
      </c>
      <c r="AQ83" s="579">
        <v>88</v>
      </c>
      <c r="AR83" s="573">
        <v>118</v>
      </c>
      <c r="AS83" s="573">
        <v>0.63</v>
      </c>
    </row>
    <row r="84" spans="42:45" x14ac:dyDescent="0.25">
      <c r="AP84" s="579">
        <v>53</v>
      </c>
      <c r="AQ84" s="579">
        <v>88</v>
      </c>
      <c r="AR84" s="573">
        <v>119</v>
      </c>
      <c r="AS84" s="573">
        <v>0.62</v>
      </c>
    </row>
    <row r="85" spans="42:45" x14ac:dyDescent="0.25">
      <c r="AP85" s="579">
        <v>54</v>
      </c>
      <c r="AQ85" s="579">
        <v>88</v>
      </c>
      <c r="AR85" s="573">
        <v>120</v>
      </c>
      <c r="AS85" s="573">
        <v>0.61</v>
      </c>
    </row>
    <row r="86" spans="42:45" x14ac:dyDescent="0.25">
      <c r="AP86" s="579">
        <v>55</v>
      </c>
      <c r="AQ86" s="579">
        <v>88</v>
      </c>
      <c r="AR86" s="573">
        <v>121</v>
      </c>
      <c r="AS86" s="573">
        <v>0.6</v>
      </c>
    </row>
    <row r="87" spans="42:45" x14ac:dyDescent="0.25">
      <c r="AP87" s="579">
        <v>56</v>
      </c>
      <c r="AQ87" s="579">
        <v>88</v>
      </c>
      <c r="AR87" s="573">
        <v>122</v>
      </c>
      <c r="AS87" s="573">
        <v>0.59</v>
      </c>
    </row>
    <row r="88" spans="42:45" x14ac:dyDescent="0.25">
      <c r="AP88" s="579">
        <v>57</v>
      </c>
      <c r="AQ88" s="579">
        <v>88</v>
      </c>
      <c r="AR88" s="573">
        <v>123</v>
      </c>
      <c r="AS88" s="573">
        <v>0.57999999999999996</v>
      </c>
    </row>
    <row r="89" spans="42:45" x14ac:dyDescent="0.25">
      <c r="AP89" s="579">
        <v>58</v>
      </c>
      <c r="AQ89" s="579">
        <v>89</v>
      </c>
      <c r="AR89" s="573">
        <v>124</v>
      </c>
      <c r="AS89" s="573">
        <v>0.56999999999999995</v>
      </c>
    </row>
    <row r="90" spans="42:45" x14ac:dyDescent="0.25">
      <c r="AP90" s="579">
        <v>59</v>
      </c>
      <c r="AQ90" s="579">
        <v>89</v>
      </c>
      <c r="AR90" s="573">
        <v>125</v>
      </c>
      <c r="AS90" s="573">
        <v>0.56000000000000005</v>
      </c>
    </row>
    <row r="91" spans="42:45" x14ac:dyDescent="0.25">
      <c r="AP91" s="579">
        <v>60</v>
      </c>
      <c r="AQ91" s="579">
        <v>89</v>
      </c>
      <c r="AR91" s="573">
        <v>126</v>
      </c>
      <c r="AS91" s="573">
        <v>0.55000000000000004</v>
      </c>
    </row>
    <row r="92" spans="42:45" x14ac:dyDescent="0.25">
      <c r="AP92" s="579">
        <v>61</v>
      </c>
      <c r="AQ92" s="579">
        <v>89</v>
      </c>
      <c r="AR92" s="573">
        <v>127</v>
      </c>
      <c r="AS92" s="573">
        <v>0.54</v>
      </c>
    </row>
    <row r="93" spans="42:45" x14ac:dyDescent="0.25">
      <c r="AP93" s="579">
        <v>62</v>
      </c>
      <c r="AQ93" s="579">
        <v>90</v>
      </c>
      <c r="AR93" s="573">
        <v>128</v>
      </c>
      <c r="AS93" s="573">
        <v>0.53</v>
      </c>
    </row>
    <row r="94" spans="42:45" x14ac:dyDescent="0.25">
      <c r="AP94" s="579">
        <v>63</v>
      </c>
      <c r="AQ94" s="579">
        <v>90</v>
      </c>
      <c r="AR94" s="573">
        <v>129</v>
      </c>
      <c r="AS94" s="573">
        <v>0.52</v>
      </c>
    </row>
    <row r="95" spans="42:45" x14ac:dyDescent="0.25">
      <c r="AP95" s="579">
        <v>64</v>
      </c>
      <c r="AQ95" s="579">
        <v>90</v>
      </c>
      <c r="AR95" s="573">
        <v>130</v>
      </c>
      <c r="AS95" s="573">
        <v>0.51</v>
      </c>
    </row>
    <row r="96" spans="42:45" x14ac:dyDescent="0.25">
      <c r="AP96" s="579">
        <v>65</v>
      </c>
      <c r="AQ96" s="579">
        <v>91</v>
      </c>
      <c r="AR96" s="573">
        <v>131</v>
      </c>
      <c r="AS96" s="573">
        <v>0.5</v>
      </c>
    </row>
    <row r="97" spans="42:45" x14ac:dyDescent="0.25">
      <c r="AP97" s="579">
        <v>66</v>
      </c>
      <c r="AQ97" s="579">
        <v>91</v>
      </c>
      <c r="AR97" s="573">
        <v>132</v>
      </c>
      <c r="AS97" s="573">
        <v>0.49</v>
      </c>
    </row>
    <row r="98" spans="42:45" x14ac:dyDescent="0.25">
      <c r="AP98" s="579">
        <v>67</v>
      </c>
      <c r="AQ98" s="579">
        <v>92</v>
      </c>
      <c r="AR98" s="573">
        <v>133</v>
      </c>
      <c r="AS98" s="573">
        <v>0.48</v>
      </c>
    </row>
    <row r="99" spans="42:45" x14ac:dyDescent="0.25">
      <c r="AP99" s="579">
        <v>68</v>
      </c>
      <c r="AQ99" s="579">
        <v>92</v>
      </c>
      <c r="AR99" s="573">
        <v>134</v>
      </c>
      <c r="AS99" s="573">
        <v>0.47</v>
      </c>
    </row>
    <row r="100" spans="42:45" x14ac:dyDescent="0.25">
      <c r="AP100" s="579">
        <v>69</v>
      </c>
      <c r="AQ100" s="579">
        <v>92</v>
      </c>
      <c r="AR100" s="573">
        <v>135</v>
      </c>
      <c r="AS100" s="573">
        <v>0.46</v>
      </c>
    </row>
    <row r="101" spans="42:45" x14ac:dyDescent="0.25">
      <c r="AP101" s="579">
        <v>70</v>
      </c>
      <c r="AQ101" s="579">
        <v>92</v>
      </c>
      <c r="AR101" s="573">
        <v>136</v>
      </c>
      <c r="AS101" s="573">
        <v>0.45</v>
      </c>
    </row>
    <row r="102" spans="42:45" x14ac:dyDescent="0.25">
      <c r="AP102" s="579">
        <v>71</v>
      </c>
      <c r="AQ102" s="579">
        <v>93</v>
      </c>
      <c r="AR102" s="573">
        <v>137</v>
      </c>
      <c r="AS102" s="573">
        <v>0.44</v>
      </c>
    </row>
    <row r="103" spans="42:45" x14ac:dyDescent="0.25">
      <c r="AP103" s="579">
        <v>72</v>
      </c>
      <c r="AQ103" s="579">
        <v>93</v>
      </c>
      <c r="AR103" s="573">
        <v>138</v>
      </c>
      <c r="AS103" s="573">
        <v>0.43</v>
      </c>
    </row>
    <row r="104" spans="42:45" x14ac:dyDescent="0.25">
      <c r="AP104" s="579">
        <v>73</v>
      </c>
      <c r="AQ104" s="579">
        <v>93</v>
      </c>
      <c r="AR104" s="573">
        <v>139</v>
      </c>
      <c r="AS104" s="573">
        <v>0.42</v>
      </c>
    </row>
    <row r="105" spans="42:45" x14ac:dyDescent="0.25">
      <c r="AP105" s="579">
        <v>74</v>
      </c>
      <c r="AQ105" s="579">
        <v>93</v>
      </c>
      <c r="AR105" s="573">
        <v>140</v>
      </c>
      <c r="AS105" s="573">
        <v>0.41</v>
      </c>
    </row>
    <row r="106" spans="42:45" x14ac:dyDescent="0.25">
      <c r="AP106" s="579">
        <v>75</v>
      </c>
      <c r="AQ106" s="579">
        <v>93</v>
      </c>
      <c r="AR106" s="573">
        <v>141</v>
      </c>
      <c r="AS106" s="573">
        <v>0.4</v>
      </c>
    </row>
    <row r="107" spans="42:45" x14ac:dyDescent="0.25">
      <c r="AP107" s="579">
        <v>76</v>
      </c>
      <c r="AQ107" s="579">
        <v>93</v>
      </c>
      <c r="AR107" s="573">
        <v>142</v>
      </c>
      <c r="AS107" s="573">
        <v>0.39</v>
      </c>
    </row>
    <row r="108" spans="42:45" x14ac:dyDescent="0.25">
      <c r="AP108" s="579">
        <v>77</v>
      </c>
      <c r="AQ108" s="579">
        <v>93</v>
      </c>
      <c r="AR108" s="573">
        <v>143</v>
      </c>
      <c r="AS108" s="573">
        <v>0.38</v>
      </c>
    </row>
    <row r="109" spans="42:45" x14ac:dyDescent="0.25">
      <c r="AP109" s="579">
        <v>78</v>
      </c>
      <c r="AQ109" s="579">
        <v>94</v>
      </c>
      <c r="AR109" s="573">
        <v>144</v>
      </c>
      <c r="AS109" s="573">
        <v>0.37</v>
      </c>
    </row>
    <row r="110" spans="42:45" x14ac:dyDescent="0.25">
      <c r="AP110" s="579">
        <v>79</v>
      </c>
      <c r="AQ110" s="579">
        <v>94</v>
      </c>
      <c r="AR110" s="573">
        <v>145</v>
      </c>
      <c r="AS110" s="573">
        <v>0.36</v>
      </c>
    </row>
    <row r="111" spans="42:45" x14ac:dyDescent="0.25">
      <c r="AP111" s="579">
        <v>80</v>
      </c>
      <c r="AQ111" s="579">
        <v>94</v>
      </c>
      <c r="AR111" s="573">
        <v>146</v>
      </c>
      <c r="AS111" s="573">
        <v>0.35</v>
      </c>
    </row>
    <row r="112" spans="42:45" x14ac:dyDescent="0.25">
      <c r="AP112" s="579">
        <v>81</v>
      </c>
      <c r="AQ112" s="579">
        <v>94</v>
      </c>
      <c r="AR112" s="573">
        <v>147</v>
      </c>
      <c r="AS112" s="573">
        <v>0.34</v>
      </c>
    </row>
    <row r="113" spans="23:45" x14ac:dyDescent="0.25">
      <c r="AP113" s="579">
        <v>82</v>
      </c>
      <c r="AQ113" s="579">
        <v>94</v>
      </c>
      <c r="AR113" s="573">
        <v>148</v>
      </c>
      <c r="AS113" s="573">
        <v>0.33</v>
      </c>
    </row>
    <row r="114" spans="23:45" x14ac:dyDescent="0.25">
      <c r="AJ114" s="566"/>
      <c r="AP114" s="579">
        <v>83</v>
      </c>
      <c r="AQ114" s="579">
        <v>94</v>
      </c>
      <c r="AR114" s="573">
        <v>149</v>
      </c>
      <c r="AS114" s="573">
        <v>0.32</v>
      </c>
    </row>
    <row r="115" spans="23:45" x14ac:dyDescent="0.25">
      <c r="AJ115" s="566"/>
      <c r="AP115" s="579">
        <v>84</v>
      </c>
      <c r="AQ115" s="579">
        <v>94</v>
      </c>
      <c r="AR115" s="573">
        <v>150</v>
      </c>
      <c r="AS115" s="573">
        <v>0.31</v>
      </c>
    </row>
    <row r="116" spans="23:45" x14ac:dyDescent="0.25">
      <c r="AJ116" s="566"/>
      <c r="AP116" s="579">
        <v>85</v>
      </c>
      <c r="AQ116" s="579">
        <v>95</v>
      </c>
      <c r="AR116" s="573">
        <v>151</v>
      </c>
      <c r="AS116" s="573">
        <v>0.3</v>
      </c>
    </row>
    <row r="117" spans="23:45" x14ac:dyDescent="0.25">
      <c r="AJ117" s="566"/>
      <c r="AP117" s="579">
        <v>86</v>
      </c>
      <c r="AQ117" s="579">
        <v>95</v>
      </c>
      <c r="AR117" s="573">
        <v>152</v>
      </c>
      <c r="AS117" s="573">
        <v>0.28999999999999998</v>
      </c>
    </row>
    <row r="118" spans="23:45" x14ac:dyDescent="0.25">
      <c r="AJ118" s="566"/>
      <c r="AP118" s="579">
        <v>87</v>
      </c>
      <c r="AQ118" s="579">
        <v>95</v>
      </c>
      <c r="AR118" s="573">
        <v>153</v>
      </c>
      <c r="AS118" s="573">
        <v>0.28000000000000003</v>
      </c>
    </row>
    <row r="119" spans="23:45" x14ac:dyDescent="0.25">
      <c r="AJ119" s="566"/>
      <c r="AP119" s="579">
        <v>88</v>
      </c>
      <c r="AQ119" s="579">
        <v>95</v>
      </c>
      <c r="AR119" s="573">
        <v>154</v>
      </c>
      <c r="AS119" s="573">
        <v>0.27</v>
      </c>
    </row>
    <row r="120" spans="23:45" x14ac:dyDescent="0.25">
      <c r="AJ120" s="566"/>
      <c r="AP120" s="579">
        <v>89</v>
      </c>
      <c r="AQ120" s="579">
        <v>95</v>
      </c>
      <c r="AR120" s="573">
        <v>155</v>
      </c>
      <c r="AS120" s="573">
        <v>0.26</v>
      </c>
    </row>
    <row r="121" spans="23:45" x14ac:dyDescent="0.25">
      <c r="AJ121" s="566"/>
      <c r="AP121" s="579">
        <v>90</v>
      </c>
      <c r="AQ121" s="579">
        <v>95</v>
      </c>
      <c r="AR121" s="573">
        <v>156</v>
      </c>
      <c r="AS121" s="573">
        <v>0.25</v>
      </c>
    </row>
    <row r="122" spans="23:45" x14ac:dyDescent="0.25">
      <c r="W122" s="566"/>
      <c r="AJ122" s="566"/>
      <c r="AP122" s="579">
        <v>91</v>
      </c>
      <c r="AQ122" s="579">
        <v>95</v>
      </c>
      <c r="AR122" s="573">
        <v>157</v>
      </c>
      <c r="AS122" s="573">
        <v>0.24</v>
      </c>
    </row>
    <row r="123" spans="23:45" x14ac:dyDescent="0.25">
      <c r="W123" s="566"/>
      <c r="AJ123" s="566"/>
      <c r="AP123" s="579">
        <v>92</v>
      </c>
      <c r="AQ123" s="579">
        <v>96</v>
      </c>
      <c r="AR123" s="573">
        <v>158</v>
      </c>
      <c r="AS123" s="573">
        <v>0.23</v>
      </c>
    </row>
    <row r="124" spans="23:45" x14ac:dyDescent="0.25">
      <c r="W124" s="566"/>
      <c r="AJ124" s="566"/>
      <c r="AP124" s="579">
        <v>93</v>
      </c>
      <c r="AQ124" s="579">
        <v>96</v>
      </c>
      <c r="AR124" s="573">
        <v>159</v>
      </c>
      <c r="AS124" s="573">
        <v>0.22</v>
      </c>
    </row>
    <row r="125" spans="23:45" x14ac:dyDescent="0.25">
      <c r="W125" s="566"/>
      <c r="AJ125" s="566"/>
      <c r="AP125" s="579">
        <v>94</v>
      </c>
      <c r="AQ125" s="579">
        <v>96</v>
      </c>
      <c r="AR125" s="573">
        <v>160</v>
      </c>
      <c r="AS125" s="573">
        <v>0.21</v>
      </c>
    </row>
    <row r="126" spans="23:45" x14ac:dyDescent="0.25">
      <c r="W126" s="566"/>
      <c r="AJ126" s="566"/>
      <c r="AP126" s="579">
        <v>95</v>
      </c>
      <c r="AQ126" s="579">
        <v>96</v>
      </c>
      <c r="AR126" s="573">
        <v>161</v>
      </c>
      <c r="AS126" s="573">
        <v>0.2</v>
      </c>
    </row>
    <row r="127" spans="23:45" x14ac:dyDescent="0.25">
      <c r="W127" s="566"/>
      <c r="AJ127" s="566"/>
      <c r="AP127" s="579">
        <v>96</v>
      </c>
      <c r="AQ127" s="579">
        <v>96</v>
      </c>
      <c r="AR127" s="573">
        <v>162</v>
      </c>
      <c r="AS127" s="573">
        <v>0.19</v>
      </c>
    </row>
    <row r="128" spans="23:45" x14ac:dyDescent="0.25">
      <c r="W128" s="566"/>
      <c r="AJ128" s="566"/>
      <c r="AP128" s="579">
        <v>97</v>
      </c>
      <c r="AQ128" s="579">
        <v>97</v>
      </c>
      <c r="AR128" s="573">
        <v>163</v>
      </c>
      <c r="AS128" s="573">
        <v>0.18</v>
      </c>
    </row>
    <row r="129" spans="23:45" x14ac:dyDescent="0.25">
      <c r="W129" s="566"/>
      <c r="AJ129" s="566"/>
      <c r="AP129" s="579">
        <v>98</v>
      </c>
      <c r="AQ129" s="579">
        <v>97</v>
      </c>
      <c r="AR129" s="573">
        <v>164</v>
      </c>
      <c r="AS129" s="573">
        <v>0.17</v>
      </c>
    </row>
    <row r="130" spans="23:45" x14ac:dyDescent="0.25">
      <c r="W130" s="566"/>
      <c r="AJ130" s="566"/>
      <c r="AP130" s="579">
        <v>99</v>
      </c>
      <c r="AQ130" s="579">
        <v>97</v>
      </c>
      <c r="AR130" s="573">
        <v>165</v>
      </c>
      <c r="AS130" s="573">
        <v>0.16</v>
      </c>
    </row>
    <row r="131" spans="23:45" x14ac:dyDescent="0.25">
      <c r="W131" s="566"/>
      <c r="AJ131" s="566"/>
      <c r="AP131" s="579">
        <v>100</v>
      </c>
      <c r="AQ131" s="579">
        <v>97</v>
      </c>
      <c r="AR131" s="573">
        <v>166</v>
      </c>
      <c r="AS131" s="573">
        <v>0.15</v>
      </c>
    </row>
    <row r="132" spans="23:45" x14ac:dyDescent="0.25">
      <c r="W132" s="566"/>
      <c r="AJ132" s="566"/>
      <c r="AP132" s="579">
        <v>101</v>
      </c>
      <c r="AQ132" s="579">
        <v>97</v>
      </c>
      <c r="AR132" s="573">
        <v>167</v>
      </c>
      <c r="AS132" s="573">
        <v>0.14000000000000001</v>
      </c>
    </row>
    <row r="133" spans="23:45" x14ac:dyDescent="0.25">
      <c r="W133" s="566"/>
      <c r="AJ133" s="566"/>
      <c r="AP133" s="579">
        <v>102</v>
      </c>
      <c r="AQ133" s="579">
        <v>98</v>
      </c>
      <c r="AR133" s="573">
        <v>168</v>
      </c>
      <c r="AS133" s="573">
        <v>0.13</v>
      </c>
    </row>
    <row r="134" spans="23:45" x14ac:dyDescent="0.25">
      <c r="W134" s="566"/>
      <c r="AJ134" s="566"/>
      <c r="AP134" s="579">
        <v>103</v>
      </c>
      <c r="AQ134" s="579">
        <v>98</v>
      </c>
      <c r="AR134" s="573">
        <v>169</v>
      </c>
      <c r="AS134" s="573">
        <v>0.12</v>
      </c>
    </row>
    <row r="135" spans="23:45" x14ac:dyDescent="0.25">
      <c r="W135" s="566"/>
      <c r="AJ135" s="566"/>
      <c r="AP135" s="579">
        <v>104</v>
      </c>
      <c r="AQ135" s="579">
        <v>98</v>
      </c>
      <c r="AR135" s="573">
        <v>170</v>
      </c>
      <c r="AS135" s="573">
        <v>0.11</v>
      </c>
    </row>
    <row r="136" spans="23:45" x14ac:dyDescent="0.25">
      <c r="W136" s="566"/>
      <c r="AJ136" s="566"/>
      <c r="AP136" s="579">
        <v>105</v>
      </c>
      <c r="AQ136" s="579">
        <v>98</v>
      </c>
      <c r="AR136" s="573">
        <v>171</v>
      </c>
      <c r="AS136" s="573">
        <v>0.1</v>
      </c>
    </row>
    <row r="137" spans="23:45" x14ac:dyDescent="0.25">
      <c r="W137" s="566"/>
      <c r="AJ137" s="566"/>
      <c r="AP137" s="579">
        <v>106</v>
      </c>
      <c r="AQ137" s="579">
        <v>98</v>
      </c>
      <c r="AR137" s="573">
        <v>172</v>
      </c>
      <c r="AS137" s="573">
        <v>9.5000000000000001E-2</v>
      </c>
    </row>
    <row r="138" spans="23:45" x14ac:dyDescent="0.25">
      <c r="W138" s="566"/>
      <c r="AJ138" s="566"/>
      <c r="AP138" s="579">
        <v>107</v>
      </c>
      <c r="AQ138" s="579">
        <v>99</v>
      </c>
      <c r="AR138" s="573">
        <v>173</v>
      </c>
      <c r="AS138" s="573">
        <v>0.09</v>
      </c>
    </row>
    <row r="139" spans="23:45" x14ac:dyDescent="0.25">
      <c r="W139" s="566"/>
      <c r="AJ139" s="566"/>
      <c r="AP139" s="579">
        <v>108</v>
      </c>
      <c r="AQ139" s="579">
        <v>99</v>
      </c>
      <c r="AR139" s="573">
        <v>174</v>
      </c>
      <c r="AS139" s="573">
        <v>8.5000000000000006E-2</v>
      </c>
    </row>
    <row r="140" spans="23:45" x14ac:dyDescent="0.25">
      <c r="W140" s="566"/>
      <c r="AJ140" s="566"/>
      <c r="AP140" s="579">
        <v>109</v>
      </c>
      <c r="AQ140" s="579">
        <v>99</v>
      </c>
      <c r="AR140" s="573">
        <v>175</v>
      </c>
      <c r="AS140" s="573">
        <v>0.08</v>
      </c>
    </row>
    <row r="141" spans="23:45" x14ac:dyDescent="0.25">
      <c r="W141" s="566"/>
      <c r="AJ141" s="566"/>
      <c r="AP141" s="579">
        <v>110</v>
      </c>
      <c r="AQ141" s="579">
        <v>100</v>
      </c>
      <c r="AR141" s="573">
        <v>176</v>
      </c>
      <c r="AS141" s="573">
        <v>7.4999999999999997E-2</v>
      </c>
    </row>
    <row r="142" spans="23:45" x14ac:dyDescent="0.25">
      <c r="W142" s="566"/>
      <c r="AJ142" s="566"/>
      <c r="AP142" s="573"/>
      <c r="AQ142" s="573"/>
      <c r="AR142" s="573">
        <v>177</v>
      </c>
      <c r="AS142" s="573">
        <v>7.0000000000000007E-2</v>
      </c>
    </row>
    <row r="143" spans="23:45" x14ac:dyDescent="0.25">
      <c r="W143" s="566"/>
      <c r="AJ143" s="566"/>
      <c r="AP143" s="573"/>
      <c r="AQ143" s="573"/>
      <c r="AR143" s="573">
        <v>178</v>
      </c>
      <c r="AS143" s="573">
        <v>6.5000000000000002E-2</v>
      </c>
    </row>
    <row r="144" spans="23:45" x14ac:dyDescent="0.25">
      <c r="W144" s="566"/>
      <c r="AJ144" s="566"/>
      <c r="AP144" s="573"/>
      <c r="AQ144" s="573"/>
      <c r="AR144" s="573">
        <v>179</v>
      </c>
      <c r="AS144" s="573">
        <v>0.06</v>
      </c>
    </row>
    <row r="145" spans="23:45" x14ac:dyDescent="0.25">
      <c r="W145" s="566"/>
      <c r="AJ145" s="566"/>
      <c r="AP145" s="566"/>
      <c r="AQ145" s="566"/>
      <c r="AR145" s="566">
        <v>180</v>
      </c>
      <c r="AS145" s="566">
        <v>0.05</v>
      </c>
    </row>
    <row r="146" spans="23:45" x14ac:dyDescent="0.25">
      <c r="W146" s="566"/>
      <c r="AJ146" s="566"/>
      <c r="AP146" s="566"/>
      <c r="AQ146" s="566"/>
      <c r="AR146" s="566"/>
      <c r="AS146" s="566"/>
    </row>
    <row r="147" spans="23:45" x14ac:dyDescent="0.25">
      <c r="W147" s="566"/>
      <c r="AJ147" s="566"/>
      <c r="AP147" s="580" t="s">
        <v>2228</v>
      </c>
      <c r="AQ147" s="573"/>
      <c r="AR147" s="560"/>
      <c r="AS147" s="573"/>
    </row>
    <row r="148" spans="23:45" x14ac:dyDescent="0.25">
      <c r="W148" s="566"/>
      <c r="AJ148" s="566"/>
      <c r="AP148" s="573">
        <f>IF(P20=0,0,IF(P20&gt;10,74,IF(P20&lt;2,0,VLOOKUP(P20,$AP$150:$AQ$158,2,0))))</f>
        <v>45</v>
      </c>
      <c r="AQ148" s="573"/>
      <c r="AR148" s="573"/>
      <c r="AS148" s="560"/>
    </row>
    <row r="149" spans="23:45" x14ac:dyDescent="0.25">
      <c r="W149" s="566"/>
      <c r="AJ149" s="566"/>
      <c r="AP149" s="573" t="s">
        <v>2214</v>
      </c>
      <c r="AQ149" s="573" t="s">
        <v>2213</v>
      </c>
      <c r="AR149" s="573" t="s">
        <v>2213</v>
      </c>
      <c r="AS149" s="573" t="s">
        <v>2226</v>
      </c>
    </row>
    <row r="150" spans="23:45" x14ac:dyDescent="0.25">
      <c r="W150" s="566"/>
      <c r="AJ150" s="566"/>
      <c r="AP150" s="573">
        <v>2</v>
      </c>
      <c r="AQ150" s="573">
        <v>0</v>
      </c>
      <c r="AR150" s="573">
        <v>70</v>
      </c>
      <c r="AS150" s="573">
        <v>0.99</v>
      </c>
    </row>
    <row r="151" spans="23:45" x14ac:dyDescent="0.25">
      <c r="W151" s="566"/>
      <c r="AJ151" s="566"/>
      <c r="AP151" s="573">
        <v>5</v>
      </c>
      <c r="AQ151" s="573">
        <v>0</v>
      </c>
      <c r="AR151" s="573">
        <v>71</v>
      </c>
      <c r="AS151" s="573">
        <v>0.98</v>
      </c>
    </row>
    <row r="152" spans="23:45" x14ac:dyDescent="0.25">
      <c r="W152" s="566"/>
      <c r="AJ152" s="566"/>
      <c r="AP152" s="573">
        <v>4</v>
      </c>
      <c r="AQ152" s="573">
        <v>1</v>
      </c>
      <c r="AR152" s="573">
        <v>72</v>
      </c>
      <c r="AS152" s="573">
        <v>0.98</v>
      </c>
    </row>
    <row r="153" spans="23:45" x14ac:dyDescent="0.25">
      <c r="W153" s="566"/>
      <c r="AJ153" s="566"/>
      <c r="AP153" s="573">
        <v>3</v>
      </c>
      <c r="AQ153" s="573">
        <v>2</v>
      </c>
      <c r="AR153" s="573">
        <v>73</v>
      </c>
      <c r="AS153" s="573">
        <v>0.98</v>
      </c>
    </row>
    <row r="154" spans="23:45" x14ac:dyDescent="0.25">
      <c r="W154" s="566"/>
      <c r="AJ154" s="566"/>
      <c r="AP154" s="573">
        <v>6</v>
      </c>
      <c r="AQ154" s="573">
        <v>5</v>
      </c>
      <c r="AR154" s="573">
        <v>74</v>
      </c>
      <c r="AS154" s="573">
        <v>0.98</v>
      </c>
    </row>
    <row r="155" spans="23:45" x14ac:dyDescent="0.25">
      <c r="W155" s="566"/>
      <c r="AJ155" s="566"/>
      <c r="AP155" s="573">
        <v>7</v>
      </c>
      <c r="AQ155" s="573">
        <v>30</v>
      </c>
      <c r="AR155" s="573">
        <v>75</v>
      </c>
      <c r="AS155" s="573">
        <v>0.98</v>
      </c>
    </row>
    <row r="156" spans="23:45" x14ac:dyDescent="0.25">
      <c r="W156" s="566"/>
      <c r="AJ156" s="566"/>
      <c r="AP156" s="573">
        <v>8</v>
      </c>
      <c r="AQ156" s="573">
        <v>45</v>
      </c>
      <c r="AR156" s="573">
        <v>76</v>
      </c>
      <c r="AS156" s="573">
        <v>0.98</v>
      </c>
    </row>
    <row r="157" spans="23:45" x14ac:dyDescent="0.25">
      <c r="W157" s="566"/>
      <c r="AJ157" s="566"/>
      <c r="AP157" s="573">
        <v>9</v>
      </c>
      <c r="AQ157" s="573">
        <v>60</v>
      </c>
      <c r="AR157" s="573">
        <v>77</v>
      </c>
      <c r="AS157" s="573">
        <v>0.98</v>
      </c>
    </row>
    <row r="158" spans="23:45" x14ac:dyDescent="0.25">
      <c r="W158" s="566"/>
      <c r="AJ158" s="566"/>
      <c r="AP158" s="573">
        <v>10</v>
      </c>
      <c r="AQ158" s="573">
        <v>74</v>
      </c>
      <c r="AR158" s="573">
        <v>78</v>
      </c>
      <c r="AS158" s="573">
        <v>0.98</v>
      </c>
    </row>
    <row r="159" spans="23:45" x14ac:dyDescent="0.25">
      <c r="W159" s="566"/>
      <c r="AJ159" s="566"/>
      <c r="AP159" s="573"/>
      <c r="AQ159" s="573"/>
      <c r="AR159" s="573">
        <v>79</v>
      </c>
      <c r="AS159" s="573">
        <v>0.98</v>
      </c>
    </row>
    <row r="160" spans="23:45" x14ac:dyDescent="0.25">
      <c r="W160" s="566"/>
      <c r="AJ160" s="566"/>
      <c r="AP160" s="573">
        <f>IF(P21=0,0,IF(P21&gt;3,55,IF(P21&lt;0,0,VLOOKUP(P21,$AP$162:$AQ$165,2,0))))</f>
        <v>55</v>
      </c>
      <c r="AQ160" s="573"/>
      <c r="AR160" s="573">
        <v>80</v>
      </c>
      <c r="AS160" s="573">
        <v>0.98</v>
      </c>
    </row>
    <row r="161" spans="23:45" x14ac:dyDescent="0.25">
      <c r="W161" s="566"/>
      <c r="AJ161" s="566"/>
      <c r="AP161" s="573" t="s">
        <v>2215</v>
      </c>
      <c r="AQ161" s="573" t="s">
        <v>2213</v>
      </c>
      <c r="AR161" s="573">
        <v>81</v>
      </c>
      <c r="AS161" s="573">
        <v>0.98</v>
      </c>
    </row>
    <row r="162" spans="23:45" x14ac:dyDescent="0.25">
      <c r="W162" s="566"/>
      <c r="AJ162" s="566"/>
      <c r="AP162" s="573">
        <v>0</v>
      </c>
      <c r="AQ162" s="573">
        <v>0</v>
      </c>
      <c r="AR162" s="573">
        <v>82</v>
      </c>
      <c r="AS162" s="573">
        <v>0.98</v>
      </c>
    </row>
    <row r="163" spans="23:45" x14ac:dyDescent="0.25">
      <c r="W163" s="566"/>
      <c r="AJ163" s="566"/>
      <c r="AP163" s="573">
        <v>1</v>
      </c>
      <c r="AQ163" s="573">
        <v>30</v>
      </c>
      <c r="AR163" s="573">
        <v>83</v>
      </c>
      <c r="AS163" s="573">
        <v>0.98</v>
      </c>
    </row>
    <row r="164" spans="23:45" x14ac:dyDescent="0.25">
      <c r="W164" s="566"/>
      <c r="AJ164" s="566"/>
      <c r="AP164" s="573">
        <v>2</v>
      </c>
      <c r="AQ164" s="573">
        <v>50</v>
      </c>
      <c r="AR164" s="573">
        <v>84</v>
      </c>
      <c r="AS164" s="573">
        <v>0.98</v>
      </c>
    </row>
    <row r="165" spans="23:45" x14ac:dyDescent="0.25">
      <c r="W165" s="566"/>
      <c r="AJ165" s="566"/>
      <c r="AP165" s="573">
        <v>3</v>
      </c>
      <c r="AQ165" s="573">
        <v>55</v>
      </c>
      <c r="AR165" s="573">
        <v>85</v>
      </c>
      <c r="AS165" s="573">
        <v>0.98</v>
      </c>
    </row>
    <row r="166" spans="23:45" x14ac:dyDescent="0.25">
      <c r="W166" s="566"/>
      <c r="AJ166" s="566"/>
      <c r="AP166" s="573"/>
      <c r="AQ166" s="573"/>
      <c r="AR166" s="573">
        <v>86</v>
      </c>
      <c r="AS166" s="573">
        <v>0.98</v>
      </c>
    </row>
    <row r="167" spans="23:45" x14ac:dyDescent="0.25">
      <c r="W167" s="566"/>
      <c r="AJ167" s="566"/>
      <c r="AP167" s="573">
        <f>IF(P25=0,0,IF(P25&gt;1,30,IF(P25&lt;0,0,VLOOKUP(P25,$AP$169:$AQ$170,2,0))))</f>
        <v>30</v>
      </c>
      <c r="AQ167" s="573"/>
      <c r="AR167" s="573">
        <v>87</v>
      </c>
      <c r="AS167" s="573">
        <v>0.98</v>
      </c>
    </row>
    <row r="168" spans="23:45" x14ac:dyDescent="0.25">
      <c r="W168" s="566"/>
      <c r="AJ168" s="566"/>
      <c r="AP168" s="573" t="s">
        <v>2216</v>
      </c>
      <c r="AQ168" s="573" t="s">
        <v>2213</v>
      </c>
      <c r="AR168" s="573">
        <v>88</v>
      </c>
      <c r="AS168" s="573">
        <v>0.98</v>
      </c>
    </row>
    <row r="169" spans="23:45" x14ac:dyDescent="0.25">
      <c r="W169" s="566"/>
      <c r="AJ169" s="566"/>
      <c r="AP169" s="573">
        <v>0</v>
      </c>
      <c r="AQ169" s="573">
        <v>0</v>
      </c>
      <c r="AR169" s="573">
        <v>89</v>
      </c>
      <c r="AS169" s="573">
        <v>0.98</v>
      </c>
    </row>
    <row r="170" spans="23:45" x14ac:dyDescent="0.25">
      <c r="W170" s="566"/>
      <c r="AJ170" s="566"/>
      <c r="AP170" s="573">
        <v>1</v>
      </c>
      <c r="AQ170" s="573">
        <v>30</v>
      </c>
      <c r="AR170" s="573">
        <v>90</v>
      </c>
      <c r="AS170" s="573">
        <v>0.98</v>
      </c>
    </row>
    <row r="171" spans="23:45" x14ac:dyDescent="0.25">
      <c r="W171" s="566"/>
      <c r="AJ171" s="566"/>
      <c r="AP171" s="573"/>
      <c r="AQ171" s="573"/>
      <c r="AR171" s="573">
        <v>91</v>
      </c>
      <c r="AS171" s="573">
        <v>0.97</v>
      </c>
    </row>
    <row r="172" spans="23:45" x14ac:dyDescent="0.25">
      <c r="W172" s="566"/>
      <c r="AJ172" s="566"/>
      <c r="AP172" s="573">
        <f>IF(P27=0,0,IF(P27&gt;1,23,IF(P27&lt;0,0,VLOOKUP(P27,$AP$174:$AQ$175,2,0))))</f>
        <v>0</v>
      </c>
      <c r="AQ172" s="573"/>
      <c r="AR172" s="573">
        <v>92</v>
      </c>
      <c r="AS172" s="573">
        <v>0.97</v>
      </c>
    </row>
    <row r="173" spans="23:45" x14ac:dyDescent="0.25">
      <c r="W173" s="566"/>
      <c r="AJ173" s="566"/>
      <c r="AP173" s="573" t="s">
        <v>2217</v>
      </c>
      <c r="AQ173" s="573" t="s">
        <v>2213</v>
      </c>
      <c r="AR173" s="573">
        <v>93</v>
      </c>
      <c r="AS173" s="573">
        <v>0.97</v>
      </c>
    </row>
    <row r="174" spans="23:45" x14ac:dyDescent="0.25">
      <c r="W174" s="566"/>
      <c r="AJ174" s="566"/>
      <c r="AP174" s="573">
        <v>0</v>
      </c>
      <c r="AQ174" s="573">
        <v>0</v>
      </c>
      <c r="AR174" s="573">
        <v>94</v>
      </c>
      <c r="AS174" s="573">
        <v>0.97</v>
      </c>
    </row>
    <row r="175" spans="23:45" x14ac:dyDescent="0.25">
      <c r="W175" s="566"/>
      <c r="AJ175" s="566"/>
      <c r="AP175" s="573">
        <v>1</v>
      </c>
      <c r="AQ175" s="573">
        <v>23</v>
      </c>
      <c r="AR175" s="573">
        <v>95</v>
      </c>
      <c r="AS175" s="573">
        <v>0.97</v>
      </c>
    </row>
    <row r="176" spans="23:45" x14ac:dyDescent="0.25">
      <c r="W176" s="566"/>
      <c r="AJ176" s="566"/>
      <c r="AP176" s="573"/>
      <c r="AQ176" s="573"/>
      <c r="AR176" s="573">
        <v>96</v>
      </c>
      <c r="AS176" s="573">
        <v>0.97</v>
      </c>
    </row>
    <row r="177" spans="23:45" x14ac:dyDescent="0.25">
      <c r="W177" s="566"/>
      <c r="AP177" s="573">
        <f>IF(P29=0,0,IF(P29&gt;1,30,IF(P29&lt;0,0,VLOOKUP(P29,$AP$179:$AQ$180,2,0))))</f>
        <v>0</v>
      </c>
      <c r="AQ177" s="573"/>
      <c r="AR177" s="573">
        <v>97</v>
      </c>
      <c r="AS177" s="573">
        <v>0.97</v>
      </c>
    </row>
    <row r="178" spans="23:45" x14ac:dyDescent="0.25">
      <c r="W178" s="566"/>
      <c r="AP178" s="573" t="s">
        <v>2219</v>
      </c>
      <c r="AQ178" s="573" t="s">
        <v>2213</v>
      </c>
      <c r="AR178" s="573">
        <v>98</v>
      </c>
      <c r="AS178" s="573">
        <v>0.97</v>
      </c>
    </row>
    <row r="179" spans="23:45" x14ac:dyDescent="0.25">
      <c r="W179" s="566"/>
      <c r="AP179" s="573">
        <v>0</v>
      </c>
      <c r="AQ179" s="573">
        <v>0</v>
      </c>
      <c r="AR179" s="573">
        <v>99</v>
      </c>
      <c r="AS179" s="573">
        <v>0.97</v>
      </c>
    </row>
    <row r="180" spans="23:45" x14ac:dyDescent="0.25">
      <c r="W180" s="566"/>
      <c r="AP180" s="573">
        <v>1</v>
      </c>
      <c r="AQ180" s="573">
        <v>30</v>
      </c>
      <c r="AR180" s="573">
        <v>100</v>
      </c>
      <c r="AS180" s="573">
        <v>0.97</v>
      </c>
    </row>
    <row r="181" spans="23:45" x14ac:dyDescent="0.25">
      <c r="W181" s="566"/>
      <c r="AP181" s="573"/>
      <c r="AQ181" s="573"/>
      <c r="AR181" s="573">
        <v>101</v>
      </c>
      <c r="AS181" s="573">
        <v>0.96</v>
      </c>
    </row>
    <row r="182" spans="23:45" x14ac:dyDescent="0.25">
      <c r="W182" s="566"/>
      <c r="AP182" s="573">
        <f>IF(P19=0,0,IF(P19&gt;100,100,VLOOKUP(P19,$AP$183:$AQ$288,2,0)))</f>
        <v>94</v>
      </c>
      <c r="AQ182" s="573">
        <f>AP182+AP148+AP160+AP167+AP172+AP177</f>
        <v>224</v>
      </c>
      <c r="AR182" s="573">
        <v>102</v>
      </c>
      <c r="AS182" s="573">
        <v>0.96</v>
      </c>
    </row>
    <row r="183" spans="23:45" x14ac:dyDescent="0.25">
      <c r="W183" s="566"/>
      <c r="AP183" s="573" t="s">
        <v>2212</v>
      </c>
      <c r="AQ183" s="573" t="s">
        <v>2213</v>
      </c>
      <c r="AR183" s="573">
        <v>103</v>
      </c>
      <c r="AS183" s="573">
        <v>0.96</v>
      </c>
    </row>
    <row r="184" spans="23:45" x14ac:dyDescent="0.25">
      <c r="W184" s="566"/>
      <c r="AP184" s="573">
        <v>0.1</v>
      </c>
      <c r="AQ184" s="573">
        <v>0</v>
      </c>
      <c r="AR184" s="573">
        <v>104</v>
      </c>
      <c r="AS184" s="573">
        <v>0.96</v>
      </c>
    </row>
    <row r="185" spans="23:45" x14ac:dyDescent="0.25">
      <c r="W185" s="566"/>
      <c r="AP185" s="573">
        <v>0.2</v>
      </c>
      <c r="AQ185" s="573">
        <v>15</v>
      </c>
      <c r="AR185" s="573">
        <v>105</v>
      </c>
      <c r="AS185" s="573">
        <v>0.96</v>
      </c>
    </row>
    <row r="186" spans="23:45" x14ac:dyDescent="0.25">
      <c r="W186" s="566"/>
      <c r="AP186" s="573">
        <v>0.3</v>
      </c>
      <c r="AQ186" s="573">
        <v>23</v>
      </c>
      <c r="AR186" s="573">
        <v>106</v>
      </c>
      <c r="AS186" s="573">
        <v>0.96</v>
      </c>
    </row>
    <row r="187" spans="23:45" x14ac:dyDescent="0.25">
      <c r="W187" s="566"/>
      <c r="AP187" s="573">
        <v>0.4</v>
      </c>
      <c r="AQ187" s="573">
        <v>30</v>
      </c>
      <c r="AR187" s="573">
        <v>107</v>
      </c>
      <c r="AS187" s="573">
        <v>0.96</v>
      </c>
    </row>
    <row r="188" spans="23:45" x14ac:dyDescent="0.25">
      <c r="W188" s="566"/>
      <c r="AP188" s="573">
        <v>0.5</v>
      </c>
      <c r="AQ188" s="573">
        <v>35</v>
      </c>
      <c r="AR188" s="573">
        <v>108</v>
      </c>
      <c r="AS188" s="573">
        <v>0.96</v>
      </c>
    </row>
    <row r="189" spans="23:45" x14ac:dyDescent="0.25">
      <c r="W189" s="566"/>
      <c r="AP189" s="573">
        <v>0.6</v>
      </c>
      <c r="AQ189" s="573">
        <v>37</v>
      </c>
      <c r="AR189" s="573">
        <v>109</v>
      </c>
      <c r="AS189" s="573">
        <v>0.96</v>
      </c>
    </row>
    <row r="190" spans="23:45" x14ac:dyDescent="0.25">
      <c r="W190" s="566"/>
      <c r="AP190" s="573">
        <v>0.7</v>
      </c>
      <c r="AQ190" s="573">
        <v>43</v>
      </c>
      <c r="AR190" s="573">
        <v>110</v>
      </c>
      <c r="AS190" s="573">
        <v>0.96</v>
      </c>
    </row>
    <row r="191" spans="23:45" x14ac:dyDescent="0.25">
      <c r="W191" s="566"/>
      <c r="AP191" s="573">
        <v>0.8</v>
      </c>
      <c r="AQ191" s="573">
        <v>45</v>
      </c>
      <c r="AR191" s="573">
        <v>111</v>
      </c>
      <c r="AS191" s="573">
        <v>0.95</v>
      </c>
    </row>
    <row r="192" spans="23:45" x14ac:dyDescent="0.25">
      <c r="W192" s="566"/>
      <c r="AP192" s="573">
        <v>0.9</v>
      </c>
      <c r="AQ192" s="573">
        <v>48</v>
      </c>
      <c r="AR192" s="573">
        <v>112</v>
      </c>
      <c r="AS192" s="573">
        <v>0.95</v>
      </c>
    </row>
    <row r="193" spans="23:45" x14ac:dyDescent="0.25">
      <c r="W193" s="566"/>
      <c r="AP193" s="573">
        <v>1</v>
      </c>
      <c r="AQ193" s="573">
        <v>50</v>
      </c>
      <c r="AR193" s="573">
        <v>113</v>
      </c>
      <c r="AS193" s="573">
        <v>0.95</v>
      </c>
    </row>
    <row r="194" spans="23:45" x14ac:dyDescent="0.25">
      <c r="W194" s="566"/>
      <c r="AP194" s="573">
        <v>2</v>
      </c>
      <c r="AQ194" s="573">
        <v>65</v>
      </c>
      <c r="AR194" s="573">
        <v>114</v>
      </c>
      <c r="AS194" s="573">
        <v>0.95</v>
      </c>
    </row>
    <row r="195" spans="23:45" x14ac:dyDescent="0.25">
      <c r="W195" s="566"/>
      <c r="AP195" s="573">
        <v>3</v>
      </c>
      <c r="AQ195" s="573">
        <v>74</v>
      </c>
      <c r="AR195" s="573">
        <v>115</v>
      </c>
      <c r="AS195" s="573">
        <v>0.95</v>
      </c>
    </row>
    <row r="196" spans="23:45" x14ac:dyDescent="0.25">
      <c r="W196" s="566"/>
      <c r="AP196" s="573">
        <v>4</v>
      </c>
      <c r="AQ196" s="573">
        <v>79</v>
      </c>
      <c r="AR196" s="573">
        <v>116</v>
      </c>
      <c r="AS196" s="573">
        <v>0.95</v>
      </c>
    </row>
    <row r="197" spans="23:45" x14ac:dyDescent="0.25">
      <c r="W197" s="566"/>
      <c r="AP197" s="573">
        <v>5</v>
      </c>
      <c r="AQ197" s="573">
        <v>82</v>
      </c>
      <c r="AR197" s="573">
        <v>117</v>
      </c>
      <c r="AS197" s="573">
        <v>0.95</v>
      </c>
    </row>
    <row r="198" spans="23:45" x14ac:dyDescent="0.25">
      <c r="W198" s="566"/>
      <c r="AP198" s="573">
        <v>6</v>
      </c>
      <c r="AQ198" s="573">
        <v>84</v>
      </c>
      <c r="AR198" s="573">
        <v>118</v>
      </c>
      <c r="AS198" s="573">
        <v>0.95</v>
      </c>
    </row>
    <row r="199" spans="23:45" x14ac:dyDescent="0.25">
      <c r="W199" s="566"/>
      <c r="AP199" s="573">
        <v>7</v>
      </c>
      <c r="AQ199" s="573">
        <v>86</v>
      </c>
      <c r="AR199" s="573">
        <v>119</v>
      </c>
      <c r="AS199" s="573">
        <v>0.95</v>
      </c>
    </row>
    <row r="200" spans="23:45" x14ac:dyDescent="0.25">
      <c r="W200" s="566"/>
      <c r="AP200" s="573">
        <v>8</v>
      </c>
      <c r="AQ200" s="573">
        <v>87</v>
      </c>
      <c r="AR200" s="573">
        <v>120</v>
      </c>
      <c r="AS200" s="573">
        <v>0.95</v>
      </c>
    </row>
    <row r="201" spans="23:45" x14ac:dyDescent="0.25">
      <c r="W201" s="566"/>
      <c r="AP201" s="573">
        <v>9</v>
      </c>
      <c r="AQ201" s="573">
        <v>91</v>
      </c>
      <c r="AR201" s="573">
        <v>121</v>
      </c>
      <c r="AS201" s="573">
        <v>0.94</v>
      </c>
    </row>
    <row r="202" spans="23:45" x14ac:dyDescent="0.25">
      <c r="W202" s="566"/>
      <c r="AP202" s="573">
        <v>10</v>
      </c>
      <c r="AQ202" s="573">
        <v>93</v>
      </c>
      <c r="AR202" s="573">
        <v>122</v>
      </c>
      <c r="AS202" s="573">
        <v>0.94</v>
      </c>
    </row>
    <row r="203" spans="23:45" x14ac:dyDescent="0.25">
      <c r="W203" s="566"/>
      <c r="AP203" s="573">
        <v>11</v>
      </c>
      <c r="AQ203" s="573">
        <v>94</v>
      </c>
      <c r="AR203" s="573">
        <v>123</v>
      </c>
      <c r="AS203" s="573">
        <v>0.94</v>
      </c>
    </row>
    <row r="204" spans="23:45" x14ac:dyDescent="0.25">
      <c r="W204" s="566"/>
      <c r="AP204" s="573">
        <v>12</v>
      </c>
      <c r="AQ204" s="573">
        <v>94</v>
      </c>
      <c r="AR204" s="573">
        <v>124</v>
      </c>
      <c r="AS204" s="573">
        <v>0.94</v>
      </c>
    </row>
    <row r="205" spans="23:45" x14ac:dyDescent="0.25">
      <c r="W205" s="566"/>
      <c r="AP205" s="573">
        <v>13</v>
      </c>
      <c r="AQ205" s="573">
        <v>94</v>
      </c>
      <c r="AR205" s="573">
        <v>125</v>
      </c>
      <c r="AS205" s="573">
        <v>0.94</v>
      </c>
    </row>
    <row r="206" spans="23:45" x14ac:dyDescent="0.25">
      <c r="W206" s="566"/>
      <c r="AP206" s="573">
        <v>14</v>
      </c>
      <c r="AQ206" s="573">
        <v>94</v>
      </c>
      <c r="AR206" s="573">
        <v>126</v>
      </c>
      <c r="AS206" s="573">
        <v>0.93</v>
      </c>
    </row>
    <row r="207" spans="23:45" x14ac:dyDescent="0.25">
      <c r="W207" s="566"/>
      <c r="AP207" s="573">
        <v>15</v>
      </c>
      <c r="AQ207" s="573">
        <v>94</v>
      </c>
      <c r="AR207" s="573">
        <v>127</v>
      </c>
      <c r="AS207" s="573">
        <v>0.93</v>
      </c>
    </row>
    <row r="208" spans="23:45" x14ac:dyDescent="0.25">
      <c r="W208" s="566"/>
      <c r="AP208" s="573">
        <v>16</v>
      </c>
      <c r="AQ208" s="573">
        <v>94</v>
      </c>
      <c r="AR208" s="573">
        <v>128</v>
      </c>
      <c r="AS208" s="573">
        <v>0.93</v>
      </c>
    </row>
    <row r="209" spans="23:45" x14ac:dyDescent="0.25">
      <c r="W209" s="566"/>
      <c r="AP209" s="573">
        <v>17</v>
      </c>
      <c r="AQ209" s="573">
        <v>94</v>
      </c>
      <c r="AR209" s="573">
        <v>129</v>
      </c>
      <c r="AS209" s="573">
        <v>0.93</v>
      </c>
    </row>
    <row r="210" spans="23:45" x14ac:dyDescent="0.25">
      <c r="AP210" s="573">
        <v>18</v>
      </c>
      <c r="AQ210" s="573">
        <v>94</v>
      </c>
      <c r="AR210" s="573">
        <v>130</v>
      </c>
      <c r="AS210" s="573">
        <v>0.93</v>
      </c>
    </row>
    <row r="211" spans="23:45" x14ac:dyDescent="0.25">
      <c r="AP211" s="573">
        <v>19</v>
      </c>
      <c r="AQ211" s="573">
        <v>94</v>
      </c>
      <c r="AR211" s="573">
        <v>131</v>
      </c>
      <c r="AS211" s="573">
        <v>0.92</v>
      </c>
    </row>
    <row r="212" spans="23:45" x14ac:dyDescent="0.25">
      <c r="AP212" s="573">
        <v>20</v>
      </c>
      <c r="AQ212" s="573">
        <v>94</v>
      </c>
      <c r="AR212" s="573">
        <v>132</v>
      </c>
      <c r="AS212" s="573">
        <v>0.92</v>
      </c>
    </row>
    <row r="213" spans="23:45" x14ac:dyDescent="0.25">
      <c r="AP213" s="573">
        <v>21</v>
      </c>
      <c r="AQ213" s="573">
        <v>94</v>
      </c>
      <c r="AR213" s="573">
        <v>133</v>
      </c>
      <c r="AS213" s="573">
        <v>0.92</v>
      </c>
    </row>
    <row r="214" spans="23:45" x14ac:dyDescent="0.25">
      <c r="AP214" s="573">
        <v>22</v>
      </c>
      <c r="AQ214" s="573">
        <v>94</v>
      </c>
      <c r="AR214" s="573">
        <v>134</v>
      </c>
      <c r="AS214" s="573">
        <v>0.91</v>
      </c>
    </row>
    <row r="215" spans="23:45" x14ac:dyDescent="0.25">
      <c r="AP215" s="573">
        <v>23</v>
      </c>
      <c r="AQ215" s="573">
        <v>94</v>
      </c>
      <c r="AR215" s="573">
        <v>135</v>
      </c>
      <c r="AS215" s="573">
        <v>0.91</v>
      </c>
    </row>
    <row r="216" spans="23:45" x14ac:dyDescent="0.25">
      <c r="AP216" s="573">
        <v>24</v>
      </c>
      <c r="AQ216" s="573">
        <v>94</v>
      </c>
      <c r="AR216" s="573">
        <v>136</v>
      </c>
      <c r="AS216" s="573">
        <v>0.91</v>
      </c>
    </row>
    <row r="217" spans="23:45" x14ac:dyDescent="0.25">
      <c r="AP217" s="573">
        <v>25</v>
      </c>
      <c r="AQ217" s="573">
        <v>94</v>
      </c>
      <c r="AR217" s="573">
        <v>137</v>
      </c>
      <c r="AS217" s="573">
        <v>0.9</v>
      </c>
    </row>
    <row r="218" spans="23:45" x14ac:dyDescent="0.25">
      <c r="AP218" s="573">
        <v>26</v>
      </c>
      <c r="AQ218" s="573">
        <v>94</v>
      </c>
      <c r="AR218" s="573">
        <v>138</v>
      </c>
      <c r="AS218" s="573">
        <v>0.9</v>
      </c>
    </row>
    <row r="219" spans="23:45" x14ac:dyDescent="0.25">
      <c r="AP219" s="573">
        <v>27</v>
      </c>
      <c r="AQ219" s="573">
        <v>94</v>
      </c>
      <c r="AR219" s="573">
        <v>139</v>
      </c>
      <c r="AS219" s="573">
        <v>0.9</v>
      </c>
    </row>
    <row r="220" spans="23:45" x14ac:dyDescent="0.25">
      <c r="AP220" s="573">
        <v>28</v>
      </c>
      <c r="AQ220" s="573">
        <v>94</v>
      </c>
      <c r="AR220" s="573">
        <v>140</v>
      </c>
      <c r="AS220" s="573">
        <v>0.89</v>
      </c>
    </row>
    <row r="221" spans="23:45" x14ac:dyDescent="0.25">
      <c r="AP221" s="573">
        <v>29</v>
      </c>
      <c r="AQ221" s="573">
        <v>94</v>
      </c>
      <c r="AR221" s="573">
        <v>141</v>
      </c>
      <c r="AS221" s="573">
        <v>0.89</v>
      </c>
    </row>
    <row r="222" spans="23:45" x14ac:dyDescent="0.25">
      <c r="AP222" s="573">
        <v>30</v>
      </c>
      <c r="AQ222" s="573">
        <v>94</v>
      </c>
      <c r="AR222" s="573">
        <v>142</v>
      </c>
      <c r="AS222" s="573">
        <v>0.88</v>
      </c>
    </row>
    <row r="223" spans="23:45" x14ac:dyDescent="0.25">
      <c r="AP223" s="573">
        <v>31</v>
      </c>
      <c r="AQ223" s="573">
        <v>94</v>
      </c>
      <c r="AR223" s="573">
        <v>143</v>
      </c>
      <c r="AS223" s="573">
        <v>0.88</v>
      </c>
    </row>
    <row r="224" spans="23:45" x14ac:dyDescent="0.25">
      <c r="AP224" s="573">
        <v>32</v>
      </c>
      <c r="AQ224" s="573">
        <v>94</v>
      </c>
      <c r="AR224" s="573">
        <v>144</v>
      </c>
      <c r="AS224" s="573">
        <v>0.87</v>
      </c>
    </row>
    <row r="225" spans="42:45" x14ac:dyDescent="0.25">
      <c r="AP225" s="573">
        <v>33</v>
      </c>
      <c r="AQ225" s="573">
        <v>94</v>
      </c>
      <c r="AR225" s="573">
        <v>145</v>
      </c>
      <c r="AS225" s="573">
        <v>0.87</v>
      </c>
    </row>
    <row r="226" spans="42:45" x14ac:dyDescent="0.25">
      <c r="AP226" s="573">
        <v>34</v>
      </c>
      <c r="AQ226" s="573">
        <v>94</v>
      </c>
      <c r="AR226" s="573">
        <v>146</v>
      </c>
      <c r="AS226" s="573">
        <v>0.86</v>
      </c>
    </row>
    <row r="227" spans="42:45" x14ac:dyDescent="0.25">
      <c r="AP227" s="573">
        <v>35</v>
      </c>
      <c r="AQ227" s="573">
        <v>94</v>
      </c>
      <c r="AR227" s="573">
        <v>147</v>
      </c>
      <c r="AS227" s="573">
        <v>0.86</v>
      </c>
    </row>
    <row r="228" spans="42:45" x14ac:dyDescent="0.25">
      <c r="AP228" s="573">
        <v>36</v>
      </c>
      <c r="AQ228" s="573">
        <v>94</v>
      </c>
      <c r="AR228" s="573">
        <v>148</v>
      </c>
      <c r="AS228" s="573">
        <v>0.85</v>
      </c>
    </row>
    <row r="229" spans="42:45" x14ac:dyDescent="0.25">
      <c r="AP229" s="573">
        <v>37</v>
      </c>
      <c r="AQ229" s="573">
        <v>94</v>
      </c>
      <c r="AR229" s="573">
        <v>149</v>
      </c>
      <c r="AS229" s="573">
        <v>0.85</v>
      </c>
    </row>
    <row r="230" spans="42:45" x14ac:dyDescent="0.25">
      <c r="AP230" s="573">
        <v>38</v>
      </c>
      <c r="AQ230" s="573">
        <v>95</v>
      </c>
      <c r="AR230" s="573">
        <v>150</v>
      </c>
      <c r="AS230" s="573">
        <v>0.84</v>
      </c>
    </row>
    <row r="231" spans="42:45" x14ac:dyDescent="0.25">
      <c r="AP231" s="573">
        <v>39</v>
      </c>
      <c r="AQ231" s="573">
        <v>95</v>
      </c>
      <c r="AR231" s="573">
        <v>151</v>
      </c>
      <c r="AS231" s="573">
        <v>0.84</v>
      </c>
    </row>
    <row r="232" spans="42:45" x14ac:dyDescent="0.25">
      <c r="AP232" s="573">
        <v>40</v>
      </c>
      <c r="AQ232" s="573">
        <v>95</v>
      </c>
      <c r="AR232" s="573">
        <v>152</v>
      </c>
      <c r="AS232" s="573">
        <v>0.83</v>
      </c>
    </row>
    <row r="233" spans="42:45" x14ac:dyDescent="0.25">
      <c r="AP233" s="573">
        <v>41</v>
      </c>
      <c r="AQ233" s="573">
        <v>95</v>
      </c>
      <c r="AR233" s="573">
        <v>153</v>
      </c>
      <c r="AS233" s="573">
        <v>0.83</v>
      </c>
    </row>
    <row r="234" spans="42:45" x14ac:dyDescent="0.25">
      <c r="AP234" s="573">
        <v>42</v>
      </c>
      <c r="AQ234" s="573">
        <v>95</v>
      </c>
      <c r="AR234" s="573">
        <v>154</v>
      </c>
      <c r="AS234" s="573">
        <v>0.82</v>
      </c>
    </row>
    <row r="235" spans="42:45" x14ac:dyDescent="0.25">
      <c r="AP235" s="573">
        <v>43</v>
      </c>
      <c r="AQ235" s="573">
        <v>95</v>
      </c>
      <c r="AR235" s="573">
        <v>155</v>
      </c>
      <c r="AS235" s="573">
        <v>0.82</v>
      </c>
    </row>
    <row r="236" spans="42:45" x14ac:dyDescent="0.25">
      <c r="AP236" s="573">
        <v>44</v>
      </c>
      <c r="AQ236" s="573">
        <v>95</v>
      </c>
      <c r="AR236" s="573">
        <v>156</v>
      </c>
      <c r="AS236" s="573">
        <v>0.81</v>
      </c>
    </row>
    <row r="237" spans="42:45" x14ac:dyDescent="0.25">
      <c r="AP237" s="573">
        <v>45</v>
      </c>
      <c r="AQ237" s="573">
        <v>95</v>
      </c>
      <c r="AR237" s="573">
        <v>157</v>
      </c>
      <c r="AS237" s="573">
        <v>0.81</v>
      </c>
    </row>
    <row r="238" spans="42:45" x14ac:dyDescent="0.25">
      <c r="AP238" s="573">
        <v>46</v>
      </c>
      <c r="AQ238" s="573">
        <v>95</v>
      </c>
      <c r="AR238" s="573">
        <v>158</v>
      </c>
      <c r="AS238" s="573">
        <v>0.8</v>
      </c>
    </row>
    <row r="239" spans="42:45" x14ac:dyDescent="0.25">
      <c r="AP239" s="573">
        <v>47</v>
      </c>
      <c r="AQ239" s="573">
        <v>95</v>
      </c>
      <c r="AR239" s="573">
        <v>159</v>
      </c>
      <c r="AS239" s="573">
        <v>0.8</v>
      </c>
    </row>
    <row r="240" spans="42:45" x14ac:dyDescent="0.25">
      <c r="AP240" s="573">
        <v>48</v>
      </c>
      <c r="AQ240" s="573">
        <v>95</v>
      </c>
      <c r="AR240" s="573">
        <v>160</v>
      </c>
      <c r="AS240" s="573">
        <v>0.79</v>
      </c>
    </row>
    <row r="241" spans="42:45" x14ac:dyDescent="0.25">
      <c r="AP241" s="573">
        <v>49</v>
      </c>
      <c r="AQ241" s="573">
        <v>95</v>
      </c>
      <c r="AR241" s="573">
        <v>161</v>
      </c>
      <c r="AS241" s="573">
        <v>0.78</v>
      </c>
    </row>
    <row r="242" spans="42:45" x14ac:dyDescent="0.25">
      <c r="AP242" s="573">
        <v>50</v>
      </c>
      <c r="AQ242" s="573">
        <v>95</v>
      </c>
      <c r="AR242" s="573">
        <v>162</v>
      </c>
      <c r="AS242" s="573">
        <v>0.77</v>
      </c>
    </row>
    <row r="243" spans="42:45" x14ac:dyDescent="0.25">
      <c r="AP243" s="573">
        <v>51</v>
      </c>
      <c r="AQ243" s="573">
        <v>95</v>
      </c>
      <c r="AR243" s="573">
        <v>163</v>
      </c>
      <c r="AS243" s="573">
        <v>0.76</v>
      </c>
    </row>
    <row r="244" spans="42:45" x14ac:dyDescent="0.25">
      <c r="AP244" s="573">
        <v>52</v>
      </c>
      <c r="AQ244" s="573">
        <v>95</v>
      </c>
      <c r="AR244" s="573">
        <v>164</v>
      </c>
      <c r="AS244" s="573">
        <v>0.75</v>
      </c>
    </row>
    <row r="245" spans="42:45" x14ac:dyDescent="0.25">
      <c r="AP245" s="573">
        <v>53</v>
      </c>
      <c r="AQ245" s="573">
        <v>95</v>
      </c>
      <c r="AR245" s="573">
        <v>165</v>
      </c>
      <c r="AS245" s="573">
        <v>0.74</v>
      </c>
    </row>
    <row r="246" spans="42:45" x14ac:dyDescent="0.25">
      <c r="AP246" s="573">
        <v>54</v>
      </c>
      <c r="AQ246" s="573">
        <v>95</v>
      </c>
      <c r="AR246" s="573">
        <v>166</v>
      </c>
      <c r="AS246" s="573">
        <v>0.73</v>
      </c>
    </row>
    <row r="247" spans="42:45" x14ac:dyDescent="0.25">
      <c r="AP247" s="573">
        <v>55</v>
      </c>
      <c r="AQ247" s="573">
        <v>95</v>
      </c>
      <c r="AR247" s="573">
        <v>167</v>
      </c>
      <c r="AS247" s="573">
        <v>0.72</v>
      </c>
    </row>
    <row r="248" spans="42:45" x14ac:dyDescent="0.25">
      <c r="AP248" s="573">
        <v>56</v>
      </c>
      <c r="AQ248" s="573">
        <v>95</v>
      </c>
      <c r="AR248" s="573">
        <v>168</v>
      </c>
      <c r="AS248" s="573">
        <v>0.71</v>
      </c>
    </row>
    <row r="249" spans="42:45" x14ac:dyDescent="0.25">
      <c r="AP249" s="573">
        <v>57</v>
      </c>
      <c r="AQ249" s="573">
        <v>95</v>
      </c>
      <c r="AR249" s="573">
        <v>169</v>
      </c>
      <c r="AS249" s="573">
        <v>0.7</v>
      </c>
    </row>
    <row r="250" spans="42:45" x14ac:dyDescent="0.25">
      <c r="AP250" s="573">
        <v>58</v>
      </c>
      <c r="AQ250" s="573">
        <v>95</v>
      </c>
      <c r="AR250" s="573">
        <v>170</v>
      </c>
      <c r="AS250" s="573">
        <v>0.69</v>
      </c>
    </row>
    <row r="251" spans="42:45" x14ac:dyDescent="0.25">
      <c r="AP251" s="573">
        <v>59</v>
      </c>
      <c r="AQ251" s="573">
        <v>95</v>
      </c>
      <c r="AR251" s="573">
        <v>171</v>
      </c>
      <c r="AS251" s="573">
        <v>0.68</v>
      </c>
    </row>
    <row r="252" spans="42:45" x14ac:dyDescent="0.25">
      <c r="AP252" s="573">
        <v>60</v>
      </c>
      <c r="AQ252" s="573">
        <v>95</v>
      </c>
      <c r="AR252" s="573">
        <v>172</v>
      </c>
      <c r="AS252" s="573">
        <v>0.67</v>
      </c>
    </row>
    <row r="253" spans="42:45" x14ac:dyDescent="0.25">
      <c r="AP253" s="573">
        <v>61</v>
      </c>
      <c r="AQ253" s="573">
        <v>95</v>
      </c>
      <c r="AR253" s="573">
        <v>173</v>
      </c>
      <c r="AS253" s="573">
        <v>0.66</v>
      </c>
    </row>
    <row r="254" spans="42:45" x14ac:dyDescent="0.25">
      <c r="AP254" s="573">
        <v>62</v>
      </c>
      <c r="AQ254" s="573">
        <v>95</v>
      </c>
      <c r="AR254" s="573">
        <v>174</v>
      </c>
      <c r="AS254" s="573">
        <v>0.65</v>
      </c>
    </row>
    <row r="255" spans="42:45" x14ac:dyDescent="0.25">
      <c r="AP255" s="573">
        <v>63</v>
      </c>
      <c r="AQ255" s="573">
        <v>95</v>
      </c>
      <c r="AR255" s="573">
        <v>175</v>
      </c>
      <c r="AS255" s="573">
        <v>0.64</v>
      </c>
    </row>
    <row r="256" spans="42:45" x14ac:dyDescent="0.25">
      <c r="AP256" s="573">
        <v>64</v>
      </c>
      <c r="AQ256" s="573">
        <v>95</v>
      </c>
      <c r="AR256" s="573">
        <v>176</v>
      </c>
      <c r="AS256" s="573">
        <v>0.63</v>
      </c>
    </row>
    <row r="257" spans="42:45" x14ac:dyDescent="0.25">
      <c r="AP257" s="573">
        <v>65</v>
      </c>
      <c r="AQ257" s="573">
        <v>95</v>
      </c>
      <c r="AR257" s="573">
        <v>177</v>
      </c>
      <c r="AS257" s="573">
        <v>0.62</v>
      </c>
    </row>
    <row r="258" spans="42:45" x14ac:dyDescent="0.25">
      <c r="AP258" s="573">
        <v>66</v>
      </c>
      <c r="AQ258" s="573">
        <v>95</v>
      </c>
      <c r="AR258" s="573">
        <v>178</v>
      </c>
      <c r="AS258" s="573">
        <v>0.61</v>
      </c>
    </row>
    <row r="259" spans="42:45" x14ac:dyDescent="0.25">
      <c r="AP259" s="573">
        <v>67</v>
      </c>
      <c r="AQ259" s="573">
        <v>95</v>
      </c>
      <c r="AR259" s="573">
        <v>179</v>
      </c>
      <c r="AS259" s="573">
        <v>0.6</v>
      </c>
    </row>
    <row r="260" spans="42:45" x14ac:dyDescent="0.25">
      <c r="AP260" s="573">
        <v>68</v>
      </c>
      <c r="AQ260" s="573">
        <v>95</v>
      </c>
      <c r="AR260" s="573">
        <v>180</v>
      </c>
      <c r="AS260" s="573">
        <v>0.59</v>
      </c>
    </row>
    <row r="261" spans="42:45" x14ac:dyDescent="0.25">
      <c r="AP261" s="573">
        <v>69</v>
      </c>
      <c r="AQ261" s="573">
        <v>95</v>
      </c>
      <c r="AR261" s="573">
        <v>181</v>
      </c>
      <c r="AS261" s="573">
        <v>0.57999999999999996</v>
      </c>
    </row>
    <row r="262" spans="42:45" x14ac:dyDescent="0.25">
      <c r="AP262" s="573">
        <v>70</v>
      </c>
      <c r="AQ262" s="573">
        <v>95</v>
      </c>
      <c r="AR262" s="573">
        <v>182</v>
      </c>
      <c r="AS262" s="573">
        <v>0.56999999999999995</v>
      </c>
    </row>
    <row r="263" spans="42:45" x14ac:dyDescent="0.25">
      <c r="AP263" s="573">
        <v>71</v>
      </c>
      <c r="AQ263" s="573">
        <v>95</v>
      </c>
      <c r="AR263" s="573">
        <v>183</v>
      </c>
      <c r="AS263" s="573">
        <v>0.56000000000000005</v>
      </c>
    </row>
    <row r="264" spans="42:45" x14ac:dyDescent="0.25">
      <c r="AP264" s="573">
        <v>72</v>
      </c>
      <c r="AQ264" s="573">
        <v>95</v>
      </c>
      <c r="AR264" s="573">
        <v>184</v>
      </c>
      <c r="AS264" s="573">
        <v>0.55000000000000004</v>
      </c>
    </row>
    <row r="265" spans="42:45" x14ac:dyDescent="0.25">
      <c r="AP265" s="573">
        <v>73</v>
      </c>
      <c r="AQ265" s="573">
        <v>95</v>
      </c>
      <c r="AR265" s="573">
        <v>185</v>
      </c>
      <c r="AS265" s="573">
        <v>0.54</v>
      </c>
    </row>
    <row r="266" spans="42:45" x14ac:dyDescent="0.25">
      <c r="AP266" s="573">
        <v>74</v>
      </c>
      <c r="AQ266" s="573">
        <v>95</v>
      </c>
      <c r="AR266" s="573">
        <v>186</v>
      </c>
      <c r="AS266" s="573">
        <v>0.53</v>
      </c>
    </row>
    <row r="267" spans="42:45" x14ac:dyDescent="0.25">
      <c r="AP267" s="573">
        <v>75</v>
      </c>
      <c r="AQ267" s="573">
        <v>95</v>
      </c>
      <c r="AR267" s="573">
        <v>187</v>
      </c>
      <c r="AS267" s="573">
        <v>0.52</v>
      </c>
    </row>
    <row r="268" spans="42:45" x14ac:dyDescent="0.25">
      <c r="AP268" s="573">
        <v>76</v>
      </c>
      <c r="AQ268" s="573">
        <v>95</v>
      </c>
      <c r="AR268" s="573">
        <v>188</v>
      </c>
      <c r="AS268" s="573">
        <v>0.51</v>
      </c>
    </row>
    <row r="269" spans="42:45" x14ac:dyDescent="0.25">
      <c r="AP269" s="573">
        <v>77</v>
      </c>
      <c r="AQ269" s="573">
        <v>95</v>
      </c>
      <c r="AR269" s="573">
        <v>189</v>
      </c>
      <c r="AS269" s="573">
        <v>0.5</v>
      </c>
    </row>
    <row r="270" spans="42:45" x14ac:dyDescent="0.25">
      <c r="AP270" s="573">
        <v>78</v>
      </c>
      <c r="AQ270" s="573">
        <v>100</v>
      </c>
      <c r="AR270" s="573">
        <v>190</v>
      </c>
      <c r="AS270" s="573">
        <v>0.49</v>
      </c>
    </row>
    <row r="271" spans="42:45" x14ac:dyDescent="0.25">
      <c r="AP271" s="573">
        <v>79</v>
      </c>
      <c r="AQ271" s="573">
        <v>100</v>
      </c>
      <c r="AR271" s="573">
        <v>191</v>
      </c>
      <c r="AS271" s="573">
        <v>0.48</v>
      </c>
    </row>
    <row r="272" spans="42:45" x14ac:dyDescent="0.25">
      <c r="AP272" s="573">
        <v>80</v>
      </c>
      <c r="AQ272" s="573">
        <v>100</v>
      </c>
      <c r="AR272" s="573">
        <v>192</v>
      </c>
      <c r="AS272" s="573">
        <v>0.47</v>
      </c>
    </row>
    <row r="273" spans="42:45" x14ac:dyDescent="0.25">
      <c r="AP273" s="573">
        <v>81</v>
      </c>
      <c r="AQ273" s="573">
        <v>100</v>
      </c>
      <c r="AR273" s="573">
        <v>193</v>
      </c>
      <c r="AS273" s="573">
        <v>0.46</v>
      </c>
    </row>
    <row r="274" spans="42:45" x14ac:dyDescent="0.25">
      <c r="AP274" s="573">
        <v>82</v>
      </c>
      <c r="AQ274" s="573">
        <v>100</v>
      </c>
      <c r="AR274" s="573">
        <v>194</v>
      </c>
      <c r="AS274" s="573">
        <v>0.45</v>
      </c>
    </row>
    <row r="275" spans="42:45" x14ac:dyDescent="0.25">
      <c r="AP275" s="573">
        <v>83</v>
      </c>
      <c r="AQ275" s="573">
        <v>100</v>
      </c>
      <c r="AR275" s="573">
        <v>195</v>
      </c>
      <c r="AS275" s="573">
        <v>0.44</v>
      </c>
    </row>
    <row r="276" spans="42:45" x14ac:dyDescent="0.25">
      <c r="AP276" s="573">
        <v>84</v>
      </c>
      <c r="AQ276" s="573">
        <v>100</v>
      </c>
      <c r="AR276" s="573">
        <v>196</v>
      </c>
      <c r="AS276" s="573">
        <v>0.43</v>
      </c>
    </row>
    <row r="277" spans="42:45" x14ac:dyDescent="0.25">
      <c r="AP277" s="573">
        <v>85</v>
      </c>
      <c r="AQ277" s="573">
        <v>100</v>
      </c>
      <c r="AR277" s="573">
        <v>197</v>
      </c>
      <c r="AS277" s="573">
        <v>0.42</v>
      </c>
    </row>
    <row r="278" spans="42:45" x14ac:dyDescent="0.25">
      <c r="AP278" s="573">
        <v>86</v>
      </c>
      <c r="AQ278" s="573">
        <v>100</v>
      </c>
      <c r="AR278" s="573">
        <v>198</v>
      </c>
      <c r="AS278" s="573">
        <v>0.41</v>
      </c>
    </row>
    <row r="279" spans="42:45" x14ac:dyDescent="0.25">
      <c r="AP279" s="573">
        <v>87</v>
      </c>
      <c r="AQ279" s="573">
        <v>100</v>
      </c>
      <c r="AR279" s="573">
        <v>199</v>
      </c>
      <c r="AS279" s="573">
        <v>0.4</v>
      </c>
    </row>
    <row r="280" spans="42:45" x14ac:dyDescent="0.25">
      <c r="AP280" s="573">
        <v>88</v>
      </c>
      <c r="AQ280" s="573">
        <v>100</v>
      </c>
      <c r="AR280" s="573">
        <v>200</v>
      </c>
      <c r="AS280" s="573">
        <v>0.4</v>
      </c>
    </row>
    <row r="281" spans="42:45" x14ac:dyDescent="0.25">
      <c r="AP281" s="573">
        <v>89</v>
      </c>
      <c r="AQ281" s="573">
        <v>100</v>
      </c>
      <c r="AR281" s="573">
        <v>201</v>
      </c>
      <c r="AS281" s="573">
        <v>0.38800000000000001</v>
      </c>
    </row>
    <row r="282" spans="42:45" x14ac:dyDescent="0.25">
      <c r="AP282" s="573">
        <v>90</v>
      </c>
      <c r="AQ282" s="573">
        <v>100</v>
      </c>
      <c r="AR282" s="573">
        <v>202</v>
      </c>
      <c r="AS282" s="573">
        <v>0.376</v>
      </c>
    </row>
    <row r="283" spans="42:45" x14ac:dyDescent="0.25">
      <c r="AP283" s="573">
        <v>91</v>
      </c>
      <c r="AQ283" s="573">
        <v>100</v>
      </c>
      <c r="AR283" s="573">
        <v>203</v>
      </c>
      <c r="AS283" s="573">
        <v>0.36399999999999999</v>
      </c>
    </row>
    <row r="284" spans="42:45" x14ac:dyDescent="0.25">
      <c r="AP284" s="573">
        <v>92</v>
      </c>
      <c r="AQ284" s="573">
        <v>100</v>
      </c>
      <c r="AR284" s="573">
        <v>204</v>
      </c>
      <c r="AS284" s="573">
        <v>0.35199999999999998</v>
      </c>
    </row>
    <row r="285" spans="42:45" x14ac:dyDescent="0.25">
      <c r="AP285" s="573">
        <v>93</v>
      </c>
      <c r="AQ285" s="573">
        <v>100</v>
      </c>
      <c r="AR285" s="573">
        <v>205</v>
      </c>
      <c r="AS285" s="573">
        <v>0.34</v>
      </c>
    </row>
    <row r="286" spans="42:45" x14ac:dyDescent="0.25">
      <c r="AP286" s="573">
        <v>94</v>
      </c>
      <c r="AQ286" s="573">
        <v>100</v>
      </c>
      <c r="AR286" s="573">
        <v>206</v>
      </c>
      <c r="AS286" s="573">
        <v>0.32800000000000001</v>
      </c>
    </row>
    <row r="287" spans="42:45" x14ac:dyDescent="0.25">
      <c r="AP287" s="573">
        <v>95</v>
      </c>
      <c r="AQ287" s="573">
        <v>100</v>
      </c>
      <c r="AR287" s="573">
        <v>207</v>
      </c>
      <c r="AS287" s="573">
        <v>0.316</v>
      </c>
    </row>
    <row r="288" spans="42:45" x14ac:dyDescent="0.25">
      <c r="AP288" s="573">
        <v>96</v>
      </c>
      <c r="AQ288" s="573">
        <v>100</v>
      </c>
      <c r="AR288" s="573">
        <v>208</v>
      </c>
      <c r="AS288" s="573">
        <v>0.30399999999999999</v>
      </c>
    </row>
    <row r="289" spans="42:45" x14ac:dyDescent="0.25">
      <c r="AP289" s="573">
        <v>97</v>
      </c>
      <c r="AQ289" s="573">
        <v>100</v>
      </c>
      <c r="AR289" s="573">
        <v>209</v>
      </c>
      <c r="AS289" s="573">
        <v>0.29199999999999998</v>
      </c>
    </row>
    <row r="290" spans="42:45" x14ac:dyDescent="0.25">
      <c r="AP290" s="573">
        <v>98</v>
      </c>
      <c r="AQ290" s="573">
        <v>100</v>
      </c>
      <c r="AR290" s="573">
        <v>210</v>
      </c>
      <c r="AS290" s="573">
        <v>0.28000000000000003</v>
      </c>
    </row>
    <row r="291" spans="42:45" x14ac:dyDescent="0.25">
      <c r="AP291" s="573">
        <v>99</v>
      </c>
      <c r="AQ291" s="573">
        <v>100</v>
      </c>
      <c r="AR291" s="573">
        <v>211</v>
      </c>
      <c r="AS291" s="573">
        <v>0.26800000000000002</v>
      </c>
    </row>
    <row r="292" spans="42:45" x14ac:dyDescent="0.25">
      <c r="AP292" s="573">
        <v>100</v>
      </c>
      <c r="AQ292" s="573">
        <v>100</v>
      </c>
      <c r="AR292" s="573">
        <v>212</v>
      </c>
      <c r="AS292" s="573">
        <v>0.25600000000000001</v>
      </c>
    </row>
    <row r="293" spans="42:45" x14ac:dyDescent="0.25">
      <c r="AP293" s="573"/>
      <c r="AQ293" s="573"/>
      <c r="AR293" s="573">
        <v>213</v>
      </c>
      <c r="AS293" s="573">
        <v>0.24399999999999999</v>
      </c>
    </row>
    <row r="294" spans="42:45" x14ac:dyDescent="0.25">
      <c r="AP294" s="573"/>
      <c r="AQ294" s="573"/>
      <c r="AR294" s="573">
        <v>214</v>
      </c>
      <c r="AS294" s="573">
        <v>0.23200000000000001</v>
      </c>
    </row>
    <row r="295" spans="42:45" x14ac:dyDescent="0.25">
      <c r="AP295" s="573"/>
      <c r="AQ295" s="573"/>
      <c r="AR295" s="573">
        <v>215</v>
      </c>
      <c r="AS295" s="573">
        <v>0.22</v>
      </c>
    </row>
    <row r="296" spans="42:45" x14ac:dyDescent="0.25">
      <c r="AP296" s="573"/>
      <c r="AQ296" s="573"/>
      <c r="AR296" s="573">
        <v>216</v>
      </c>
      <c r="AS296" s="573">
        <v>0.20799999999999999</v>
      </c>
    </row>
    <row r="297" spans="42:45" x14ac:dyDescent="0.25">
      <c r="AP297" s="573"/>
      <c r="AQ297" s="573"/>
      <c r="AR297" s="573">
        <v>217</v>
      </c>
      <c r="AS297" s="573">
        <v>0.19600000000000001</v>
      </c>
    </row>
    <row r="298" spans="42:45" x14ac:dyDescent="0.25">
      <c r="AP298" s="573"/>
      <c r="AQ298" s="573"/>
      <c r="AR298" s="573">
        <v>218</v>
      </c>
      <c r="AS298" s="573">
        <v>0.184</v>
      </c>
    </row>
    <row r="299" spans="42:45" x14ac:dyDescent="0.25">
      <c r="AP299" s="573"/>
      <c r="AQ299" s="573"/>
      <c r="AR299" s="573">
        <v>219</v>
      </c>
      <c r="AS299" s="573">
        <v>0.17199999999999999</v>
      </c>
    </row>
    <row r="300" spans="42:45" x14ac:dyDescent="0.25">
      <c r="AP300" s="573"/>
      <c r="AQ300" s="573"/>
      <c r="AR300" s="573">
        <v>220</v>
      </c>
      <c r="AS300" s="573">
        <v>0.16</v>
      </c>
    </row>
    <row r="301" spans="42:45" x14ac:dyDescent="0.25">
      <c r="AP301" s="573"/>
      <c r="AQ301" s="573"/>
      <c r="AR301" s="573">
        <v>221</v>
      </c>
      <c r="AS301" s="573">
        <v>0.153</v>
      </c>
    </row>
    <row r="302" spans="42:45" x14ac:dyDescent="0.25">
      <c r="AP302" s="573"/>
      <c r="AQ302" s="573"/>
      <c r="AR302" s="573">
        <v>222</v>
      </c>
      <c r="AS302" s="573">
        <v>0.14599999999999999</v>
      </c>
    </row>
    <row r="303" spans="42:45" x14ac:dyDescent="0.25">
      <c r="AP303" s="573"/>
      <c r="AQ303" s="573"/>
      <c r="AR303" s="573">
        <v>223</v>
      </c>
      <c r="AS303" s="573">
        <v>0.13900000000000001</v>
      </c>
    </row>
    <row r="304" spans="42:45" x14ac:dyDescent="0.25">
      <c r="AP304" s="573"/>
      <c r="AQ304" s="573"/>
      <c r="AR304" s="573">
        <v>224</v>
      </c>
      <c r="AS304" s="573">
        <v>0.13200000000000001</v>
      </c>
    </row>
    <row r="305" spans="42:45" x14ac:dyDescent="0.25">
      <c r="AP305" s="573"/>
      <c r="AQ305" s="573"/>
      <c r="AR305" s="573">
        <v>225</v>
      </c>
      <c r="AS305" s="573">
        <v>0.125</v>
      </c>
    </row>
    <row r="306" spans="42:45" x14ac:dyDescent="0.25">
      <c r="AP306" s="573"/>
      <c r="AQ306" s="573"/>
      <c r="AR306" s="573">
        <v>226</v>
      </c>
      <c r="AS306" s="573">
        <v>0.11799999999999999</v>
      </c>
    </row>
    <row r="307" spans="42:45" x14ac:dyDescent="0.25">
      <c r="AP307" s="573"/>
      <c r="AQ307" s="573"/>
      <c r="AR307" s="573">
        <v>227</v>
      </c>
      <c r="AS307" s="573">
        <v>0.111</v>
      </c>
    </row>
    <row r="308" spans="42:45" x14ac:dyDescent="0.25">
      <c r="AP308" s="573"/>
      <c r="AQ308" s="573"/>
      <c r="AR308" s="573">
        <v>228</v>
      </c>
      <c r="AS308" s="573">
        <v>0.104</v>
      </c>
    </row>
    <row r="309" spans="42:45" x14ac:dyDescent="0.25">
      <c r="AP309" s="573"/>
      <c r="AQ309" s="573"/>
      <c r="AR309" s="573">
        <v>229</v>
      </c>
      <c r="AS309" s="573">
        <v>9.6999999999999906E-2</v>
      </c>
    </row>
    <row r="310" spans="42:45" x14ac:dyDescent="0.25">
      <c r="AP310" s="573"/>
      <c r="AQ310" s="573"/>
      <c r="AR310" s="573">
        <v>230</v>
      </c>
      <c r="AS310" s="573">
        <v>8.99999999999999E-2</v>
      </c>
    </row>
    <row r="311" spans="42:45" x14ac:dyDescent="0.25">
      <c r="AP311" s="573"/>
      <c r="AQ311" s="573"/>
      <c r="AR311" s="573">
        <v>231</v>
      </c>
      <c r="AS311" s="573">
        <v>8.2999999999999893E-2</v>
      </c>
    </row>
    <row r="312" spans="42:45" x14ac:dyDescent="0.25">
      <c r="AP312" s="573"/>
      <c r="AQ312" s="573"/>
      <c r="AR312" s="573">
        <v>232</v>
      </c>
      <c r="AS312" s="573">
        <v>7.5999999999999901E-2</v>
      </c>
    </row>
    <row r="313" spans="42:45" x14ac:dyDescent="0.25">
      <c r="AP313" s="573"/>
      <c r="AQ313" s="573"/>
      <c r="AR313" s="573">
        <v>233</v>
      </c>
      <c r="AS313" s="573">
        <v>6.8999999999999895E-2</v>
      </c>
    </row>
    <row r="314" spans="42:45" x14ac:dyDescent="0.25">
      <c r="AP314" s="573"/>
      <c r="AQ314" s="573"/>
      <c r="AR314" s="573">
        <v>234</v>
      </c>
      <c r="AS314" s="573">
        <v>6.1999999999999902E-2</v>
      </c>
    </row>
    <row r="315" spans="42:45" x14ac:dyDescent="0.25">
      <c r="AP315" s="573"/>
      <c r="AQ315" s="573"/>
      <c r="AR315" s="573">
        <v>235</v>
      </c>
      <c r="AS315" s="573">
        <v>5.5E-2</v>
      </c>
    </row>
    <row r="316" spans="42:45" x14ac:dyDescent="0.25">
      <c r="AP316" s="573"/>
      <c r="AQ316" s="573"/>
      <c r="AR316" s="573">
        <v>236</v>
      </c>
      <c r="AS316" s="573">
        <v>4.8000000000000001E-2</v>
      </c>
    </row>
    <row r="317" spans="42:45" x14ac:dyDescent="0.25">
      <c r="AP317" s="573"/>
      <c r="AQ317" s="573"/>
      <c r="AR317" s="573">
        <v>237</v>
      </c>
      <c r="AS317" s="573">
        <v>4.1000000000000002E-2</v>
      </c>
    </row>
    <row r="318" spans="42:45" x14ac:dyDescent="0.25">
      <c r="AP318" s="573"/>
      <c r="AQ318" s="573"/>
      <c r="AR318" s="573">
        <v>238</v>
      </c>
      <c r="AS318" s="573">
        <v>3.4000000000000002E-2</v>
      </c>
    </row>
    <row r="319" spans="42:45" x14ac:dyDescent="0.25">
      <c r="AP319" s="573"/>
      <c r="AQ319" s="573"/>
      <c r="AR319" s="573">
        <v>239</v>
      </c>
      <c r="AS319" s="573">
        <v>2.7E-2</v>
      </c>
    </row>
    <row r="320" spans="42:45" x14ac:dyDescent="0.25">
      <c r="AP320" s="573"/>
      <c r="AQ320" s="573"/>
      <c r="AR320" s="573">
        <v>240</v>
      </c>
      <c r="AS320" s="573">
        <v>0.02</v>
      </c>
    </row>
    <row r="321" spans="42:45" x14ac:dyDescent="0.25">
      <c r="AP321" s="573"/>
      <c r="AQ321" s="573"/>
      <c r="AR321" s="573">
        <v>241</v>
      </c>
      <c r="AS321" s="573">
        <v>0.01</v>
      </c>
    </row>
    <row r="322" spans="42:45" x14ac:dyDescent="0.25">
      <c r="AP322" s="566"/>
      <c r="AQ322" s="566"/>
    </row>
    <row r="323" spans="42:45" x14ac:dyDescent="0.25">
      <c r="AP323" s="566"/>
      <c r="AQ323" s="566"/>
    </row>
    <row r="324" spans="42:45" x14ac:dyDescent="0.25">
      <c r="AP324" s="580" t="s">
        <v>2266</v>
      </c>
      <c r="AQ324" s="598"/>
      <c r="AR324" s="597"/>
      <c r="AS324" s="598"/>
    </row>
    <row r="325" spans="42:45" x14ac:dyDescent="0.25">
      <c r="AP325" s="598">
        <f>IF(P37=0,0,IF(P37&gt;70,100,IF(P37&lt;0.1,0,VLOOKUP(P37,$AP$327:$AQ$405,2,0))))</f>
        <v>50</v>
      </c>
      <c r="AQ325" s="598"/>
      <c r="AR325" s="597">
        <f>IF(P38&gt;4,55,IF(P38&lt;0,0,VLOOKUP(P38,$AR$327:$AS$331,2,0)))</f>
        <v>35</v>
      </c>
      <c r="AS325" s="598"/>
    </row>
    <row r="326" spans="42:45" x14ac:dyDescent="0.25">
      <c r="AP326" s="598" t="s">
        <v>2212</v>
      </c>
      <c r="AQ326" s="598" t="s">
        <v>2263</v>
      </c>
      <c r="AR326" s="597" t="s">
        <v>2233</v>
      </c>
      <c r="AS326" s="598" t="s">
        <v>2264</v>
      </c>
    </row>
    <row r="327" spans="42:45" x14ac:dyDescent="0.25">
      <c r="AP327" s="598">
        <v>0.1</v>
      </c>
      <c r="AQ327" s="598">
        <v>0</v>
      </c>
      <c r="AR327" s="597">
        <v>0</v>
      </c>
      <c r="AS327" s="598">
        <v>0</v>
      </c>
    </row>
    <row r="328" spans="42:45" x14ac:dyDescent="0.25">
      <c r="AP328" s="598">
        <v>0.2</v>
      </c>
      <c r="AQ328" s="598">
        <v>0</v>
      </c>
      <c r="AR328" s="597">
        <v>1</v>
      </c>
      <c r="AS328" s="598">
        <v>27</v>
      </c>
    </row>
    <row r="329" spans="42:45" x14ac:dyDescent="0.25">
      <c r="AP329" s="598">
        <v>0.3</v>
      </c>
      <c r="AQ329" s="598">
        <v>10</v>
      </c>
      <c r="AR329" s="597">
        <v>2</v>
      </c>
      <c r="AS329" s="598">
        <v>51</v>
      </c>
    </row>
    <row r="330" spans="42:45" x14ac:dyDescent="0.25">
      <c r="AP330" s="598">
        <v>0.4</v>
      </c>
      <c r="AQ330" s="598">
        <v>12</v>
      </c>
      <c r="AR330" s="597">
        <v>3</v>
      </c>
      <c r="AS330" s="598">
        <v>35</v>
      </c>
    </row>
    <row r="331" spans="42:45" x14ac:dyDescent="0.25">
      <c r="AP331" s="598">
        <v>0.5</v>
      </c>
      <c r="AQ331" s="598">
        <v>15</v>
      </c>
      <c r="AR331" s="597">
        <v>4</v>
      </c>
      <c r="AS331" s="598">
        <v>55</v>
      </c>
    </row>
    <row r="332" spans="42:45" x14ac:dyDescent="0.25">
      <c r="AP332" s="598">
        <v>0.6</v>
      </c>
      <c r="AQ332" s="598">
        <v>17</v>
      </c>
      <c r="AR332" s="597"/>
      <c r="AS332" s="598"/>
    </row>
    <row r="333" spans="42:45" x14ac:dyDescent="0.25">
      <c r="AP333" s="598">
        <v>0.7</v>
      </c>
      <c r="AQ333" s="598">
        <v>19</v>
      </c>
      <c r="AR333" s="597">
        <f>IF(P40&gt;4,70,IF(P40&lt;0,12,VLOOKUP(P40,$AR$335:$AS$339,2,0)))</f>
        <v>70</v>
      </c>
      <c r="AS333" s="598"/>
    </row>
    <row r="334" spans="42:45" x14ac:dyDescent="0.25">
      <c r="AP334" s="598">
        <v>0.8</v>
      </c>
      <c r="AQ334" s="598">
        <v>21</v>
      </c>
      <c r="AR334" s="597" t="s">
        <v>2265</v>
      </c>
      <c r="AS334" s="598" t="s">
        <v>2264</v>
      </c>
    </row>
    <row r="335" spans="42:45" x14ac:dyDescent="0.25">
      <c r="AP335" s="598">
        <v>0.9</v>
      </c>
      <c r="AQ335" s="598">
        <v>24</v>
      </c>
      <c r="AR335" s="597">
        <v>0</v>
      </c>
      <c r="AS335" s="598">
        <v>12</v>
      </c>
    </row>
    <row r="336" spans="42:45" x14ac:dyDescent="0.25">
      <c r="AP336" s="598">
        <v>1</v>
      </c>
      <c r="AQ336" s="598">
        <v>26</v>
      </c>
      <c r="AR336" s="597">
        <v>1</v>
      </c>
      <c r="AS336" s="598">
        <v>20</v>
      </c>
    </row>
    <row r="337" spans="42:45" x14ac:dyDescent="0.25">
      <c r="AP337" s="598">
        <v>2</v>
      </c>
      <c r="AQ337" s="598">
        <v>37</v>
      </c>
      <c r="AR337" s="597">
        <v>2</v>
      </c>
      <c r="AS337" s="598">
        <v>40</v>
      </c>
    </row>
    <row r="338" spans="42:45" x14ac:dyDescent="0.25">
      <c r="AP338" s="598">
        <v>3</v>
      </c>
      <c r="AQ338" s="598">
        <v>45</v>
      </c>
      <c r="AR338" s="597">
        <v>3</v>
      </c>
      <c r="AS338" s="598">
        <v>55</v>
      </c>
    </row>
    <row r="339" spans="42:45" x14ac:dyDescent="0.25">
      <c r="AP339" s="598">
        <v>4</v>
      </c>
      <c r="AQ339" s="598">
        <v>50</v>
      </c>
      <c r="AR339" s="597">
        <v>4</v>
      </c>
      <c r="AS339" s="598">
        <v>70</v>
      </c>
    </row>
    <row r="340" spans="42:45" x14ac:dyDescent="0.25">
      <c r="AP340" s="598">
        <v>5</v>
      </c>
      <c r="AQ340" s="598">
        <v>54</v>
      </c>
      <c r="AR340" s="597"/>
      <c r="AS340" s="598"/>
    </row>
    <row r="341" spans="42:45" x14ac:dyDescent="0.25">
      <c r="AP341" s="598">
        <v>6</v>
      </c>
      <c r="AQ341" s="598">
        <v>57</v>
      </c>
      <c r="AR341" s="597">
        <f>AP325+AR325+AR333</f>
        <v>155</v>
      </c>
      <c r="AS341" s="598"/>
    </row>
    <row r="342" spans="42:45" x14ac:dyDescent="0.25">
      <c r="AP342" s="598">
        <v>7</v>
      </c>
      <c r="AQ342" s="598">
        <v>60</v>
      </c>
      <c r="AR342" s="597"/>
      <c r="AS342" s="598"/>
    </row>
    <row r="343" spans="42:45" x14ac:dyDescent="0.25">
      <c r="AP343" s="598">
        <v>8</v>
      </c>
      <c r="AQ343" s="598">
        <v>61</v>
      </c>
      <c r="AR343" s="597" t="s">
        <v>2267</v>
      </c>
      <c r="AS343" s="598" t="s">
        <v>2268</v>
      </c>
    </row>
    <row r="344" spans="42:45" x14ac:dyDescent="0.25">
      <c r="AP344" s="598">
        <v>9</v>
      </c>
      <c r="AQ344" s="598">
        <v>62</v>
      </c>
      <c r="AR344" s="597">
        <v>17</v>
      </c>
      <c r="AS344" s="598">
        <v>0.01</v>
      </c>
    </row>
    <row r="345" spans="42:45" x14ac:dyDescent="0.25">
      <c r="AP345" s="598">
        <v>10</v>
      </c>
      <c r="AQ345" s="598">
        <v>63</v>
      </c>
      <c r="AR345" s="597">
        <v>18</v>
      </c>
      <c r="AS345" s="598">
        <v>0.01</v>
      </c>
    </row>
    <row r="346" spans="42:45" x14ac:dyDescent="0.25">
      <c r="AP346" s="598">
        <v>11</v>
      </c>
      <c r="AQ346" s="598">
        <v>65</v>
      </c>
      <c r="AR346" s="597">
        <v>19</v>
      </c>
      <c r="AS346" s="598">
        <v>0.01</v>
      </c>
    </row>
    <row r="347" spans="42:45" x14ac:dyDescent="0.25">
      <c r="AP347" s="598">
        <v>12</v>
      </c>
      <c r="AQ347" s="598">
        <v>67</v>
      </c>
      <c r="AR347" s="597">
        <v>20</v>
      </c>
      <c r="AS347" s="598">
        <v>0.01</v>
      </c>
    </row>
    <row r="348" spans="42:45" x14ac:dyDescent="0.25">
      <c r="AP348" s="598">
        <v>13</v>
      </c>
      <c r="AQ348" s="598">
        <v>68</v>
      </c>
      <c r="AR348" s="597">
        <v>21</v>
      </c>
      <c r="AS348" s="598">
        <v>0.01</v>
      </c>
    </row>
    <row r="349" spans="42:45" x14ac:dyDescent="0.25">
      <c r="AP349" s="598">
        <v>14</v>
      </c>
      <c r="AQ349" s="598">
        <v>70</v>
      </c>
      <c r="AR349" s="597">
        <v>22</v>
      </c>
      <c r="AS349" s="598">
        <v>0.01</v>
      </c>
    </row>
    <row r="350" spans="42:45" x14ac:dyDescent="0.25">
      <c r="AP350" s="598">
        <v>15</v>
      </c>
      <c r="AQ350" s="598">
        <v>71</v>
      </c>
      <c r="AR350" s="597">
        <v>23</v>
      </c>
      <c r="AS350" s="598">
        <v>0.01</v>
      </c>
    </row>
    <row r="351" spans="42:45" x14ac:dyDescent="0.25">
      <c r="AP351" s="598">
        <v>16</v>
      </c>
      <c r="AQ351" s="598">
        <v>73</v>
      </c>
      <c r="AR351" s="597">
        <v>24</v>
      </c>
      <c r="AS351" s="598">
        <v>0.01</v>
      </c>
    </row>
    <row r="352" spans="42:45" x14ac:dyDescent="0.25">
      <c r="AP352" s="598">
        <v>17</v>
      </c>
      <c r="AQ352" s="598">
        <v>74</v>
      </c>
      <c r="AR352" s="597">
        <v>25</v>
      </c>
      <c r="AS352" s="598">
        <v>0.01</v>
      </c>
    </row>
    <row r="353" spans="42:45" x14ac:dyDescent="0.25">
      <c r="AP353" s="598">
        <v>18</v>
      </c>
      <c r="AQ353" s="598">
        <v>76</v>
      </c>
      <c r="AR353" s="597">
        <v>26</v>
      </c>
      <c r="AS353" s="598">
        <v>0.01</v>
      </c>
    </row>
    <row r="354" spans="42:45" x14ac:dyDescent="0.25">
      <c r="AP354" s="598">
        <v>19</v>
      </c>
      <c r="AQ354" s="598">
        <v>77</v>
      </c>
      <c r="AR354" s="597">
        <v>27</v>
      </c>
      <c r="AS354" s="598">
        <v>0.01</v>
      </c>
    </row>
    <row r="355" spans="42:45" x14ac:dyDescent="0.25">
      <c r="AP355" s="598">
        <v>20</v>
      </c>
      <c r="AQ355" s="598">
        <v>79</v>
      </c>
      <c r="AR355" s="597">
        <v>28</v>
      </c>
      <c r="AS355" s="598">
        <v>0.01</v>
      </c>
    </row>
    <row r="356" spans="42:45" x14ac:dyDescent="0.25">
      <c r="AP356" s="598">
        <v>21</v>
      </c>
      <c r="AQ356" s="598">
        <v>79</v>
      </c>
      <c r="AR356" s="597">
        <v>29</v>
      </c>
      <c r="AS356" s="598">
        <v>0.01</v>
      </c>
    </row>
    <row r="357" spans="42:45" x14ac:dyDescent="0.25">
      <c r="AP357" s="598">
        <v>22</v>
      </c>
      <c r="AQ357" s="598">
        <v>80</v>
      </c>
      <c r="AR357" s="597">
        <v>30</v>
      </c>
      <c r="AS357" s="598">
        <v>0.02</v>
      </c>
    </row>
    <row r="358" spans="42:45" x14ac:dyDescent="0.25">
      <c r="AP358" s="598">
        <v>23</v>
      </c>
      <c r="AQ358" s="598">
        <v>80</v>
      </c>
      <c r="AR358" s="597">
        <v>31</v>
      </c>
      <c r="AS358" s="598">
        <v>0.02</v>
      </c>
    </row>
    <row r="359" spans="42:45" x14ac:dyDescent="0.25">
      <c r="AP359" s="598">
        <v>24</v>
      </c>
      <c r="AQ359" s="598">
        <v>81</v>
      </c>
      <c r="AR359" s="597">
        <v>32</v>
      </c>
      <c r="AS359" s="598">
        <v>0.02</v>
      </c>
    </row>
    <row r="360" spans="42:45" x14ac:dyDescent="0.25">
      <c r="AP360" s="598">
        <v>25</v>
      </c>
      <c r="AQ360" s="598">
        <v>81</v>
      </c>
      <c r="AR360" s="597">
        <v>33</v>
      </c>
      <c r="AS360" s="598">
        <v>0.02</v>
      </c>
    </row>
    <row r="361" spans="42:45" x14ac:dyDescent="0.25">
      <c r="AP361" s="598">
        <v>26</v>
      </c>
      <c r="AQ361" s="598">
        <v>82</v>
      </c>
      <c r="AR361" s="597">
        <v>34</v>
      </c>
      <c r="AS361" s="598">
        <v>0.02</v>
      </c>
    </row>
    <row r="362" spans="42:45" x14ac:dyDescent="0.25">
      <c r="AP362" s="598">
        <v>27</v>
      </c>
      <c r="AQ362" s="598">
        <v>82</v>
      </c>
      <c r="AR362" s="597">
        <v>35</v>
      </c>
      <c r="AS362" s="598">
        <v>0.02</v>
      </c>
    </row>
    <row r="363" spans="42:45" x14ac:dyDescent="0.25">
      <c r="AP363" s="598">
        <v>28</v>
      </c>
      <c r="AQ363" s="598">
        <v>83</v>
      </c>
      <c r="AR363" s="597">
        <v>36</v>
      </c>
      <c r="AS363" s="598">
        <v>0.02</v>
      </c>
    </row>
    <row r="364" spans="42:45" x14ac:dyDescent="0.25">
      <c r="AP364" s="598">
        <v>29</v>
      </c>
      <c r="AQ364" s="598">
        <v>83</v>
      </c>
      <c r="AR364" s="597">
        <v>37</v>
      </c>
      <c r="AS364" s="598">
        <v>0.02</v>
      </c>
    </row>
    <row r="365" spans="42:45" x14ac:dyDescent="0.25">
      <c r="AP365" s="598">
        <v>30</v>
      </c>
      <c r="AQ365" s="598">
        <v>84</v>
      </c>
      <c r="AR365" s="597">
        <v>38</v>
      </c>
      <c r="AS365" s="598">
        <v>0.02</v>
      </c>
    </row>
    <row r="366" spans="42:45" x14ac:dyDescent="0.25">
      <c r="AP366" s="598">
        <v>31</v>
      </c>
      <c r="AQ366" s="598">
        <v>84</v>
      </c>
      <c r="AR366" s="597">
        <v>39</v>
      </c>
      <c r="AS366" s="598">
        <v>0.02</v>
      </c>
    </row>
    <row r="367" spans="42:45" x14ac:dyDescent="0.25">
      <c r="AP367" s="598">
        <v>32</v>
      </c>
      <c r="AQ367" s="598">
        <v>84</v>
      </c>
      <c r="AR367" s="597">
        <v>40</v>
      </c>
      <c r="AS367" s="598">
        <v>0.02</v>
      </c>
    </row>
    <row r="368" spans="42:45" x14ac:dyDescent="0.25">
      <c r="AP368" s="598">
        <v>33</v>
      </c>
      <c r="AQ368" s="598">
        <v>85</v>
      </c>
      <c r="AR368" s="597">
        <v>41</v>
      </c>
      <c r="AS368" s="598">
        <v>0.03</v>
      </c>
    </row>
    <row r="369" spans="42:45" x14ac:dyDescent="0.25">
      <c r="AP369" s="598">
        <v>34</v>
      </c>
      <c r="AQ369" s="598">
        <v>85</v>
      </c>
      <c r="AR369" s="597">
        <v>42</v>
      </c>
      <c r="AS369" s="598">
        <v>0.03</v>
      </c>
    </row>
    <row r="370" spans="42:45" x14ac:dyDescent="0.25">
      <c r="AP370" s="598">
        <v>35</v>
      </c>
      <c r="AQ370" s="598">
        <v>85</v>
      </c>
      <c r="AR370" s="597">
        <v>43</v>
      </c>
      <c r="AS370" s="598">
        <v>0.03</v>
      </c>
    </row>
    <row r="371" spans="42:45" x14ac:dyDescent="0.25">
      <c r="AP371" s="598">
        <v>36</v>
      </c>
      <c r="AQ371" s="598">
        <v>86</v>
      </c>
      <c r="AR371" s="597">
        <v>44</v>
      </c>
      <c r="AS371" s="598">
        <v>0.03</v>
      </c>
    </row>
    <row r="372" spans="42:45" x14ac:dyDescent="0.25">
      <c r="AP372" s="598">
        <v>37</v>
      </c>
      <c r="AQ372" s="598">
        <v>86</v>
      </c>
      <c r="AR372" s="597">
        <v>45</v>
      </c>
      <c r="AS372" s="598">
        <v>0.03</v>
      </c>
    </row>
    <row r="373" spans="42:45" x14ac:dyDescent="0.25">
      <c r="AP373" s="598">
        <v>38</v>
      </c>
      <c r="AQ373" s="598">
        <v>86</v>
      </c>
      <c r="AR373" s="597">
        <v>46</v>
      </c>
      <c r="AS373" s="598">
        <v>0.03</v>
      </c>
    </row>
    <row r="374" spans="42:45" x14ac:dyDescent="0.25">
      <c r="AP374" s="598">
        <v>39</v>
      </c>
      <c r="AQ374" s="598">
        <v>86</v>
      </c>
      <c r="AR374" s="597">
        <v>47</v>
      </c>
      <c r="AS374" s="598">
        <v>0.03</v>
      </c>
    </row>
    <row r="375" spans="42:45" x14ac:dyDescent="0.25">
      <c r="AP375" s="598">
        <v>40</v>
      </c>
      <c r="AQ375" s="598">
        <v>87</v>
      </c>
      <c r="AR375" s="597">
        <v>48</v>
      </c>
      <c r="AS375" s="598">
        <v>0.03</v>
      </c>
    </row>
    <row r="376" spans="42:45" x14ac:dyDescent="0.25">
      <c r="AP376" s="598">
        <v>41</v>
      </c>
      <c r="AQ376" s="598">
        <v>87</v>
      </c>
      <c r="AR376" s="597">
        <v>49</v>
      </c>
      <c r="AS376" s="598">
        <v>0.03</v>
      </c>
    </row>
    <row r="377" spans="42:45" x14ac:dyDescent="0.25">
      <c r="AP377" s="598">
        <v>42</v>
      </c>
      <c r="AQ377" s="598">
        <v>88</v>
      </c>
      <c r="AR377" s="597">
        <v>50</v>
      </c>
      <c r="AS377" s="598">
        <v>0.03</v>
      </c>
    </row>
    <row r="378" spans="42:45" x14ac:dyDescent="0.25">
      <c r="AP378" s="598">
        <v>43</v>
      </c>
      <c r="AQ378" s="598">
        <v>88</v>
      </c>
      <c r="AR378" s="597">
        <v>51</v>
      </c>
      <c r="AS378" s="598">
        <v>0.04</v>
      </c>
    </row>
    <row r="379" spans="42:45" x14ac:dyDescent="0.25">
      <c r="AP379" s="598">
        <v>44</v>
      </c>
      <c r="AQ379" s="598">
        <v>89</v>
      </c>
      <c r="AR379" s="597">
        <v>52</v>
      </c>
      <c r="AS379" s="598">
        <v>0.04</v>
      </c>
    </row>
    <row r="380" spans="42:45" x14ac:dyDescent="0.25">
      <c r="AP380" s="598">
        <v>45</v>
      </c>
      <c r="AQ380" s="598">
        <v>89</v>
      </c>
      <c r="AR380" s="597">
        <v>53</v>
      </c>
      <c r="AS380" s="598">
        <v>0.04</v>
      </c>
    </row>
    <row r="381" spans="42:45" x14ac:dyDescent="0.25">
      <c r="AP381" s="598">
        <v>46</v>
      </c>
      <c r="AQ381" s="598">
        <v>90</v>
      </c>
      <c r="AR381" s="597">
        <v>54</v>
      </c>
      <c r="AS381" s="598">
        <v>0.04</v>
      </c>
    </row>
    <row r="382" spans="42:45" x14ac:dyDescent="0.25">
      <c r="AP382" s="598">
        <v>47</v>
      </c>
      <c r="AQ382" s="598">
        <v>90</v>
      </c>
      <c r="AR382" s="597">
        <v>55</v>
      </c>
      <c r="AS382" s="598">
        <v>0.04</v>
      </c>
    </row>
    <row r="383" spans="42:45" x14ac:dyDescent="0.25">
      <c r="AP383" s="598">
        <v>48</v>
      </c>
      <c r="AQ383" s="598">
        <v>91</v>
      </c>
      <c r="AR383" s="597">
        <v>56</v>
      </c>
      <c r="AS383" s="598">
        <v>0.04</v>
      </c>
    </row>
    <row r="384" spans="42:45" x14ac:dyDescent="0.25">
      <c r="AP384" s="598">
        <v>49</v>
      </c>
      <c r="AQ384" s="598">
        <v>92</v>
      </c>
      <c r="AR384" s="597">
        <v>57</v>
      </c>
      <c r="AS384" s="598">
        <v>0.04</v>
      </c>
    </row>
    <row r="385" spans="42:45" x14ac:dyDescent="0.25">
      <c r="AP385" s="598">
        <v>50</v>
      </c>
      <c r="AQ385" s="598">
        <v>93</v>
      </c>
      <c r="AR385" s="597">
        <v>58</v>
      </c>
      <c r="AS385" s="598">
        <v>0.04</v>
      </c>
    </row>
    <row r="386" spans="42:45" x14ac:dyDescent="0.25">
      <c r="AP386" s="598">
        <v>51</v>
      </c>
      <c r="AQ386" s="598">
        <v>93</v>
      </c>
      <c r="AR386" s="597">
        <v>59</v>
      </c>
      <c r="AS386" s="598">
        <v>0.04</v>
      </c>
    </row>
    <row r="387" spans="42:45" x14ac:dyDescent="0.25">
      <c r="AP387" s="598">
        <v>52</v>
      </c>
      <c r="AQ387" s="598">
        <v>93</v>
      </c>
      <c r="AR387" s="597">
        <v>60</v>
      </c>
      <c r="AS387" s="598">
        <v>0.05</v>
      </c>
    </row>
    <row r="388" spans="42:45" x14ac:dyDescent="0.25">
      <c r="AP388" s="598">
        <v>53</v>
      </c>
      <c r="AQ388" s="598">
        <v>93</v>
      </c>
      <c r="AR388" s="597">
        <v>61</v>
      </c>
      <c r="AS388" s="598">
        <v>0.05</v>
      </c>
    </row>
    <row r="389" spans="42:45" x14ac:dyDescent="0.25">
      <c r="AP389" s="598">
        <v>54</v>
      </c>
      <c r="AQ389" s="598">
        <v>94</v>
      </c>
      <c r="AR389" s="597">
        <v>62</v>
      </c>
      <c r="AS389" s="598">
        <v>0.05</v>
      </c>
    </row>
    <row r="390" spans="42:45" x14ac:dyDescent="0.25">
      <c r="AP390" s="598">
        <v>55</v>
      </c>
      <c r="AQ390" s="598">
        <v>94</v>
      </c>
      <c r="AR390" s="597">
        <v>63</v>
      </c>
      <c r="AS390" s="598">
        <v>0.06</v>
      </c>
    </row>
    <row r="391" spans="42:45" x14ac:dyDescent="0.25">
      <c r="AP391" s="598">
        <v>56</v>
      </c>
      <c r="AQ391" s="598">
        <v>94</v>
      </c>
      <c r="AR391" s="597">
        <v>64</v>
      </c>
      <c r="AS391" s="598">
        <v>0.06</v>
      </c>
    </row>
    <row r="392" spans="42:45" x14ac:dyDescent="0.25">
      <c r="AP392" s="598">
        <v>57</v>
      </c>
      <c r="AQ392" s="598">
        <v>94</v>
      </c>
      <c r="AR392" s="597">
        <v>65</v>
      </c>
      <c r="AS392" s="598">
        <v>0.06</v>
      </c>
    </row>
    <row r="393" spans="42:45" x14ac:dyDescent="0.25">
      <c r="AP393" s="598">
        <v>58</v>
      </c>
      <c r="AQ393" s="598">
        <v>94</v>
      </c>
      <c r="AR393" s="597">
        <v>66</v>
      </c>
      <c r="AS393" s="598">
        <v>7.0000000000000007E-2</v>
      </c>
    </row>
    <row r="394" spans="42:45" x14ac:dyDescent="0.25">
      <c r="AP394" s="598">
        <v>59</v>
      </c>
      <c r="AQ394" s="598">
        <v>95</v>
      </c>
      <c r="AR394" s="597">
        <v>67</v>
      </c>
      <c r="AS394" s="598">
        <v>7.0000000000000007E-2</v>
      </c>
    </row>
    <row r="395" spans="42:45" x14ac:dyDescent="0.25">
      <c r="AP395" s="598">
        <v>60</v>
      </c>
      <c r="AQ395" s="598">
        <v>95</v>
      </c>
      <c r="AR395" s="597">
        <v>68</v>
      </c>
      <c r="AS395" s="598">
        <v>7.0000000000000007E-2</v>
      </c>
    </row>
    <row r="396" spans="42:45" x14ac:dyDescent="0.25">
      <c r="AP396" s="598">
        <v>61</v>
      </c>
      <c r="AQ396" s="598">
        <v>95</v>
      </c>
      <c r="AR396" s="597">
        <v>69</v>
      </c>
      <c r="AS396" s="598">
        <v>7.0000000000000007E-2</v>
      </c>
    </row>
    <row r="397" spans="42:45" x14ac:dyDescent="0.25">
      <c r="AP397" s="598">
        <v>62</v>
      </c>
      <c r="AQ397" s="598">
        <v>95</v>
      </c>
      <c r="AR397" s="597">
        <v>70</v>
      </c>
      <c r="AS397" s="598">
        <v>7.0000000000000007E-2</v>
      </c>
    </row>
    <row r="398" spans="42:45" x14ac:dyDescent="0.25">
      <c r="AP398" s="598">
        <v>63</v>
      </c>
      <c r="AQ398" s="598">
        <v>96</v>
      </c>
      <c r="AR398" s="597">
        <v>71</v>
      </c>
      <c r="AS398" s="598">
        <v>0.08</v>
      </c>
    </row>
    <row r="399" spans="42:45" x14ac:dyDescent="0.25">
      <c r="AP399" s="598">
        <v>64</v>
      </c>
      <c r="AQ399" s="598">
        <v>96</v>
      </c>
      <c r="AR399" s="597">
        <v>72</v>
      </c>
      <c r="AS399" s="598">
        <v>0.08</v>
      </c>
    </row>
    <row r="400" spans="42:45" x14ac:dyDescent="0.25">
      <c r="AP400" s="598">
        <v>65</v>
      </c>
      <c r="AQ400" s="598">
        <v>97</v>
      </c>
      <c r="AR400" s="597">
        <v>73</v>
      </c>
      <c r="AS400" s="598">
        <v>0.08</v>
      </c>
    </row>
    <row r="401" spans="42:45" x14ac:dyDescent="0.25">
      <c r="AP401" s="598">
        <v>66</v>
      </c>
      <c r="AQ401" s="598">
        <v>97</v>
      </c>
      <c r="AR401" s="597">
        <v>74</v>
      </c>
      <c r="AS401" s="598">
        <v>0.08</v>
      </c>
    </row>
    <row r="402" spans="42:45" x14ac:dyDescent="0.25">
      <c r="AP402" s="598">
        <v>67</v>
      </c>
      <c r="AQ402" s="598">
        <v>98</v>
      </c>
      <c r="AR402" s="597">
        <v>75</v>
      </c>
      <c r="AS402" s="598">
        <v>0.08</v>
      </c>
    </row>
    <row r="403" spans="42:45" x14ac:dyDescent="0.25">
      <c r="AP403" s="598">
        <v>68</v>
      </c>
      <c r="AQ403" s="598">
        <v>99</v>
      </c>
      <c r="AR403" s="597">
        <v>76</v>
      </c>
      <c r="AS403" s="598">
        <v>0.09</v>
      </c>
    </row>
    <row r="404" spans="42:45" x14ac:dyDescent="0.25">
      <c r="AP404" s="598">
        <v>69</v>
      </c>
      <c r="AQ404" s="598">
        <v>99</v>
      </c>
      <c r="AR404" s="597">
        <v>77</v>
      </c>
      <c r="AS404" s="598">
        <v>0.09</v>
      </c>
    </row>
    <row r="405" spans="42:45" x14ac:dyDescent="0.25">
      <c r="AP405" s="598">
        <v>70</v>
      </c>
      <c r="AQ405" s="598">
        <v>100</v>
      </c>
      <c r="AR405" s="597">
        <v>78</v>
      </c>
      <c r="AS405" s="598">
        <v>0.09</v>
      </c>
    </row>
    <row r="406" spans="42:45" x14ac:dyDescent="0.25">
      <c r="AP406" s="598"/>
      <c r="AQ406" s="598"/>
      <c r="AR406" s="597">
        <v>79</v>
      </c>
      <c r="AS406" s="598">
        <v>0.09</v>
      </c>
    </row>
    <row r="407" spans="42:45" x14ac:dyDescent="0.25">
      <c r="AP407" s="598"/>
      <c r="AQ407" s="598"/>
      <c r="AR407" s="597">
        <v>80</v>
      </c>
      <c r="AS407" s="598">
        <v>0.1</v>
      </c>
    </row>
    <row r="408" spans="42:45" x14ac:dyDescent="0.25">
      <c r="AP408" s="598"/>
      <c r="AQ408" s="598"/>
      <c r="AR408" s="597">
        <v>81</v>
      </c>
      <c r="AS408" s="598">
        <v>0.104</v>
      </c>
    </row>
    <row r="409" spans="42:45" x14ac:dyDescent="0.25">
      <c r="AP409" s="598"/>
      <c r="AQ409" s="598"/>
      <c r="AR409" s="597">
        <v>82</v>
      </c>
      <c r="AS409" s="598">
        <v>0.108</v>
      </c>
    </row>
    <row r="410" spans="42:45" x14ac:dyDescent="0.25">
      <c r="AP410" s="598"/>
      <c r="AQ410" s="598"/>
      <c r="AR410" s="597">
        <v>83</v>
      </c>
      <c r="AS410" s="598">
        <v>0.112</v>
      </c>
    </row>
    <row r="411" spans="42:45" x14ac:dyDescent="0.25">
      <c r="AP411" s="598"/>
      <c r="AQ411" s="598"/>
      <c r="AR411" s="597">
        <v>84</v>
      </c>
      <c r="AS411" s="598">
        <v>0.11600000000000001</v>
      </c>
    </row>
    <row r="412" spans="42:45" x14ac:dyDescent="0.25">
      <c r="AP412" s="598"/>
      <c r="AQ412" s="598"/>
      <c r="AR412" s="597">
        <v>85</v>
      </c>
      <c r="AS412" s="598">
        <v>0.12</v>
      </c>
    </row>
    <row r="413" spans="42:45" x14ac:dyDescent="0.25">
      <c r="AP413" s="598"/>
      <c r="AQ413" s="598"/>
      <c r="AR413" s="597">
        <v>86</v>
      </c>
      <c r="AS413" s="598">
        <v>0.124</v>
      </c>
    </row>
    <row r="414" spans="42:45" x14ac:dyDescent="0.25">
      <c r="AP414" s="598"/>
      <c r="AQ414" s="598"/>
      <c r="AR414" s="597">
        <v>87</v>
      </c>
      <c r="AS414" s="598">
        <v>0.128</v>
      </c>
    </row>
    <row r="415" spans="42:45" x14ac:dyDescent="0.25">
      <c r="AP415" s="598"/>
      <c r="AQ415" s="598"/>
      <c r="AR415" s="597">
        <v>88</v>
      </c>
      <c r="AS415" s="598">
        <v>0.13200000000000001</v>
      </c>
    </row>
    <row r="416" spans="42:45" x14ac:dyDescent="0.25">
      <c r="AP416" s="598"/>
      <c r="AQ416" s="598"/>
      <c r="AR416" s="597">
        <v>89</v>
      </c>
      <c r="AS416" s="598">
        <v>0.13600000000000001</v>
      </c>
    </row>
    <row r="417" spans="42:45" x14ac:dyDescent="0.25">
      <c r="AP417" s="598"/>
      <c r="AQ417" s="598"/>
      <c r="AR417" s="597">
        <v>90</v>
      </c>
      <c r="AS417" s="598">
        <v>0.14000000000000001</v>
      </c>
    </row>
    <row r="418" spans="42:45" x14ac:dyDescent="0.25">
      <c r="AP418" s="598"/>
      <c r="AQ418" s="598"/>
      <c r="AR418" s="597">
        <v>91</v>
      </c>
      <c r="AS418" s="598">
        <v>0.14399999999999999</v>
      </c>
    </row>
    <row r="419" spans="42:45" x14ac:dyDescent="0.25">
      <c r="AP419" s="598"/>
      <c r="AQ419" s="598"/>
      <c r="AR419" s="597">
        <v>92</v>
      </c>
      <c r="AS419" s="598">
        <v>0.14799999999999999</v>
      </c>
    </row>
    <row r="420" spans="42:45" x14ac:dyDescent="0.25">
      <c r="AP420" s="598"/>
      <c r="AQ420" s="598"/>
      <c r="AR420" s="597">
        <v>93</v>
      </c>
      <c r="AS420" s="598">
        <v>0.152</v>
      </c>
    </row>
    <row r="421" spans="42:45" x14ac:dyDescent="0.25">
      <c r="AP421" s="598"/>
      <c r="AQ421" s="598"/>
      <c r="AR421" s="597">
        <v>94</v>
      </c>
      <c r="AS421" s="598">
        <v>0.156</v>
      </c>
    </row>
    <row r="422" spans="42:45" x14ac:dyDescent="0.25">
      <c r="AP422" s="598"/>
      <c r="AQ422" s="598"/>
      <c r="AR422" s="597">
        <v>95</v>
      </c>
      <c r="AS422" s="598">
        <v>0.16</v>
      </c>
    </row>
    <row r="423" spans="42:45" x14ac:dyDescent="0.25">
      <c r="AP423" s="598"/>
      <c r="AQ423" s="598"/>
      <c r="AR423" s="597">
        <v>96</v>
      </c>
      <c r="AS423" s="598">
        <v>0.16400000000000001</v>
      </c>
    </row>
    <row r="424" spans="42:45" x14ac:dyDescent="0.25">
      <c r="AP424" s="598"/>
      <c r="AQ424" s="598"/>
      <c r="AR424" s="597">
        <v>97</v>
      </c>
      <c r="AS424" s="598">
        <v>0.16800000000000001</v>
      </c>
    </row>
    <row r="425" spans="42:45" x14ac:dyDescent="0.25">
      <c r="AP425" s="598"/>
      <c r="AQ425" s="598"/>
      <c r="AR425" s="597">
        <v>98</v>
      </c>
      <c r="AS425" s="598">
        <v>0.17199999999999999</v>
      </c>
    </row>
    <row r="426" spans="42:45" x14ac:dyDescent="0.25">
      <c r="AP426" s="598"/>
      <c r="AQ426" s="598"/>
      <c r="AR426" s="597">
        <v>99</v>
      </c>
      <c r="AS426" s="598">
        <v>0.17599999999999999</v>
      </c>
    </row>
    <row r="427" spans="42:45" x14ac:dyDescent="0.25">
      <c r="AP427" s="598"/>
      <c r="AQ427" s="598"/>
      <c r="AR427" s="597">
        <v>100</v>
      </c>
      <c r="AS427" s="598">
        <v>0.18</v>
      </c>
    </row>
    <row r="428" spans="42:45" x14ac:dyDescent="0.25">
      <c r="AP428" s="598"/>
      <c r="AQ428" s="598"/>
      <c r="AR428" s="597">
        <v>101</v>
      </c>
      <c r="AS428" s="598">
        <v>0.184</v>
      </c>
    </row>
    <row r="429" spans="42:45" x14ac:dyDescent="0.25">
      <c r="AP429" s="598"/>
      <c r="AQ429" s="598"/>
      <c r="AR429" s="597">
        <v>102</v>
      </c>
      <c r="AS429" s="598">
        <v>0.188</v>
      </c>
    </row>
    <row r="430" spans="42:45" x14ac:dyDescent="0.25">
      <c r="AP430" s="598"/>
      <c r="AQ430" s="598"/>
      <c r="AR430" s="597">
        <v>103</v>
      </c>
      <c r="AS430" s="598">
        <v>0.192</v>
      </c>
    </row>
    <row r="431" spans="42:45" x14ac:dyDescent="0.25">
      <c r="AP431" s="598"/>
      <c r="AQ431" s="598"/>
      <c r="AR431" s="597">
        <v>104</v>
      </c>
      <c r="AS431" s="598">
        <v>0.19600000000000001</v>
      </c>
    </row>
    <row r="432" spans="42:45" x14ac:dyDescent="0.25">
      <c r="AP432" s="598"/>
      <c r="AQ432" s="598"/>
      <c r="AR432" s="597">
        <v>105</v>
      </c>
      <c r="AS432" s="598">
        <v>0.2</v>
      </c>
    </row>
    <row r="433" spans="42:45" x14ac:dyDescent="0.25">
      <c r="AP433" s="598"/>
      <c r="AQ433" s="598"/>
      <c r="AR433" s="597">
        <v>106</v>
      </c>
      <c r="AS433" s="598">
        <v>0.20399999999999999</v>
      </c>
    </row>
    <row r="434" spans="42:45" x14ac:dyDescent="0.25">
      <c r="AP434" s="598"/>
      <c r="AQ434" s="598"/>
      <c r="AR434" s="597">
        <v>107</v>
      </c>
      <c r="AS434" s="598">
        <v>0.20599999999999999</v>
      </c>
    </row>
    <row r="435" spans="42:45" x14ac:dyDescent="0.25">
      <c r="AP435" s="598"/>
      <c r="AQ435" s="598"/>
      <c r="AR435" s="597">
        <v>108</v>
      </c>
      <c r="AS435" s="598">
        <v>0.21299999999999999</v>
      </c>
    </row>
    <row r="436" spans="42:45" x14ac:dyDescent="0.25">
      <c r="AP436" s="598"/>
      <c r="AQ436" s="598"/>
      <c r="AR436" s="597">
        <v>109</v>
      </c>
      <c r="AS436" s="598">
        <v>0.22</v>
      </c>
    </row>
    <row r="437" spans="42:45" x14ac:dyDescent="0.25">
      <c r="AP437" s="598"/>
      <c r="AQ437" s="598"/>
      <c r="AR437" s="597">
        <v>110</v>
      </c>
      <c r="AS437" s="598">
        <v>0.22700000000000001</v>
      </c>
    </row>
    <row r="438" spans="42:45" x14ac:dyDescent="0.25">
      <c r="AP438" s="598"/>
      <c r="AQ438" s="598"/>
      <c r="AR438" s="597">
        <v>111</v>
      </c>
      <c r="AS438" s="598">
        <v>0.23400000000000001</v>
      </c>
    </row>
    <row r="439" spans="42:45" x14ac:dyDescent="0.25">
      <c r="AP439" s="598"/>
      <c r="AQ439" s="598"/>
      <c r="AR439" s="597">
        <v>112</v>
      </c>
      <c r="AS439" s="598">
        <v>0.24099999999999999</v>
      </c>
    </row>
    <row r="440" spans="42:45" x14ac:dyDescent="0.25">
      <c r="AP440" s="598"/>
      <c r="AQ440" s="598"/>
      <c r="AR440" s="597">
        <v>113</v>
      </c>
      <c r="AS440" s="598">
        <v>0.248</v>
      </c>
    </row>
    <row r="441" spans="42:45" x14ac:dyDescent="0.25">
      <c r="AP441" s="598"/>
      <c r="AQ441" s="598"/>
      <c r="AR441" s="597">
        <v>114</v>
      </c>
      <c r="AS441" s="598">
        <v>0.255</v>
      </c>
    </row>
    <row r="442" spans="42:45" x14ac:dyDescent="0.25">
      <c r="AP442" s="598"/>
      <c r="AQ442" s="598"/>
      <c r="AR442" s="597">
        <v>115</v>
      </c>
      <c r="AS442" s="598">
        <v>0.26200000000000001</v>
      </c>
    </row>
    <row r="443" spans="42:45" x14ac:dyDescent="0.25">
      <c r="AP443" s="598"/>
      <c r="AQ443" s="598"/>
      <c r="AR443" s="597">
        <v>116</v>
      </c>
      <c r="AS443" s="598">
        <v>0.26900000000000002</v>
      </c>
    </row>
    <row r="444" spans="42:45" x14ac:dyDescent="0.25">
      <c r="AP444" s="598"/>
      <c r="AQ444" s="598"/>
      <c r="AR444" s="597">
        <v>117</v>
      </c>
      <c r="AS444" s="598">
        <v>0.27600000000000002</v>
      </c>
    </row>
    <row r="445" spans="42:45" x14ac:dyDescent="0.25">
      <c r="AP445" s="598"/>
      <c r="AQ445" s="598"/>
      <c r="AR445" s="597">
        <v>118</v>
      </c>
      <c r="AS445" s="598">
        <v>0.28299999999999997</v>
      </c>
    </row>
    <row r="446" spans="42:45" x14ac:dyDescent="0.25">
      <c r="AP446" s="598"/>
      <c r="AQ446" s="598"/>
      <c r="AR446" s="597">
        <v>119</v>
      </c>
      <c r="AS446" s="598">
        <v>0.28999999999999998</v>
      </c>
    </row>
    <row r="447" spans="42:45" x14ac:dyDescent="0.25">
      <c r="AP447" s="598"/>
      <c r="AQ447" s="598"/>
      <c r="AR447" s="597">
        <v>120</v>
      </c>
      <c r="AS447" s="598">
        <v>0.3</v>
      </c>
    </row>
    <row r="448" spans="42:45" x14ac:dyDescent="0.25">
      <c r="AP448" s="598"/>
      <c r="AQ448" s="598"/>
      <c r="AR448" s="597">
        <v>121</v>
      </c>
      <c r="AS448" s="598">
        <v>0.307</v>
      </c>
    </row>
    <row r="449" spans="42:45" x14ac:dyDescent="0.25">
      <c r="AP449" s="598"/>
      <c r="AQ449" s="598"/>
      <c r="AR449" s="597">
        <v>122</v>
      </c>
      <c r="AS449" s="598">
        <v>0.314</v>
      </c>
    </row>
    <row r="450" spans="42:45" x14ac:dyDescent="0.25">
      <c r="AP450" s="598"/>
      <c r="AQ450" s="598"/>
      <c r="AR450" s="597">
        <v>123</v>
      </c>
      <c r="AS450" s="598">
        <v>0.32100000000000001</v>
      </c>
    </row>
    <row r="451" spans="42:45" x14ac:dyDescent="0.25">
      <c r="AP451" s="598"/>
      <c r="AQ451" s="598"/>
      <c r="AR451" s="597">
        <v>124</v>
      </c>
      <c r="AS451" s="598">
        <v>0.32800000000000001</v>
      </c>
    </row>
    <row r="452" spans="42:45" x14ac:dyDescent="0.25">
      <c r="AP452" s="598"/>
      <c r="AQ452" s="598"/>
      <c r="AR452" s="597">
        <v>125</v>
      </c>
      <c r="AS452" s="598">
        <v>0.33500000000000002</v>
      </c>
    </row>
    <row r="453" spans="42:45" x14ac:dyDescent="0.25">
      <c r="AP453" s="598"/>
      <c r="AQ453" s="598"/>
      <c r="AR453" s="597">
        <v>126</v>
      </c>
      <c r="AS453" s="598">
        <v>0.34200000000000003</v>
      </c>
    </row>
    <row r="454" spans="42:45" x14ac:dyDescent="0.25">
      <c r="AP454" s="598"/>
      <c r="AQ454" s="598"/>
      <c r="AR454" s="597">
        <v>127</v>
      </c>
      <c r="AS454" s="598">
        <v>0.34899999999999998</v>
      </c>
    </row>
    <row r="455" spans="42:45" x14ac:dyDescent="0.25">
      <c r="AP455" s="598"/>
      <c r="AQ455" s="598"/>
      <c r="AR455" s="597">
        <v>128</v>
      </c>
      <c r="AS455" s="598">
        <v>0.35599999999999998</v>
      </c>
    </row>
    <row r="456" spans="42:45" x14ac:dyDescent="0.25">
      <c r="AP456" s="598"/>
      <c r="AQ456" s="598"/>
      <c r="AR456" s="597">
        <v>129</v>
      </c>
      <c r="AS456" s="598">
        <v>0.36299999999999999</v>
      </c>
    </row>
    <row r="457" spans="42:45" x14ac:dyDescent="0.25">
      <c r="AP457" s="598"/>
      <c r="AQ457" s="598"/>
      <c r="AR457" s="597">
        <v>130</v>
      </c>
      <c r="AS457" s="598">
        <v>0.37</v>
      </c>
    </row>
    <row r="458" spans="42:45" x14ac:dyDescent="0.25">
      <c r="AP458" s="598"/>
      <c r="AQ458" s="598"/>
      <c r="AR458" s="597">
        <v>131</v>
      </c>
      <c r="AS458" s="598">
        <v>0.377</v>
      </c>
    </row>
    <row r="459" spans="42:45" x14ac:dyDescent="0.25">
      <c r="AP459" s="598"/>
      <c r="AQ459" s="598"/>
      <c r="AR459" s="597">
        <v>132</v>
      </c>
      <c r="AS459" s="598">
        <v>0.38400000000000001</v>
      </c>
    </row>
    <row r="460" spans="42:45" x14ac:dyDescent="0.25">
      <c r="AP460" s="598"/>
      <c r="AQ460" s="598"/>
      <c r="AR460" s="597">
        <v>133</v>
      </c>
      <c r="AS460" s="598">
        <v>0.39100000000000001</v>
      </c>
    </row>
    <row r="461" spans="42:45" x14ac:dyDescent="0.25">
      <c r="AP461" s="598"/>
      <c r="AQ461" s="598"/>
      <c r="AR461" s="597">
        <v>134</v>
      </c>
      <c r="AS461" s="598">
        <v>0.39800000000000002</v>
      </c>
    </row>
    <row r="462" spans="42:45" x14ac:dyDescent="0.25">
      <c r="AP462" s="598"/>
      <c r="AQ462" s="598"/>
      <c r="AR462" s="597">
        <v>135</v>
      </c>
      <c r="AS462" s="598">
        <v>0.4</v>
      </c>
    </row>
    <row r="463" spans="42:45" x14ac:dyDescent="0.25">
      <c r="AP463" s="598"/>
      <c r="AQ463" s="598"/>
      <c r="AR463" s="597">
        <v>136</v>
      </c>
      <c r="AS463" s="598">
        <v>0.41</v>
      </c>
    </row>
    <row r="464" spans="42:45" x14ac:dyDescent="0.25">
      <c r="AP464" s="598"/>
      <c r="AQ464" s="598"/>
      <c r="AR464" s="597">
        <v>137</v>
      </c>
      <c r="AS464" s="598">
        <v>0.42</v>
      </c>
    </row>
    <row r="465" spans="42:45" x14ac:dyDescent="0.25">
      <c r="AP465" s="598"/>
      <c r="AQ465" s="598"/>
      <c r="AR465" s="597">
        <v>138</v>
      </c>
      <c r="AS465" s="598">
        <v>0.43</v>
      </c>
    </row>
    <row r="466" spans="42:45" x14ac:dyDescent="0.25">
      <c r="AP466" s="598"/>
      <c r="AQ466" s="598"/>
      <c r="AR466" s="597">
        <v>139</v>
      </c>
      <c r="AS466" s="598">
        <v>0.44</v>
      </c>
    </row>
    <row r="467" spans="42:45" x14ac:dyDescent="0.25">
      <c r="AP467" s="598"/>
      <c r="AQ467" s="598"/>
      <c r="AR467" s="597">
        <v>140</v>
      </c>
      <c r="AS467" s="598">
        <v>0.45</v>
      </c>
    </row>
    <row r="468" spans="42:45" x14ac:dyDescent="0.25">
      <c r="AP468" s="598"/>
      <c r="AQ468" s="598"/>
      <c r="AR468" s="597">
        <v>141</v>
      </c>
      <c r="AS468" s="598">
        <v>0.46</v>
      </c>
    </row>
    <row r="469" spans="42:45" x14ac:dyDescent="0.25">
      <c r="AP469" s="598"/>
      <c r="AQ469" s="598"/>
      <c r="AR469" s="597">
        <v>142</v>
      </c>
      <c r="AS469" s="598">
        <v>0.47</v>
      </c>
    </row>
    <row r="470" spans="42:45" x14ac:dyDescent="0.25">
      <c r="AP470" s="598"/>
      <c r="AQ470" s="598"/>
      <c r="AR470" s="597">
        <v>143</v>
      </c>
      <c r="AS470" s="598">
        <v>0.48</v>
      </c>
    </row>
    <row r="471" spans="42:45" x14ac:dyDescent="0.25">
      <c r="AP471" s="598"/>
      <c r="AQ471" s="598"/>
      <c r="AR471" s="597">
        <v>144</v>
      </c>
      <c r="AS471" s="598">
        <v>0.49</v>
      </c>
    </row>
    <row r="472" spans="42:45" x14ac:dyDescent="0.25">
      <c r="AP472" s="598"/>
      <c r="AQ472" s="598"/>
      <c r="AR472" s="597">
        <v>145</v>
      </c>
      <c r="AS472" s="598">
        <v>0.5</v>
      </c>
    </row>
    <row r="473" spans="42:45" x14ac:dyDescent="0.25">
      <c r="AP473" s="598"/>
      <c r="AQ473" s="598"/>
      <c r="AR473" s="597">
        <v>146</v>
      </c>
      <c r="AS473" s="598">
        <v>0.50800000000000001</v>
      </c>
    </row>
    <row r="474" spans="42:45" x14ac:dyDescent="0.25">
      <c r="AP474" s="598"/>
      <c r="AQ474" s="598"/>
      <c r="AR474" s="597">
        <v>147</v>
      </c>
      <c r="AS474" s="598">
        <v>0.51600000000000001</v>
      </c>
    </row>
    <row r="475" spans="42:45" x14ac:dyDescent="0.25">
      <c r="AP475" s="598"/>
      <c r="AQ475" s="598"/>
      <c r="AR475" s="597">
        <v>148</v>
      </c>
      <c r="AS475" s="598">
        <v>0.52400000000000002</v>
      </c>
    </row>
    <row r="476" spans="42:45" x14ac:dyDescent="0.25">
      <c r="AP476" s="598"/>
      <c r="AQ476" s="598"/>
      <c r="AR476" s="597">
        <v>149</v>
      </c>
      <c r="AS476" s="598">
        <v>0.53200000000000003</v>
      </c>
    </row>
    <row r="477" spans="42:45" x14ac:dyDescent="0.25">
      <c r="AP477" s="598"/>
      <c r="AQ477" s="598"/>
      <c r="AR477" s="597">
        <v>150</v>
      </c>
      <c r="AS477" s="598">
        <v>0.54</v>
      </c>
    </row>
    <row r="478" spans="42:45" x14ac:dyDescent="0.25">
      <c r="AP478" s="598"/>
      <c r="AQ478" s="598"/>
      <c r="AR478" s="597">
        <v>151</v>
      </c>
      <c r="AS478" s="598">
        <v>0.54800000000000004</v>
      </c>
    </row>
    <row r="479" spans="42:45" x14ac:dyDescent="0.25">
      <c r="AP479" s="598"/>
      <c r="AQ479" s="598"/>
      <c r="AR479" s="597">
        <v>152</v>
      </c>
      <c r="AS479" s="598">
        <v>0.55600000000000005</v>
      </c>
    </row>
    <row r="480" spans="42:45" x14ac:dyDescent="0.25">
      <c r="AP480" s="598"/>
      <c r="AQ480" s="598"/>
      <c r="AR480" s="597">
        <v>153</v>
      </c>
      <c r="AS480" s="598">
        <v>0.56399999999999995</v>
      </c>
    </row>
    <row r="481" spans="42:45" x14ac:dyDescent="0.25">
      <c r="AP481" s="598"/>
      <c r="AQ481" s="598"/>
      <c r="AR481" s="597">
        <v>154</v>
      </c>
      <c r="AS481" s="598">
        <v>0.57199999999999995</v>
      </c>
    </row>
    <row r="482" spans="42:45" x14ac:dyDescent="0.25">
      <c r="AP482" s="598"/>
      <c r="AQ482" s="598"/>
      <c r="AR482" s="597">
        <v>155</v>
      </c>
      <c r="AS482" s="598">
        <v>0.57999999999999996</v>
      </c>
    </row>
    <row r="483" spans="42:45" x14ac:dyDescent="0.25">
      <c r="AP483" s="598"/>
      <c r="AQ483" s="598"/>
      <c r="AR483" s="597">
        <v>156</v>
      </c>
      <c r="AS483" s="598">
        <v>0.58799999999999997</v>
      </c>
    </row>
    <row r="484" spans="42:45" x14ac:dyDescent="0.25">
      <c r="AP484" s="598"/>
      <c r="AQ484" s="598"/>
      <c r="AR484" s="597">
        <v>157</v>
      </c>
      <c r="AS484" s="598">
        <v>0.59599999999999997</v>
      </c>
    </row>
    <row r="485" spans="42:45" x14ac:dyDescent="0.25">
      <c r="AP485" s="598"/>
      <c r="AQ485" s="598"/>
      <c r="AR485" s="597">
        <v>158</v>
      </c>
      <c r="AS485" s="598">
        <v>0.6</v>
      </c>
    </row>
    <row r="486" spans="42:45" x14ac:dyDescent="0.25">
      <c r="AP486" s="598"/>
      <c r="AQ486" s="598"/>
      <c r="AR486" s="597">
        <v>159</v>
      </c>
      <c r="AS486" s="598">
        <v>0.60899999999999999</v>
      </c>
    </row>
    <row r="487" spans="42:45" x14ac:dyDescent="0.25">
      <c r="AP487" s="598"/>
      <c r="AQ487" s="598"/>
      <c r="AR487" s="597">
        <v>160</v>
      </c>
      <c r="AS487" s="598">
        <v>0.61799999999999999</v>
      </c>
    </row>
    <row r="488" spans="42:45" x14ac:dyDescent="0.25">
      <c r="AP488" s="598"/>
      <c r="AQ488" s="598"/>
      <c r="AR488" s="597">
        <v>161</v>
      </c>
      <c r="AS488" s="598">
        <v>0.627</v>
      </c>
    </row>
    <row r="489" spans="42:45" x14ac:dyDescent="0.25">
      <c r="AP489" s="598"/>
      <c r="AQ489" s="598"/>
      <c r="AR489" s="597">
        <v>162</v>
      </c>
      <c r="AS489" s="598">
        <v>0.63600000000000001</v>
      </c>
    </row>
    <row r="490" spans="42:45" x14ac:dyDescent="0.25">
      <c r="AP490" s="598"/>
      <c r="AQ490" s="598"/>
      <c r="AR490" s="597">
        <v>163</v>
      </c>
      <c r="AS490" s="598">
        <v>0.64500000000000002</v>
      </c>
    </row>
    <row r="491" spans="42:45" x14ac:dyDescent="0.25">
      <c r="AP491" s="598"/>
      <c r="AQ491" s="598"/>
      <c r="AR491" s="597">
        <v>164</v>
      </c>
      <c r="AS491" s="598">
        <v>0.65400000000000003</v>
      </c>
    </row>
    <row r="492" spans="42:45" x14ac:dyDescent="0.25">
      <c r="AP492" s="598"/>
      <c r="AQ492" s="598"/>
      <c r="AR492" s="597">
        <v>165</v>
      </c>
      <c r="AS492" s="598">
        <v>0.66300000000000003</v>
      </c>
    </row>
    <row r="493" spans="42:45" x14ac:dyDescent="0.25">
      <c r="AP493" s="598"/>
      <c r="AQ493" s="598"/>
      <c r="AR493" s="597">
        <v>166</v>
      </c>
      <c r="AS493" s="598">
        <v>0.67200000000000004</v>
      </c>
    </row>
    <row r="494" spans="42:45" x14ac:dyDescent="0.25">
      <c r="AP494" s="598"/>
      <c r="AQ494" s="598"/>
      <c r="AR494" s="597">
        <v>167</v>
      </c>
      <c r="AS494" s="598">
        <v>0.68100000000000005</v>
      </c>
    </row>
    <row r="495" spans="42:45" x14ac:dyDescent="0.25">
      <c r="AP495" s="598"/>
      <c r="AQ495" s="598"/>
      <c r="AR495" s="597">
        <v>168</v>
      </c>
      <c r="AS495" s="598">
        <v>0.69</v>
      </c>
    </row>
    <row r="496" spans="42:45" x14ac:dyDescent="0.25">
      <c r="AP496" s="598"/>
      <c r="AQ496" s="598"/>
      <c r="AR496" s="597">
        <v>169</v>
      </c>
      <c r="AS496" s="598">
        <v>0.7</v>
      </c>
    </row>
    <row r="497" spans="42:45" x14ac:dyDescent="0.25">
      <c r="AP497" s="598"/>
      <c r="AQ497" s="598"/>
      <c r="AR497" s="597">
        <v>170</v>
      </c>
      <c r="AS497" s="598">
        <v>0.70599999999999996</v>
      </c>
    </row>
    <row r="498" spans="42:45" x14ac:dyDescent="0.25">
      <c r="AP498" s="598"/>
      <c r="AQ498" s="598"/>
      <c r="AR498" s="597">
        <v>171</v>
      </c>
      <c r="AS498" s="598">
        <v>0.71199999999999997</v>
      </c>
    </row>
    <row r="499" spans="42:45" x14ac:dyDescent="0.25">
      <c r="AP499" s="598"/>
      <c r="AQ499" s="598"/>
      <c r="AR499" s="597">
        <v>172</v>
      </c>
      <c r="AS499" s="598">
        <v>0.71799999999999997</v>
      </c>
    </row>
    <row r="500" spans="42:45" x14ac:dyDescent="0.25">
      <c r="AP500" s="598"/>
      <c r="AQ500" s="598"/>
      <c r="AR500" s="597">
        <v>173</v>
      </c>
      <c r="AS500" s="598">
        <v>0.72399999999999998</v>
      </c>
    </row>
    <row r="501" spans="42:45" x14ac:dyDescent="0.25">
      <c r="AP501" s="598"/>
      <c r="AQ501" s="598"/>
      <c r="AR501" s="597">
        <v>174</v>
      </c>
      <c r="AS501" s="598">
        <v>0.73</v>
      </c>
    </row>
    <row r="502" spans="42:45" x14ac:dyDescent="0.25">
      <c r="AP502" s="598"/>
      <c r="AQ502" s="598"/>
      <c r="AR502" s="597">
        <v>175</v>
      </c>
      <c r="AS502" s="598">
        <v>0.73599999999999999</v>
      </c>
    </row>
    <row r="503" spans="42:45" x14ac:dyDescent="0.25">
      <c r="AP503" s="598"/>
      <c r="AQ503" s="598"/>
      <c r="AR503" s="597">
        <v>176</v>
      </c>
      <c r="AS503" s="598">
        <v>0.74199999999999999</v>
      </c>
    </row>
    <row r="504" spans="42:45" x14ac:dyDescent="0.25">
      <c r="AP504" s="598"/>
      <c r="AQ504" s="598"/>
      <c r="AR504" s="597">
        <v>177</v>
      </c>
      <c r="AS504" s="598">
        <v>0.748</v>
      </c>
    </row>
    <row r="505" spans="42:45" x14ac:dyDescent="0.25">
      <c r="AP505" s="598"/>
      <c r="AQ505" s="598"/>
      <c r="AR505" s="597">
        <v>178</v>
      </c>
      <c r="AS505" s="598">
        <v>0.754</v>
      </c>
    </row>
    <row r="506" spans="42:45" x14ac:dyDescent="0.25">
      <c r="AP506" s="598"/>
      <c r="AQ506" s="598"/>
      <c r="AR506" s="597">
        <v>179</v>
      </c>
      <c r="AS506" s="598">
        <v>0.76</v>
      </c>
    </row>
    <row r="507" spans="42:45" x14ac:dyDescent="0.25">
      <c r="AP507" s="598"/>
      <c r="AQ507" s="598"/>
      <c r="AR507" s="597">
        <v>180</v>
      </c>
      <c r="AS507" s="598">
        <v>0.76600000000000001</v>
      </c>
    </row>
    <row r="508" spans="42:45" x14ac:dyDescent="0.25">
      <c r="AP508" s="598"/>
      <c r="AQ508" s="598"/>
      <c r="AR508" s="597">
        <v>181</v>
      </c>
      <c r="AS508" s="598">
        <v>0.77200000000000002</v>
      </c>
    </row>
    <row r="509" spans="42:45" x14ac:dyDescent="0.25">
      <c r="AP509" s="598"/>
      <c r="AQ509" s="598"/>
      <c r="AR509" s="597">
        <v>182</v>
      </c>
      <c r="AS509" s="598">
        <v>0.77800000000000002</v>
      </c>
    </row>
    <row r="510" spans="42:45" x14ac:dyDescent="0.25">
      <c r="AP510" s="598"/>
      <c r="AQ510" s="598"/>
      <c r="AR510" s="597">
        <v>183</v>
      </c>
      <c r="AS510" s="598">
        <v>0.78400000000000003</v>
      </c>
    </row>
    <row r="511" spans="42:45" x14ac:dyDescent="0.25">
      <c r="AP511" s="598"/>
      <c r="AQ511" s="598"/>
      <c r="AR511" s="597">
        <v>184</v>
      </c>
      <c r="AS511" s="598">
        <v>0.79</v>
      </c>
    </row>
    <row r="512" spans="42:45" x14ac:dyDescent="0.25">
      <c r="AP512" s="598"/>
      <c r="AQ512" s="598"/>
      <c r="AR512" s="597">
        <v>185</v>
      </c>
      <c r="AS512" s="598">
        <v>0.8</v>
      </c>
    </row>
    <row r="513" spans="42:45" x14ac:dyDescent="0.25">
      <c r="AP513" s="598"/>
      <c r="AQ513" s="598"/>
      <c r="AR513" s="597">
        <v>186</v>
      </c>
      <c r="AS513" s="598">
        <v>0.80349999999999999</v>
      </c>
    </row>
    <row r="514" spans="42:45" x14ac:dyDescent="0.25">
      <c r="AP514" s="598"/>
      <c r="AQ514" s="598"/>
      <c r="AR514" s="597">
        <v>187</v>
      </c>
      <c r="AS514" s="598">
        <v>0.80700000000000005</v>
      </c>
    </row>
    <row r="515" spans="42:45" x14ac:dyDescent="0.25">
      <c r="AP515" s="598"/>
      <c r="AQ515" s="598"/>
      <c r="AR515" s="597">
        <v>188</v>
      </c>
      <c r="AS515" s="598">
        <v>0.8105</v>
      </c>
    </row>
    <row r="516" spans="42:45" x14ac:dyDescent="0.25">
      <c r="AP516" s="598"/>
      <c r="AQ516" s="598"/>
      <c r="AR516" s="597">
        <v>189</v>
      </c>
      <c r="AS516" s="598">
        <v>0.81399999999999995</v>
      </c>
    </row>
    <row r="517" spans="42:45" x14ac:dyDescent="0.25">
      <c r="AP517" s="598"/>
      <c r="AQ517" s="598"/>
      <c r="AR517" s="597">
        <v>190</v>
      </c>
      <c r="AS517" s="598">
        <v>0.8175</v>
      </c>
    </row>
    <row r="518" spans="42:45" x14ac:dyDescent="0.25">
      <c r="AP518" s="598"/>
      <c r="AQ518" s="598"/>
      <c r="AR518" s="597">
        <v>191</v>
      </c>
      <c r="AS518" s="598">
        <v>0.82099999999999995</v>
      </c>
    </row>
    <row r="519" spans="42:45" x14ac:dyDescent="0.25">
      <c r="AP519" s="598"/>
      <c r="AQ519" s="598"/>
      <c r="AR519" s="597">
        <v>192</v>
      </c>
      <c r="AS519" s="598">
        <v>0.82450000000000001</v>
      </c>
    </row>
    <row r="520" spans="42:45" x14ac:dyDescent="0.25">
      <c r="AP520" s="598"/>
      <c r="AQ520" s="598"/>
      <c r="AR520" s="597">
        <v>193</v>
      </c>
      <c r="AS520" s="598">
        <v>0.82799999999999996</v>
      </c>
    </row>
    <row r="521" spans="42:45" x14ac:dyDescent="0.25">
      <c r="AP521" s="598"/>
      <c r="AQ521" s="598"/>
      <c r="AR521" s="597">
        <v>194</v>
      </c>
      <c r="AS521" s="598">
        <v>0.83150000000000002</v>
      </c>
    </row>
    <row r="522" spans="42:45" x14ac:dyDescent="0.25">
      <c r="AP522" s="598"/>
      <c r="AQ522" s="598"/>
      <c r="AR522" s="597">
        <v>195</v>
      </c>
      <c r="AS522" s="598">
        <v>0.83499999999999996</v>
      </c>
    </row>
    <row r="523" spans="42:45" x14ac:dyDescent="0.25">
      <c r="AP523" s="598"/>
      <c r="AQ523" s="598"/>
      <c r="AR523" s="597">
        <v>196</v>
      </c>
      <c r="AS523" s="598">
        <v>0.83849999999999902</v>
      </c>
    </row>
    <row r="524" spans="42:45" x14ac:dyDescent="0.25">
      <c r="AP524" s="598"/>
      <c r="AQ524" s="598"/>
      <c r="AR524" s="597">
        <v>197</v>
      </c>
      <c r="AS524" s="598">
        <v>0.84199999999999897</v>
      </c>
    </row>
    <row r="525" spans="42:45" x14ac:dyDescent="0.25">
      <c r="AP525" s="598"/>
      <c r="AQ525" s="598"/>
      <c r="AR525" s="597">
        <v>198</v>
      </c>
      <c r="AS525" s="598">
        <v>0.84549999999999903</v>
      </c>
    </row>
    <row r="526" spans="42:45" x14ac:dyDescent="0.25">
      <c r="AP526" s="598"/>
      <c r="AQ526" s="598"/>
      <c r="AR526" s="597">
        <v>199</v>
      </c>
      <c r="AS526" s="598">
        <v>0.84899999999999898</v>
      </c>
    </row>
    <row r="527" spans="42:45" x14ac:dyDescent="0.25">
      <c r="AP527" s="598"/>
      <c r="AQ527" s="598"/>
      <c r="AR527" s="597">
        <v>200</v>
      </c>
      <c r="AS527" s="598">
        <v>0.85249999999999904</v>
      </c>
    </row>
    <row r="528" spans="42:45" x14ac:dyDescent="0.25">
      <c r="AP528" s="598"/>
      <c r="AQ528" s="598"/>
      <c r="AR528" s="597">
        <v>201</v>
      </c>
      <c r="AS528" s="598">
        <v>0.85599999999999898</v>
      </c>
    </row>
    <row r="529" spans="42:45" x14ac:dyDescent="0.25">
      <c r="AP529" s="598"/>
      <c r="AQ529" s="598"/>
      <c r="AR529" s="597">
        <v>202</v>
      </c>
      <c r="AS529" s="598">
        <v>0.85949999999999904</v>
      </c>
    </row>
    <row r="530" spans="42:45" x14ac:dyDescent="0.25">
      <c r="AP530" s="598"/>
      <c r="AQ530" s="598"/>
      <c r="AR530" s="597">
        <v>203</v>
      </c>
      <c r="AS530" s="598">
        <v>0.86299999999999899</v>
      </c>
    </row>
    <row r="531" spans="42:45" x14ac:dyDescent="0.25">
      <c r="AP531" s="598"/>
      <c r="AQ531" s="598"/>
      <c r="AR531" s="597">
        <v>204</v>
      </c>
      <c r="AS531" s="598">
        <v>0.86649999999999905</v>
      </c>
    </row>
    <row r="532" spans="42:45" x14ac:dyDescent="0.25">
      <c r="AP532" s="598"/>
      <c r="AQ532" s="598"/>
      <c r="AR532" s="597">
        <v>205</v>
      </c>
      <c r="AS532" s="598">
        <v>0.869999999999999</v>
      </c>
    </row>
    <row r="533" spans="42:45" x14ac:dyDescent="0.25">
      <c r="AP533" s="598"/>
      <c r="AQ533" s="598"/>
      <c r="AR533" s="597">
        <v>206</v>
      </c>
      <c r="AS533" s="598">
        <v>0.87349999999999905</v>
      </c>
    </row>
    <row r="534" spans="42:45" x14ac:dyDescent="0.25">
      <c r="AP534" s="598"/>
      <c r="AQ534" s="598"/>
      <c r="AR534" s="597">
        <v>207</v>
      </c>
      <c r="AS534" s="598">
        <v>0.876999999999999</v>
      </c>
    </row>
    <row r="535" spans="42:45" x14ac:dyDescent="0.25">
      <c r="AP535" s="598"/>
      <c r="AQ535" s="598"/>
      <c r="AR535" s="597">
        <v>208</v>
      </c>
      <c r="AS535" s="598">
        <v>0.88049999999999895</v>
      </c>
    </row>
    <row r="536" spans="42:45" x14ac:dyDescent="0.25">
      <c r="AP536" s="598"/>
      <c r="AQ536" s="598"/>
      <c r="AR536" s="597">
        <v>209</v>
      </c>
      <c r="AS536" s="598">
        <v>0.88399999999999901</v>
      </c>
    </row>
    <row r="537" spans="42:45" x14ac:dyDescent="0.25">
      <c r="AP537" s="598"/>
      <c r="AQ537" s="598"/>
      <c r="AR537" s="597">
        <v>210</v>
      </c>
      <c r="AS537" s="598">
        <v>0.88749999999999896</v>
      </c>
    </row>
    <row r="538" spans="42:45" x14ac:dyDescent="0.25">
      <c r="AP538" s="598"/>
      <c r="AQ538" s="598"/>
      <c r="AR538" s="597">
        <v>211</v>
      </c>
      <c r="AS538" s="598">
        <v>0.89099999999999902</v>
      </c>
    </row>
    <row r="539" spans="42:45" x14ac:dyDescent="0.25">
      <c r="AP539" s="598"/>
      <c r="AQ539" s="598"/>
      <c r="AR539" s="597">
        <v>212</v>
      </c>
      <c r="AS539" s="598">
        <v>0.89449999999999896</v>
      </c>
    </row>
    <row r="540" spans="42:45" x14ac:dyDescent="0.25">
      <c r="AP540" s="598"/>
      <c r="AQ540" s="598"/>
      <c r="AR540" s="597">
        <v>213</v>
      </c>
      <c r="AS540" s="598">
        <v>0.89799999999999902</v>
      </c>
    </row>
    <row r="541" spans="42:45" x14ac:dyDescent="0.25">
      <c r="AP541" s="598"/>
      <c r="AQ541" s="598"/>
      <c r="AR541" s="597">
        <v>214</v>
      </c>
      <c r="AS541" s="598">
        <v>0.90149999999999797</v>
      </c>
    </row>
    <row r="542" spans="42:45" x14ac:dyDescent="0.25">
      <c r="AP542" s="598"/>
      <c r="AQ542" s="598"/>
      <c r="AR542" s="597">
        <v>215</v>
      </c>
      <c r="AS542" s="598">
        <v>0.90499999999999803</v>
      </c>
    </row>
    <row r="543" spans="42:45" x14ac:dyDescent="0.25">
      <c r="AP543" s="598"/>
      <c r="AQ543" s="598"/>
      <c r="AR543" s="597">
        <v>216</v>
      </c>
      <c r="AS543" s="598">
        <v>0.90849999999999798</v>
      </c>
    </row>
    <row r="544" spans="42:45" x14ac:dyDescent="0.25">
      <c r="AP544" s="598"/>
      <c r="AQ544" s="598"/>
      <c r="AR544" s="597">
        <v>217</v>
      </c>
      <c r="AS544" s="598">
        <v>0.91199999999999803</v>
      </c>
    </row>
    <row r="545" spans="42:45" x14ac:dyDescent="0.25">
      <c r="AP545" s="598"/>
      <c r="AQ545" s="598"/>
      <c r="AR545" s="597">
        <v>218</v>
      </c>
      <c r="AS545" s="598">
        <v>0.91549999999999798</v>
      </c>
    </row>
    <row r="546" spans="42:45" x14ac:dyDescent="0.25">
      <c r="AP546" s="598"/>
      <c r="AQ546" s="598"/>
      <c r="AR546" s="597">
        <v>219</v>
      </c>
      <c r="AS546" s="598">
        <v>0.91899999999999804</v>
      </c>
    </row>
    <row r="547" spans="42:45" x14ac:dyDescent="0.25">
      <c r="AP547" s="598"/>
      <c r="AQ547" s="598"/>
      <c r="AR547" s="597">
        <v>220</v>
      </c>
      <c r="AS547" s="598">
        <v>0.92</v>
      </c>
    </row>
    <row r="548" spans="42:45" x14ac:dyDescent="0.25">
      <c r="AP548" s="566"/>
      <c r="AQ548" s="566"/>
      <c r="AR548" s="564"/>
      <c r="AS548" s="566"/>
    </row>
    <row r="550" spans="42:45" x14ac:dyDescent="0.25">
      <c r="AP550" s="580" t="s">
        <v>2282</v>
      </c>
      <c r="AQ550" s="601"/>
      <c r="AR550" s="601"/>
      <c r="AS550" s="601"/>
    </row>
    <row r="551" spans="42:45" x14ac:dyDescent="0.25">
      <c r="AP551" s="601">
        <f>IF(P49&gt;8,100,IF(P49&lt;0.2,0,VLOOKUP(P49,$AP$553:$AQ$631,2,0)))</f>
        <v>92.000000000000796</v>
      </c>
      <c r="AQ551" s="604">
        <f>ROUNDUP(AP551+AR551+AR558+AR565+AR573,0)</f>
        <v>121</v>
      </c>
      <c r="AR551" s="601">
        <f>IF(P50&gt;5,15,IF(P50&lt;2,0,VLOOKUP(P50,$AR$553:$AS$556,2,0)))</f>
        <v>1</v>
      </c>
      <c r="AS551" s="601"/>
    </row>
    <row r="552" spans="42:45" x14ac:dyDescent="0.25">
      <c r="AP552" s="601" t="s">
        <v>2212</v>
      </c>
      <c r="AQ552" s="601" t="s">
        <v>2264</v>
      </c>
      <c r="AR552" s="601" t="s">
        <v>2278</v>
      </c>
      <c r="AS552" s="601" t="s">
        <v>2264</v>
      </c>
    </row>
    <row r="553" spans="42:45" x14ac:dyDescent="0.25">
      <c r="AP553" s="601">
        <v>0.2</v>
      </c>
      <c r="AQ553" s="601">
        <v>0</v>
      </c>
      <c r="AR553" s="601">
        <v>2</v>
      </c>
      <c r="AS553" s="601">
        <v>0</v>
      </c>
    </row>
    <row r="554" spans="42:45" x14ac:dyDescent="0.25">
      <c r="AP554" s="601">
        <v>0.3</v>
      </c>
      <c r="AQ554" s="601">
        <v>8</v>
      </c>
      <c r="AR554" s="601">
        <v>3</v>
      </c>
      <c r="AS554" s="601">
        <v>1</v>
      </c>
    </row>
    <row r="555" spans="42:45" x14ac:dyDescent="0.25">
      <c r="AP555" s="601">
        <v>0.4</v>
      </c>
      <c r="AQ555" s="601">
        <v>17</v>
      </c>
      <c r="AR555" s="601">
        <v>4</v>
      </c>
      <c r="AS555" s="601">
        <v>7</v>
      </c>
    </row>
    <row r="556" spans="42:45" x14ac:dyDescent="0.25">
      <c r="AP556" s="601">
        <v>0.5</v>
      </c>
      <c r="AQ556" s="601">
        <v>23</v>
      </c>
      <c r="AR556" s="601">
        <v>5</v>
      </c>
      <c r="AS556" s="601">
        <v>15</v>
      </c>
    </row>
    <row r="557" spans="42:45" x14ac:dyDescent="0.25">
      <c r="AP557" s="601">
        <v>0.6</v>
      </c>
      <c r="AQ557" s="601">
        <v>28</v>
      </c>
      <c r="AR557" s="601"/>
      <c r="AS557" s="601"/>
    </row>
    <row r="558" spans="42:45" x14ac:dyDescent="0.25">
      <c r="AP558" s="601">
        <v>0.7</v>
      </c>
      <c r="AQ558" s="601">
        <v>32</v>
      </c>
      <c r="AR558" s="601">
        <f>IF(P51&gt;5,13,IF(P51&lt;2,0,VLOOKUP(P51,$AR$560:$AS$563,2,0)))</f>
        <v>10</v>
      </c>
      <c r="AS558" s="601"/>
    </row>
    <row r="559" spans="42:45" x14ac:dyDescent="0.25">
      <c r="AP559" s="601">
        <v>0.8</v>
      </c>
      <c r="AQ559" s="601">
        <v>36</v>
      </c>
      <c r="AR559" s="601" t="s">
        <v>2279</v>
      </c>
      <c r="AS559" s="601" t="s">
        <v>2264</v>
      </c>
    </row>
    <row r="560" spans="42:45" x14ac:dyDescent="0.25">
      <c r="AP560" s="601">
        <v>0.9</v>
      </c>
      <c r="AQ560" s="601">
        <v>39</v>
      </c>
      <c r="AR560" s="601">
        <v>2</v>
      </c>
      <c r="AS560" s="601">
        <v>0</v>
      </c>
    </row>
    <row r="561" spans="42:45" x14ac:dyDescent="0.25">
      <c r="AP561" s="601">
        <v>1</v>
      </c>
      <c r="AQ561" s="601">
        <v>42</v>
      </c>
      <c r="AR561" s="601">
        <v>3</v>
      </c>
      <c r="AS561" s="601">
        <v>6</v>
      </c>
    </row>
    <row r="562" spans="42:45" x14ac:dyDescent="0.25">
      <c r="AP562" s="601">
        <v>1.1000000000000001</v>
      </c>
      <c r="AQ562" s="601">
        <v>43.8</v>
      </c>
      <c r="AR562" s="601">
        <v>4</v>
      </c>
      <c r="AS562" s="601">
        <v>10</v>
      </c>
    </row>
    <row r="563" spans="42:45" x14ac:dyDescent="0.25">
      <c r="AP563" s="601">
        <v>1.2</v>
      </c>
      <c r="AQ563" s="601">
        <v>45.6</v>
      </c>
      <c r="AR563" s="601">
        <v>5</v>
      </c>
      <c r="AS563" s="601">
        <v>13</v>
      </c>
    </row>
    <row r="564" spans="42:45" x14ac:dyDescent="0.25">
      <c r="AP564" s="601">
        <v>1.3</v>
      </c>
      <c r="AQ564" s="601">
        <v>47.4</v>
      </c>
      <c r="AR564" s="601"/>
      <c r="AS564" s="601"/>
    </row>
    <row r="565" spans="42:45" x14ac:dyDescent="0.25">
      <c r="AP565" s="601">
        <v>1.4</v>
      </c>
      <c r="AQ565" s="601">
        <v>49.2</v>
      </c>
      <c r="AR565" s="601">
        <f>IF(P52&gt;5,4,IF(P52&lt;0,0,VLOOKUP(P52,$AR$567:$AS$571,2,0)))</f>
        <v>0</v>
      </c>
      <c r="AS565" s="601"/>
    </row>
    <row r="566" spans="42:45" x14ac:dyDescent="0.25">
      <c r="AP566" s="601">
        <v>1.5</v>
      </c>
      <c r="AQ566" s="601">
        <v>51</v>
      </c>
      <c r="AR566" s="601" t="s">
        <v>2233</v>
      </c>
      <c r="AS566" s="601" t="s">
        <v>2264</v>
      </c>
    </row>
    <row r="567" spans="42:45" x14ac:dyDescent="0.25">
      <c r="AP567" s="601">
        <v>1.6</v>
      </c>
      <c r="AQ567" s="601">
        <v>52.8</v>
      </c>
      <c r="AR567" s="601">
        <v>0</v>
      </c>
      <c r="AS567" s="601">
        <v>1</v>
      </c>
    </row>
    <row r="568" spans="42:45" x14ac:dyDescent="0.25">
      <c r="AP568" s="601">
        <v>1.7</v>
      </c>
      <c r="AQ568" s="601">
        <v>54.6</v>
      </c>
      <c r="AR568" s="601">
        <v>1</v>
      </c>
      <c r="AS568" s="601">
        <v>0</v>
      </c>
    </row>
    <row r="569" spans="42:45" x14ac:dyDescent="0.25">
      <c r="AP569" s="601">
        <v>1.8</v>
      </c>
      <c r="AQ569" s="601">
        <v>56.4</v>
      </c>
      <c r="AR569" s="601">
        <v>2</v>
      </c>
      <c r="AS569" s="601">
        <v>3</v>
      </c>
    </row>
    <row r="570" spans="42:45" x14ac:dyDescent="0.25">
      <c r="AP570" s="601">
        <v>1.9</v>
      </c>
      <c r="AQ570" s="601">
        <v>58.2</v>
      </c>
      <c r="AR570" s="601">
        <v>3</v>
      </c>
      <c r="AS570" s="601">
        <v>5</v>
      </c>
    </row>
    <row r="571" spans="42:45" x14ac:dyDescent="0.25">
      <c r="AP571" s="601">
        <v>2</v>
      </c>
      <c r="AQ571" s="601">
        <v>60</v>
      </c>
      <c r="AR571" s="601">
        <v>4</v>
      </c>
      <c r="AS571" s="601">
        <v>4</v>
      </c>
    </row>
    <row r="572" spans="42:45" x14ac:dyDescent="0.25">
      <c r="AP572" s="601">
        <v>2.1</v>
      </c>
      <c r="AQ572" s="601">
        <v>60.75</v>
      </c>
      <c r="AR572" s="601"/>
      <c r="AS572" s="601"/>
    </row>
    <row r="573" spans="42:45" x14ac:dyDescent="0.25">
      <c r="AP573" s="601">
        <v>2.2000000000000002</v>
      </c>
      <c r="AQ573" s="601">
        <v>61.5</v>
      </c>
      <c r="AR573" s="601">
        <f>IF(P55&gt;92,20,IF(P55&lt;0,0,VLOOKUP(P55,$AR$575:$AS$667,2,0)))</f>
        <v>17.27</v>
      </c>
      <c r="AS573" s="601"/>
    </row>
    <row r="574" spans="42:45" x14ac:dyDescent="0.25">
      <c r="AP574" s="601">
        <v>2.2999999999999998</v>
      </c>
      <c r="AQ574" s="601">
        <v>62.25</v>
      </c>
      <c r="AR574" s="601" t="s">
        <v>2281</v>
      </c>
      <c r="AS574" s="601" t="s">
        <v>2264</v>
      </c>
    </row>
    <row r="575" spans="42:45" x14ac:dyDescent="0.25">
      <c r="AP575" s="601">
        <v>2.4</v>
      </c>
      <c r="AQ575" s="601">
        <v>63</v>
      </c>
      <c r="AR575" s="601">
        <v>0</v>
      </c>
      <c r="AS575" s="601">
        <v>0</v>
      </c>
    </row>
    <row r="576" spans="42:45" x14ac:dyDescent="0.25">
      <c r="AP576" s="601">
        <v>2.5</v>
      </c>
      <c r="AQ576" s="601">
        <v>63.75</v>
      </c>
      <c r="AR576" s="601">
        <v>1</v>
      </c>
      <c r="AS576" s="601">
        <v>7</v>
      </c>
    </row>
    <row r="577" spans="42:45" x14ac:dyDescent="0.25">
      <c r="AP577" s="601">
        <v>2.6</v>
      </c>
      <c r="AQ577" s="601">
        <v>64.5</v>
      </c>
      <c r="AR577" s="601">
        <v>2</v>
      </c>
      <c r="AS577" s="601">
        <v>7.13</v>
      </c>
    </row>
    <row r="578" spans="42:45" x14ac:dyDescent="0.25">
      <c r="AP578" s="601">
        <v>2.7</v>
      </c>
      <c r="AQ578" s="601">
        <v>65.25</v>
      </c>
      <c r="AR578" s="601">
        <v>3</v>
      </c>
      <c r="AS578" s="601">
        <v>7.26</v>
      </c>
    </row>
    <row r="579" spans="42:45" x14ac:dyDescent="0.25">
      <c r="AP579" s="601">
        <v>2.8</v>
      </c>
      <c r="AQ579" s="601">
        <v>66</v>
      </c>
      <c r="AR579" s="601">
        <v>4</v>
      </c>
      <c r="AS579" s="601">
        <v>7.39</v>
      </c>
    </row>
    <row r="580" spans="42:45" x14ac:dyDescent="0.25">
      <c r="AP580" s="601">
        <v>2.9</v>
      </c>
      <c r="AQ580" s="601">
        <v>66.75</v>
      </c>
      <c r="AR580" s="601">
        <v>5</v>
      </c>
      <c r="AS580" s="601">
        <v>7.52</v>
      </c>
    </row>
    <row r="581" spans="42:45" x14ac:dyDescent="0.25">
      <c r="AP581" s="601">
        <v>3</v>
      </c>
      <c r="AQ581" s="601">
        <v>67.5</v>
      </c>
      <c r="AR581" s="601">
        <v>6</v>
      </c>
      <c r="AS581" s="601">
        <v>7.65</v>
      </c>
    </row>
    <row r="582" spans="42:45" x14ac:dyDescent="0.25">
      <c r="AP582" s="601">
        <v>3.1</v>
      </c>
      <c r="AQ582" s="601">
        <v>68.25</v>
      </c>
      <c r="AR582" s="601">
        <v>7</v>
      </c>
      <c r="AS582" s="601">
        <v>7.78</v>
      </c>
    </row>
    <row r="583" spans="42:45" x14ac:dyDescent="0.25">
      <c r="AP583" s="601">
        <v>3.2</v>
      </c>
      <c r="AQ583" s="601">
        <v>69</v>
      </c>
      <c r="AR583" s="601">
        <v>8</v>
      </c>
      <c r="AS583" s="601">
        <v>7.91</v>
      </c>
    </row>
    <row r="584" spans="42:45" x14ac:dyDescent="0.25">
      <c r="AP584" s="601">
        <v>3.3</v>
      </c>
      <c r="AQ584" s="601">
        <v>69.75</v>
      </c>
      <c r="AR584" s="601">
        <v>9</v>
      </c>
      <c r="AS584" s="601">
        <v>8.0399999999999991</v>
      </c>
    </row>
    <row r="585" spans="42:45" x14ac:dyDescent="0.25">
      <c r="AP585" s="601">
        <v>3.4</v>
      </c>
      <c r="AQ585" s="601">
        <v>70.5</v>
      </c>
      <c r="AR585" s="601">
        <v>10</v>
      </c>
      <c r="AS585" s="601">
        <v>8.17</v>
      </c>
    </row>
    <row r="586" spans="42:45" x14ac:dyDescent="0.25">
      <c r="AP586" s="601">
        <v>3.5</v>
      </c>
      <c r="AQ586" s="601">
        <v>71.25</v>
      </c>
      <c r="AR586" s="601">
        <v>11</v>
      </c>
      <c r="AS586" s="601">
        <v>8.3000000000000007</v>
      </c>
    </row>
    <row r="587" spans="42:45" x14ac:dyDescent="0.25">
      <c r="AP587" s="601">
        <v>3.6</v>
      </c>
      <c r="AQ587" s="601">
        <v>72</v>
      </c>
      <c r="AR587" s="601">
        <v>12</v>
      </c>
      <c r="AS587" s="601">
        <v>8.43</v>
      </c>
    </row>
    <row r="588" spans="42:45" x14ac:dyDescent="0.25">
      <c r="AP588" s="601">
        <v>3.7</v>
      </c>
      <c r="AQ588" s="601">
        <v>72.75</v>
      </c>
      <c r="AR588" s="601">
        <v>13</v>
      </c>
      <c r="AS588" s="601">
        <v>8.56</v>
      </c>
    </row>
    <row r="589" spans="42:45" x14ac:dyDescent="0.25">
      <c r="AP589" s="601">
        <v>3.8</v>
      </c>
      <c r="AQ589" s="601">
        <v>73.5</v>
      </c>
      <c r="AR589" s="601">
        <v>14</v>
      </c>
      <c r="AS589" s="601">
        <v>8.69</v>
      </c>
    </row>
    <row r="590" spans="42:45" x14ac:dyDescent="0.25">
      <c r="AP590" s="601">
        <v>3.9</v>
      </c>
      <c r="AQ590" s="601">
        <v>74.25</v>
      </c>
      <c r="AR590" s="601">
        <v>15</v>
      </c>
      <c r="AS590" s="601">
        <v>8.82</v>
      </c>
    </row>
    <row r="591" spans="42:45" x14ac:dyDescent="0.25">
      <c r="AP591" s="601">
        <v>4</v>
      </c>
      <c r="AQ591" s="601">
        <v>75</v>
      </c>
      <c r="AR591" s="601">
        <v>16</v>
      </c>
      <c r="AS591" s="601">
        <v>8.9499999999999993</v>
      </c>
    </row>
    <row r="592" spans="42:45" x14ac:dyDescent="0.25">
      <c r="AP592" s="601">
        <v>4.0999999999999996</v>
      </c>
      <c r="AQ592" s="601">
        <v>75.569999999999993</v>
      </c>
      <c r="AR592" s="601">
        <v>17</v>
      </c>
      <c r="AS592" s="601">
        <v>9.08</v>
      </c>
    </row>
    <row r="593" spans="42:45" x14ac:dyDescent="0.25">
      <c r="AP593" s="601">
        <v>4.2</v>
      </c>
      <c r="AQ593" s="601">
        <v>76.14</v>
      </c>
      <c r="AR593" s="601">
        <v>18</v>
      </c>
      <c r="AS593" s="601">
        <v>9.2100000000000009</v>
      </c>
    </row>
    <row r="594" spans="42:45" x14ac:dyDescent="0.25">
      <c r="AP594" s="601">
        <v>4.3</v>
      </c>
      <c r="AQ594" s="601">
        <v>76.709999999999994</v>
      </c>
      <c r="AR594" s="601">
        <v>19</v>
      </c>
      <c r="AS594" s="601">
        <v>9.34</v>
      </c>
    </row>
    <row r="595" spans="42:45" x14ac:dyDescent="0.25">
      <c r="AP595" s="601">
        <v>4.4000000000000004</v>
      </c>
      <c r="AQ595" s="601">
        <v>77.28</v>
      </c>
      <c r="AR595" s="601">
        <v>20</v>
      </c>
      <c r="AS595" s="601">
        <v>9.4700000000000006</v>
      </c>
    </row>
    <row r="596" spans="42:45" x14ac:dyDescent="0.25">
      <c r="AP596" s="601">
        <v>4.5</v>
      </c>
      <c r="AQ596" s="601">
        <v>77.849999999999994</v>
      </c>
      <c r="AR596" s="601">
        <v>21</v>
      </c>
      <c r="AS596" s="601">
        <v>9.6</v>
      </c>
    </row>
    <row r="597" spans="42:45" x14ac:dyDescent="0.25">
      <c r="AP597" s="601">
        <v>4.5999999999999996</v>
      </c>
      <c r="AQ597" s="601">
        <v>78.42</v>
      </c>
      <c r="AR597" s="601">
        <v>22</v>
      </c>
      <c r="AS597" s="601">
        <v>9.73</v>
      </c>
    </row>
    <row r="598" spans="42:45" x14ac:dyDescent="0.25">
      <c r="AP598" s="601">
        <v>4.7</v>
      </c>
      <c r="AQ598" s="601">
        <v>78.989999999999995</v>
      </c>
      <c r="AR598" s="601">
        <v>23</v>
      </c>
      <c r="AS598" s="601">
        <v>9.86</v>
      </c>
    </row>
    <row r="599" spans="42:45" x14ac:dyDescent="0.25">
      <c r="AP599" s="601">
        <v>4.8</v>
      </c>
      <c r="AQ599" s="601">
        <v>79.559999999999903</v>
      </c>
      <c r="AR599" s="601">
        <v>24</v>
      </c>
      <c r="AS599" s="601">
        <v>9.99</v>
      </c>
    </row>
    <row r="600" spans="42:45" x14ac:dyDescent="0.25">
      <c r="AP600" s="601">
        <v>4.9000000000000004</v>
      </c>
      <c r="AQ600" s="601">
        <v>80.129999999999896</v>
      </c>
      <c r="AR600" s="601">
        <v>25</v>
      </c>
      <c r="AS600" s="601">
        <v>10.119999999999999</v>
      </c>
    </row>
    <row r="601" spans="42:45" x14ac:dyDescent="0.25">
      <c r="AP601" s="601">
        <v>5</v>
      </c>
      <c r="AQ601" s="601">
        <v>80.699999999999903</v>
      </c>
      <c r="AR601" s="601">
        <v>26</v>
      </c>
      <c r="AS601" s="601">
        <v>10.25</v>
      </c>
    </row>
    <row r="602" spans="42:45" x14ac:dyDescent="0.25">
      <c r="AP602" s="601">
        <v>5.0999999999999996</v>
      </c>
      <c r="AQ602" s="601">
        <v>81.269999999999897</v>
      </c>
      <c r="AR602" s="601">
        <v>27</v>
      </c>
      <c r="AS602" s="601">
        <v>10.38</v>
      </c>
    </row>
    <row r="603" spans="42:45" x14ac:dyDescent="0.25">
      <c r="AP603" s="601">
        <v>5.2</v>
      </c>
      <c r="AQ603" s="601">
        <v>81.839999999999904</v>
      </c>
      <c r="AR603" s="601">
        <v>28</v>
      </c>
      <c r="AS603" s="601">
        <v>10.51</v>
      </c>
    </row>
    <row r="604" spans="42:45" x14ac:dyDescent="0.25">
      <c r="AP604" s="601">
        <v>5.3</v>
      </c>
      <c r="AQ604" s="601">
        <v>82.409999999999897</v>
      </c>
      <c r="AR604" s="601">
        <v>29</v>
      </c>
      <c r="AS604" s="601">
        <v>10.64</v>
      </c>
    </row>
    <row r="605" spans="42:45" x14ac:dyDescent="0.25">
      <c r="AP605" s="601">
        <v>5.4</v>
      </c>
      <c r="AQ605" s="601">
        <v>82.979999999999905</v>
      </c>
      <c r="AR605" s="601">
        <v>30</v>
      </c>
      <c r="AS605" s="601">
        <v>10.77</v>
      </c>
    </row>
    <row r="606" spans="42:45" x14ac:dyDescent="0.25">
      <c r="AP606" s="601">
        <v>5.5</v>
      </c>
      <c r="AQ606" s="601">
        <v>83.549999999999898</v>
      </c>
      <c r="AR606" s="601">
        <v>31</v>
      </c>
      <c r="AS606" s="601">
        <v>10.9</v>
      </c>
    </row>
    <row r="607" spans="42:45" x14ac:dyDescent="0.25">
      <c r="AP607" s="601">
        <v>5.6</v>
      </c>
      <c r="AQ607" s="601">
        <v>84.119999999999905</v>
      </c>
      <c r="AR607" s="601">
        <v>32</v>
      </c>
      <c r="AS607" s="601">
        <v>11.03</v>
      </c>
    </row>
    <row r="608" spans="42:45" x14ac:dyDescent="0.25">
      <c r="AP608" s="601">
        <v>5.7</v>
      </c>
      <c r="AQ608" s="601">
        <v>84.689999999999898</v>
      </c>
      <c r="AR608" s="601">
        <v>33</v>
      </c>
      <c r="AS608" s="601">
        <v>11.16</v>
      </c>
    </row>
    <row r="609" spans="42:45" x14ac:dyDescent="0.25">
      <c r="AP609" s="601">
        <v>5.8</v>
      </c>
      <c r="AQ609" s="601">
        <v>85.259999999999906</v>
      </c>
      <c r="AR609" s="601">
        <v>34</v>
      </c>
      <c r="AS609" s="601">
        <v>11.29</v>
      </c>
    </row>
    <row r="610" spans="42:45" x14ac:dyDescent="0.25">
      <c r="AP610" s="601">
        <v>5.9</v>
      </c>
      <c r="AQ610" s="601">
        <v>85.829999999999899</v>
      </c>
      <c r="AR610" s="601">
        <v>35</v>
      </c>
      <c r="AS610" s="601">
        <v>11.42</v>
      </c>
    </row>
    <row r="611" spans="42:45" x14ac:dyDescent="0.25">
      <c r="AP611" s="601">
        <v>6</v>
      </c>
      <c r="AQ611" s="601">
        <v>86.399999999999906</v>
      </c>
      <c r="AR611" s="601">
        <v>36</v>
      </c>
      <c r="AS611" s="601">
        <v>11.55</v>
      </c>
    </row>
    <row r="612" spans="42:45" x14ac:dyDescent="0.25">
      <c r="AP612" s="601">
        <v>6.1</v>
      </c>
      <c r="AQ612" s="601">
        <v>86.96</v>
      </c>
      <c r="AR612" s="601">
        <v>37</v>
      </c>
      <c r="AS612" s="601">
        <v>11.68</v>
      </c>
    </row>
    <row r="613" spans="42:45" x14ac:dyDescent="0.25">
      <c r="AP613" s="601">
        <v>6.2</v>
      </c>
      <c r="AQ613" s="601">
        <v>87.520000000000095</v>
      </c>
      <c r="AR613" s="601">
        <v>38</v>
      </c>
      <c r="AS613" s="601">
        <v>11.81</v>
      </c>
    </row>
    <row r="614" spans="42:45" x14ac:dyDescent="0.25">
      <c r="AP614" s="601">
        <v>6.3</v>
      </c>
      <c r="AQ614" s="601">
        <v>88.080000000000197</v>
      </c>
      <c r="AR614" s="601">
        <v>39</v>
      </c>
      <c r="AS614" s="601">
        <v>11.94</v>
      </c>
    </row>
    <row r="615" spans="42:45" x14ac:dyDescent="0.25">
      <c r="AP615" s="601">
        <v>6.4</v>
      </c>
      <c r="AQ615" s="601">
        <v>88.640000000000299</v>
      </c>
      <c r="AR615" s="601">
        <v>40</v>
      </c>
      <c r="AS615" s="601">
        <v>12.07</v>
      </c>
    </row>
    <row r="616" spans="42:45" x14ac:dyDescent="0.25">
      <c r="AP616" s="601">
        <v>6.5</v>
      </c>
      <c r="AQ616" s="601">
        <v>89.200000000000301</v>
      </c>
      <c r="AR616" s="601">
        <v>41</v>
      </c>
      <c r="AS616" s="601">
        <v>12.2</v>
      </c>
    </row>
    <row r="617" spans="42:45" x14ac:dyDescent="0.25">
      <c r="AP617" s="601">
        <v>6.6</v>
      </c>
      <c r="AQ617" s="601">
        <v>89.760000000000403</v>
      </c>
      <c r="AR617" s="601">
        <v>42</v>
      </c>
      <c r="AS617" s="601">
        <v>12.33</v>
      </c>
    </row>
    <row r="618" spans="42:45" x14ac:dyDescent="0.25">
      <c r="AP618" s="601">
        <v>6.7</v>
      </c>
      <c r="AQ618" s="601">
        <v>90.320000000000505</v>
      </c>
      <c r="AR618" s="601">
        <v>43</v>
      </c>
      <c r="AS618" s="601">
        <v>12.46</v>
      </c>
    </row>
    <row r="619" spans="42:45" x14ac:dyDescent="0.25">
      <c r="AP619" s="601">
        <v>6.8</v>
      </c>
      <c r="AQ619" s="601">
        <v>90.880000000000607</v>
      </c>
      <c r="AR619" s="601">
        <v>44</v>
      </c>
      <c r="AS619" s="601">
        <v>12.59</v>
      </c>
    </row>
    <row r="620" spans="42:45" x14ac:dyDescent="0.25">
      <c r="AP620" s="601">
        <v>6.9</v>
      </c>
      <c r="AQ620" s="601">
        <v>91.440000000000694</v>
      </c>
      <c r="AR620" s="601">
        <v>45</v>
      </c>
      <c r="AS620" s="601">
        <v>12.72</v>
      </c>
    </row>
    <row r="621" spans="42:45" x14ac:dyDescent="0.25">
      <c r="AP621" s="601">
        <v>7</v>
      </c>
      <c r="AQ621" s="601">
        <v>92.000000000000796</v>
      </c>
      <c r="AR621" s="601">
        <v>46</v>
      </c>
      <c r="AS621" s="601">
        <v>12.85</v>
      </c>
    </row>
    <row r="622" spans="42:45" x14ac:dyDescent="0.25">
      <c r="AP622" s="601">
        <v>7.1</v>
      </c>
      <c r="AQ622" s="601">
        <v>92.8</v>
      </c>
      <c r="AR622" s="601">
        <v>47</v>
      </c>
      <c r="AS622" s="601">
        <v>12.98</v>
      </c>
    </row>
    <row r="623" spans="42:45" x14ac:dyDescent="0.25">
      <c r="AP623" s="601">
        <v>7.2</v>
      </c>
      <c r="AQ623" s="601">
        <v>93.599999999999199</v>
      </c>
      <c r="AR623" s="601">
        <v>48</v>
      </c>
      <c r="AS623" s="601">
        <v>13.11</v>
      </c>
    </row>
    <row r="624" spans="42:45" x14ac:dyDescent="0.25">
      <c r="AP624" s="601">
        <v>7.3</v>
      </c>
      <c r="AQ624" s="601">
        <v>94.3999999999984</v>
      </c>
      <c r="AR624" s="601">
        <v>49</v>
      </c>
      <c r="AS624" s="601">
        <v>13.24</v>
      </c>
    </row>
    <row r="625" spans="42:45" x14ac:dyDescent="0.25">
      <c r="AP625" s="601">
        <v>7.4</v>
      </c>
      <c r="AQ625" s="601">
        <v>95.199999999997601</v>
      </c>
      <c r="AR625" s="601">
        <v>50</v>
      </c>
      <c r="AS625" s="601">
        <v>13.37</v>
      </c>
    </row>
    <row r="626" spans="42:45" x14ac:dyDescent="0.25">
      <c r="AP626" s="601">
        <v>7.5</v>
      </c>
      <c r="AQ626" s="601">
        <v>95.999999999996803</v>
      </c>
      <c r="AR626" s="601">
        <v>51</v>
      </c>
      <c r="AS626" s="601">
        <v>13.5</v>
      </c>
    </row>
    <row r="627" spans="42:45" x14ac:dyDescent="0.25">
      <c r="AP627" s="601">
        <v>7.6</v>
      </c>
      <c r="AQ627" s="601">
        <v>96.799999999996004</v>
      </c>
      <c r="AR627" s="601">
        <v>52</v>
      </c>
      <c r="AS627" s="601">
        <v>13.63</v>
      </c>
    </row>
    <row r="628" spans="42:45" x14ac:dyDescent="0.25">
      <c r="AP628" s="601">
        <v>7.7</v>
      </c>
      <c r="AQ628" s="601">
        <v>97.599999999995205</v>
      </c>
      <c r="AR628" s="601">
        <v>53</v>
      </c>
      <c r="AS628" s="601">
        <v>13.76</v>
      </c>
    </row>
    <row r="629" spans="42:45" x14ac:dyDescent="0.25">
      <c r="AP629" s="601">
        <v>7.8</v>
      </c>
      <c r="AQ629" s="601">
        <v>98.399999999994407</v>
      </c>
      <c r="AR629" s="601">
        <v>54</v>
      </c>
      <c r="AS629" s="601">
        <v>13.89</v>
      </c>
    </row>
    <row r="630" spans="42:45" x14ac:dyDescent="0.25">
      <c r="AP630" s="601">
        <v>7.9</v>
      </c>
      <c r="AQ630" s="601">
        <v>99.199999999993594</v>
      </c>
      <c r="AR630" s="601">
        <v>55</v>
      </c>
      <c r="AS630" s="601">
        <v>14.02</v>
      </c>
    </row>
    <row r="631" spans="42:45" x14ac:dyDescent="0.25">
      <c r="AP631" s="601">
        <v>8</v>
      </c>
      <c r="AQ631" s="601">
        <v>99.999999999992795</v>
      </c>
      <c r="AR631" s="601">
        <v>56</v>
      </c>
      <c r="AS631" s="601">
        <v>14.15</v>
      </c>
    </row>
    <row r="632" spans="42:45" x14ac:dyDescent="0.25">
      <c r="AP632" s="601"/>
      <c r="AQ632" s="601"/>
      <c r="AR632" s="601">
        <v>57</v>
      </c>
      <c r="AS632" s="601">
        <v>14.28</v>
      </c>
    </row>
    <row r="633" spans="42:45" x14ac:dyDescent="0.25">
      <c r="AP633" s="601"/>
      <c r="AQ633" s="601"/>
      <c r="AR633" s="601">
        <v>58</v>
      </c>
      <c r="AS633" s="601">
        <v>14.41</v>
      </c>
    </row>
    <row r="634" spans="42:45" x14ac:dyDescent="0.25">
      <c r="AP634" s="601" t="s">
        <v>2264</v>
      </c>
      <c r="AQ634" s="599" t="s">
        <v>2268</v>
      </c>
      <c r="AR634" s="601">
        <v>59</v>
      </c>
      <c r="AS634" s="601">
        <v>14.54</v>
      </c>
    </row>
    <row r="635" spans="42:45" x14ac:dyDescent="0.25">
      <c r="AP635" s="601">
        <v>70</v>
      </c>
      <c r="AQ635" s="599">
        <v>0</v>
      </c>
      <c r="AR635" s="601">
        <v>60</v>
      </c>
      <c r="AS635" s="601">
        <v>14.67</v>
      </c>
    </row>
    <row r="636" spans="42:45" x14ac:dyDescent="0.25">
      <c r="AP636" s="601">
        <v>71</v>
      </c>
      <c r="AQ636" s="599">
        <v>0</v>
      </c>
      <c r="AR636" s="601">
        <v>61</v>
      </c>
      <c r="AS636" s="601">
        <v>14.8</v>
      </c>
    </row>
    <row r="637" spans="42:45" x14ac:dyDescent="0.25">
      <c r="AP637" s="601">
        <v>72</v>
      </c>
      <c r="AQ637" s="599">
        <v>0</v>
      </c>
      <c r="AR637" s="601">
        <v>62</v>
      </c>
      <c r="AS637" s="601">
        <v>14.93</v>
      </c>
    </row>
    <row r="638" spans="42:45" x14ac:dyDescent="0.25">
      <c r="AP638" s="601">
        <v>73</v>
      </c>
      <c r="AQ638" s="599">
        <v>0</v>
      </c>
      <c r="AR638" s="601">
        <v>63</v>
      </c>
      <c r="AS638" s="601">
        <v>15.06</v>
      </c>
    </row>
    <row r="639" spans="42:45" x14ac:dyDescent="0.25">
      <c r="AP639" s="601">
        <v>74</v>
      </c>
      <c r="AQ639" s="599">
        <v>0</v>
      </c>
      <c r="AR639" s="601">
        <v>64</v>
      </c>
      <c r="AS639" s="601">
        <v>15.19</v>
      </c>
    </row>
    <row r="640" spans="42:45" x14ac:dyDescent="0.25">
      <c r="AP640" s="601">
        <v>75</v>
      </c>
      <c r="AQ640" s="599">
        <v>0</v>
      </c>
      <c r="AR640" s="601">
        <v>65</v>
      </c>
      <c r="AS640" s="601">
        <v>15.32</v>
      </c>
    </row>
    <row r="641" spans="42:45" x14ac:dyDescent="0.25">
      <c r="AP641" s="601">
        <v>76</v>
      </c>
      <c r="AQ641" s="599">
        <v>0</v>
      </c>
      <c r="AR641" s="601">
        <v>66</v>
      </c>
      <c r="AS641" s="601">
        <v>15.45</v>
      </c>
    </row>
    <row r="642" spans="42:45" x14ac:dyDescent="0.25">
      <c r="AP642" s="601">
        <v>77</v>
      </c>
      <c r="AQ642" s="599">
        <v>0</v>
      </c>
      <c r="AR642" s="601">
        <v>67</v>
      </c>
      <c r="AS642" s="601">
        <v>15.58</v>
      </c>
    </row>
    <row r="643" spans="42:45" x14ac:dyDescent="0.25">
      <c r="AP643" s="601">
        <v>78</v>
      </c>
      <c r="AQ643" s="599">
        <v>0</v>
      </c>
      <c r="AR643" s="601">
        <v>68</v>
      </c>
      <c r="AS643" s="601">
        <v>15.71</v>
      </c>
    </row>
    <row r="644" spans="42:45" x14ac:dyDescent="0.25">
      <c r="AP644" s="601">
        <v>79</v>
      </c>
      <c r="AQ644" s="599">
        <v>0</v>
      </c>
      <c r="AR644" s="601">
        <v>69</v>
      </c>
      <c r="AS644" s="601">
        <v>15.84</v>
      </c>
    </row>
    <row r="645" spans="42:45" x14ac:dyDescent="0.25">
      <c r="AP645" s="601">
        <v>80</v>
      </c>
      <c r="AQ645" s="599">
        <v>0</v>
      </c>
      <c r="AR645" s="601">
        <v>70</v>
      </c>
      <c r="AS645" s="601">
        <v>15.97</v>
      </c>
    </row>
    <row r="646" spans="42:45" x14ac:dyDescent="0.25">
      <c r="AP646" s="601">
        <v>81</v>
      </c>
      <c r="AQ646" s="599">
        <v>0</v>
      </c>
      <c r="AR646" s="601">
        <v>71</v>
      </c>
      <c r="AS646" s="601">
        <v>16.100000000000001</v>
      </c>
    </row>
    <row r="647" spans="42:45" x14ac:dyDescent="0.25">
      <c r="AP647" s="601">
        <v>82</v>
      </c>
      <c r="AQ647" s="599">
        <v>0</v>
      </c>
      <c r="AR647" s="601">
        <v>72</v>
      </c>
      <c r="AS647" s="601">
        <v>16.23</v>
      </c>
    </row>
    <row r="648" spans="42:45" x14ac:dyDescent="0.25">
      <c r="AP648" s="601">
        <v>83</v>
      </c>
      <c r="AQ648" s="599">
        <v>6.9999999999999999E-4</v>
      </c>
      <c r="AR648" s="601">
        <v>73</v>
      </c>
      <c r="AS648" s="601">
        <v>16.36</v>
      </c>
    </row>
    <row r="649" spans="42:45" x14ac:dyDescent="0.25">
      <c r="AP649" s="601">
        <v>84</v>
      </c>
      <c r="AQ649" s="599">
        <v>1.4E-3</v>
      </c>
      <c r="AR649" s="601">
        <v>74</v>
      </c>
      <c r="AS649" s="601">
        <v>16.489999999999998</v>
      </c>
    </row>
    <row r="650" spans="42:45" x14ac:dyDescent="0.25">
      <c r="AP650" s="601">
        <v>85</v>
      </c>
      <c r="AQ650" s="599">
        <v>2.0999999999999999E-3</v>
      </c>
      <c r="AR650" s="601">
        <v>75</v>
      </c>
      <c r="AS650" s="601">
        <v>16.62</v>
      </c>
    </row>
    <row r="651" spans="42:45" x14ac:dyDescent="0.25">
      <c r="AP651" s="601">
        <v>86</v>
      </c>
      <c r="AQ651" s="599">
        <v>2.8E-3</v>
      </c>
      <c r="AR651" s="601">
        <v>76</v>
      </c>
      <c r="AS651" s="601">
        <v>16.75</v>
      </c>
    </row>
    <row r="652" spans="42:45" x14ac:dyDescent="0.25">
      <c r="AP652" s="601">
        <v>87</v>
      </c>
      <c r="AQ652" s="599">
        <v>3.5000000000000001E-3</v>
      </c>
      <c r="AR652" s="601">
        <v>77</v>
      </c>
      <c r="AS652" s="601">
        <v>16.88</v>
      </c>
    </row>
    <row r="653" spans="42:45" x14ac:dyDescent="0.25">
      <c r="AP653" s="601">
        <v>88</v>
      </c>
      <c r="AQ653" s="599">
        <v>4.1999999999999997E-3</v>
      </c>
      <c r="AR653" s="601">
        <v>78</v>
      </c>
      <c r="AS653" s="601">
        <v>17.010000000000002</v>
      </c>
    </row>
    <row r="654" spans="42:45" x14ac:dyDescent="0.25">
      <c r="AP654" s="601">
        <v>89</v>
      </c>
      <c r="AQ654" s="599">
        <v>4.8999999999999998E-3</v>
      </c>
      <c r="AR654" s="601">
        <v>79</v>
      </c>
      <c r="AS654" s="601">
        <v>17.14</v>
      </c>
    </row>
    <row r="655" spans="42:45" x14ac:dyDescent="0.25">
      <c r="AP655" s="601">
        <v>90</v>
      </c>
      <c r="AQ655" s="599">
        <v>5.5999999999999999E-3</v>
      </c>
      <c r="AR655" s="601">
        <v>80</v>
      </c>
      <c r="AS655" s="601">
        <v>17.27</v>
      </c>
    </row>
    <row r="656" spans="42:45" x14ac:dyDescent="0.25">
      <c r="AP656" s="601">
        <v>91</v>
      </c>
      <c r="AQ656" s="599">
        <v>6.3E-3</v>
      </c>
      <c r="AR656" s="601">
        <v>81</v>
      </c>
      <c r="AS656" s="601">
        <v>17.399999999999999</v>
      </c>
    </row>
    <row r="657" spans="42:45" x14ac:dyDescent="0.25">
      <c r="AP657" s="601">
        <v>92</v>
      </c>
      <c r="AQ657" s="599">
        <v>7.0000000000000001E-3</v>
      </c>
      <c r="AR657" s="601">
        <v>82</v>
      </c>
      <c r="AS657" s="601">
        <v>17.53</v>
      </c>
    </row>
    <row r="658" spans="42:45" x14ac:dyDescent="0.25">
      <c r="AP658" s="601">
        <v>93</v>
      </c>
      <c r="AQ658" s="599">
        <v>7.7000000000000002E-3</v>
      </c>
      <c r="AR658" s="601">
        <v>83</v>
      </c>
      <c r="AS658" s="601">
        <v>17.66</v>
      </c>
    </row>
    <row r="659" spans="42:45" x14ac:dyDescent="0.25">
      <c r="AP659" s="601">
        <v>94</v>
      </c>
      <c r="AQ659" s="599">
        <v>8.3999999999999995E-3</v>
      </c>
      <c r="AR659" s="601">
        <v>84</v>
      </c>
      <c r="AS659" s="601">
        <v>17.79</v>
      </c>
    </row>
    <row r="660" spans="42:45" x14ac:dyDescent="0.25">
      <c r="AP660" s="601">
        <v>95</v>
      </c>
      <c r="AQ660" s="599">
        <v>9.1000000000000004E-3</v>
      </c>
      <c r="AR660" s="601">
        <v>85</v>
      </c>
      <c r="AS660" s="601">
        <v>17.920000000000002</v>
      </c>
    </row>
    <row r="661" spans="42:45" x14ac:dyDescent="0.25">
      <c r="AP661" s="601">
        <v>96</v>
      </c>
      <c r="AQ661" s="599">
        <v>9.7999999999999997E-3</v>
      </c>
      <c r="AR661" s="601">
        <v>86</v>
      </c>
      <c r="AS661" s="601">
        <v>18.05</v>
      </c>
    </row>
    <row r="662" spans="42:45" x14ac:dyDescent="0.25">
      <c r="AP662" s="601">
        <v>97</v>
      </c>
      <c r="AQ662" s="599">
        <v>1.0500000000000001E-2</v>
      </c>
      <c r="AR662" s="601">
        <v>87</v>
      </c>
      <c r="AS662" s="601">
        <v>18.18</v>
      </c>
    </row>
    <row r="663" spans="42:45" x14ac:dyDescent="0.25">
      <c r="AP663" s="601">
        <v>98</v>
      </c>
      <c r="AQ663" s="599">
        <v>1.7899999999999999E-2</v>
      </c>
      <c r="AR663" s="601">
        <v>88</v>
      </c>
      <c r="AS663" s="601">
        <v>18.309999999999999</v>
      </c>
    </row>
    <row r="664" spans="42:45" x14ac:dyDescent="0.25">
      <c r="AP664" s="601">
        <v>99</v>
      </c>
      <c r="AQ664" s="599">
        <v>2.53E-2</v>
      </c>
      <c r="AR664" s="601">
        <v>89</v>
      </c>
      <c r="AS664" s="601">
        <v>18.440000000000001</v>
      </c>
    </row>
    <row r="665" spans="42:45" x14ac:dyDescent="0.25">
      <c r="AP665" s="601">
        <v>100</v>
      </c>
      <c r="AQ665" s="599">
        <v>3.27E-2</v>
      </c>
      <c r="AR665" s="601">
        <v>90</v>
      </c>
      <c r="AS665" s="601">
        <v>18.57</v>
      </c>
    </row>
    <row r="666" spans="42:45" x14ac:dyDescent="0.25">
      <c r="AP666" s="601">
        <v>101</v>
      </c>
      <c r="AQ666" s="599">
        <v>4.0099999999999997E-2</v>
      </c>
      <c r="AR666" s="601">
        <v>91</v>
      </c>
      <c r="AS666" s="601">
        <v>18.7</v>
      </c>
    </row>
    <row r="667" spans="42:45" x14ac:dyDescent="0.25">
      <c r="AP667" s="601">
        <v>102</v>
      </c>
      <c r="AQ667" s="599">
        <v>4.7500000000000001E-2</v>
      </c>
      <c r="AR667" s="601">
        <v>92</v>
      </c>
      <c r="AS667" s="601">
        <v>18.829999999999998</v>
      </c>
    </row>
    <row r="668" spans="42:45" x14ac:dyDescent="0.25">
      <c r="AP668" s="601">
        <v>103</v>
      </c>
      <c r="AQ668" s="599">
        <v>5.4899999999999997E-2</v>
      </c>
      <c r="AR668" s="601"/>
      <c r="AS668" s="601"/>
    </row>
    <row r="669" spans="42:45" x14ac:dyDescent="0.25">
      <c r="AP669" s="601">
        <v>104</v>
      </c>
      <c r="AQ669" s="599">
        <v>6.2300000000000001E-2</v>
      </c>
      <c r="AR669" s="601"/>
      <c r="AS669" s="601"/>
    </row>
    <row r="670" spans="42:45" x14ac:dyDescent="0.25">
      <c r="AP670" s="601">
        <v>105</v>
      </c>
      <c r="AQ670" s="599">
        <v>6.9699999999999998E-2</v>
      </c>
      <c r="AR670" s="601"/>
      <c r="AS670" s="601"/>
    </row>
    <row r="671" spans="42:45" x14ac:dyDescent="0.25">
      <c r="AP671" s="601">
        <v>106</v>
      </c>
      <c r="AQ671" s="599">
        <v>7.7100000000000002E-2</v>
      </c>
      <c r="AR671" s="601"/>
      <c r="AS671" s="601"/>
    </row>
    <row r="672" spans="42:45" x14ac:dyDescent="0.25">
      <c r="AP672" s="601">
        <v>107</v>
      </c>
      <c r="AQ672" s="599">
        <v>8.4500000000000006E-2</v>
      </c>
      <c r="AR672" s="601"/>
      <c r="AS672" s="601"/>
    </row>
    <row r="673" spans="42:45" x14ac:dyDescent="0.25">
      <c r="AP673" s="601">
        <v>108</v>
      </c>
      <c r="AQ673" s="599">
        <v>9.1899999999999996E-2</v>
      </c>
      <c r="AR673" s="601"/>
      <c r="AS673" s="601"/>
    </row>
    <row r="674" spans="42:45" x14ac:dyDescent="0.25">
      <c r="AP674" s="601">
        <v>109</v>
      </c>
      <c r="AQ674" s="599">
        <v>9.9299999999999999E-2</v>
      </c>
      <c r="AR674" s="601"/>
      <c r="AS674" s="601"/>
    </row>
    <row r="675" spans="42:45" x14ac:dyDescent="0.25">
      <c r="AP675" s="601">
        <v>110</v>
      </c>
      <c r="AQ675" s="599">
        <v>0.1067</v>
      </c>
      <c r="AR675" s="601"/>
      <c r="AS675" s="601"/>
    </row>
    <row r="676" spans="42:45" x14ac:dyDescent="0.25">
      <c r="AP676" s="601">
        <v>111</v>
      </c>
      <c r="AQ676" s="599">
        <v>0.14000000000000001</v>
      </c>
      <c r="AR676" s="601"/>
      <c r="AS676" s="601"/>
    </row>
    <row r="677" spans="42:45" x14ac:dyDescent="0.25">
      <c r="AP677" s="601">
        <v>112</v>
      </c>
      <c r="AQ677" s="599">
        <v>0.17330000000000001</v>
      </c>
      <c r="AR677" s="601"/>
      <c r="AS677" s="601"/>
    </row>
    <row r="678" spans="42:45" x14ac:dyDescent="0.25">
      <c r="AP678" s="601">
        <v>113</v>
      </c>
      <c r="AQ678" s="599">
        <v>0.20660000000000001</v>
      </c>
      <c r="AR678" s="601"/>
      <c r="AS678" s="601"/>
    </row>
    <row r="679" spans="42:45" x14ac:dyDescent="0.25">
      <c r="AP679" s="601">
        <v>114</v>
      </c>
      <c r="AQ679" s="599">
        <v>0.2399</v>
      </c>
      <c r="AR679" s="601"/>
      <c r="AS679" s="601"/>
    </row>
    <row r="680" spans="42:45" x14ac:dyDescent="0.25">
      <c r="AP680" s="601">
        <v>115</v>
      </c>
      <c r="AQ680" s="599">
        <v>0.2732</v>
      </c>
      <c r="AR680" s="601"/>
      <c r="AS680" s="601"/>
    </row>
    <row r="681" spans="42:45" x14ac:dyDescent="0.25">
      <c r="AP681" s="601">
        <v>116</v>
      </c>
      <c r="AQ681" s="599">
        <v>0.30649999999999999</v>
      </c>
      <c r="AR681" s="601"/>
      <c r="AS681" s="601"/>
    </row>
    <row r="682" spans="42:45" x14ac:dyDescent="0.25">
      <c r="AP682" s="601">
        <v>117</v>
      </c>
      <c r="AQ682" s="599">
        <v>0.33979999999999999</v>
      </c>
      <c r="AR682" s="601"/>
      <c r="AS682" s="601"/>
    </row>
    <row r="683" spans="42:45" x14ac:dyDescent="0.25">
      <c r="AP683" s="601">
        <v>118</v>
      </c>
      <c r="AQ683" s="599">
        <v>0.37309999999999999</v>
      </c>
      <c r="AR683" s="601"/>
      <c r="AS683" s="601"/>
    </row>
    <row r="684" spans="42:45" x14ac:dyDescent="0.25">
      <c r="AP684" s="601">
        <v>119</v>
      </c>
      <c r="AQ684" s="599">
        <v>0.40639999999999998</v>
      </c>
      <c r="AR684" s="601"/>
      <c r="AS684" s="601"/>
    </row>
    <row r="685" spans="42:45" x14ac:dyDescent="0.25">
      <c r="AP685" s="601">
        <v>120</v>
      </c>
      <c r="AQ685" s="599">
        <v>0.43969999999999998</v>
      </c>
      <c r="AR685" s="601"/>
      <c r="AS685" s="601"/>
    </row>
    <row r="686" spans="42:45" x14ac:dyDescent="0.25">
      <c r="AP686" s="601">
        <v>121</v>
      </c>
      <c r="AQ686" s="599">
        <v>0.47299999999999998</v>
      </c>
      <c r="AR686" s="601"/>
      <c r="AS686" s="601"/>
    </row>
    <row r="687" spans="42:45" x14ac:dyDescent="0.25">
      <c r="AP687" s="601">
        <v>122</v>
      </c>
      <c r="AQ687" s="599">
        <v>0.50629999999999997</v>
      </c>
      <c r="AR687" s="601"/>
      <c r="AS687" s="601"/>
    </row>
    <row r="688" spans="42:45" x14ac:dyDescent="0.25">
      <c r="AP688" s="601">
        <v>123</v>
      </c>
      <c r="AQ688" s="599">
        <v>0.52500000000000002</v>
      </c>
      <c r="AR688" s="601"/>
      <c r="AS688" s="601"/>
    </row>
    <row r="689" spans="42:45" x14ac:dyDescent="0.25">
      <c r="AP689" s="601">
        <v>124</v>
      </c>
      <c r="AQ689" s="599">
        <v>0.54369999999999996</v>
      </c>
      <c r="AR689" s="601"/>
      <c r="AS689" s="601"/>
    </row>
    <row r="690" spans="42:45" x14ac:dyDescent="0.25">
      <c r="AP690" s="601">
        <v>125</v>
      </c>
      <c r="AQ690" s="599">
        <v>0.56240000000000001</v>
      </c>
      <c r="AR690" s="601"/>
      <c r="AS690" s="601"/>
    </row>
    <row r="691" spans="42:45" x14ac:dyDescent="0.25">
      <c r="AP691" s="601">
        <v>126</v>
      </c>
      <c r="AQ691" s="599">
        <v>0.58109999999999995</v>
      </c>
      <c r="AR691" s="601"/>
      <c r="AS691" s="601"/>
    </row>
    <row r="692" spans="42:45" x14ac:dyDescent="0.25">
      <c r="AP692" s="601">
        <v>127</v>
      </c>
      <c r="AQ692" s="599">
        <v>0.5998</v>
      </c>
      <c r="AR692" s="601"/>
      <c r="AS692" s="601"/>
    </row>
    <row r="693" spans="42:45" x14ac:dyDescent="0.25">
      <c r="AP693" s="601">
        <v>128</v>
      </c>
      <c r="AQ693" s="599">
        <v>0.61850000000000005</v>
      </c>
      <c r="AR693" s="601"/>
      <c r="AS693" s="601"/>
    </row>
    <row r="694" spans="42:45" x14ac:dyDescent="0.25">
      <c r="AP694" s="601">
        <v>129</v>
      </c>
      <c r="AQ694" s="599">
        <v>0.63719999999999999</v>
      </c>
      <c r="AR694" s="601"/>
      <c r="AS694" s="601"/>
    </row>
    <row r="695" spans="42:45" x14ac:dyDescent="0.25">
      <c r="AP695" s="601">
        <v>130</v>
      </c>
      <c r="AQ695" s="599">
        <v>0.65590000000000004</v>
      </c>
      <c r="AR695" s="601"/>
      <c r="AS695" s="601"/>
    </row>
    <row r="696" spans="42:45" x14ac:dyDescent="0.25">
      <c r="AP696" s="601">
        <v>131</v>
      </c>
      <c r="AQ696" s="599">
        <v>0.67459999999999998</v>
      </c>
      <c r="AR696" s="601"/>
      <c r="AS696" s="601"/>
    </row>
    <row r="697" spans="42:45" x14ac:dyDescent="0.25">
      <c r="AP697" s="601">
        <v>132</v>
      </c>
      <c r="AQ697" s="599">
        <v>0.69330000000000003</v>
      </c>
      <c r="AR697" s="601"/>
      <c r="AS697" s="601"/>
    </row>
    <row r="698" spans="42:45" x14ac:dyDescent="0.25">
      <c r="AP698" s="601">
        <v>133</v>
      </c>
      <c r="AQ698" s="599">
        <v>0.71200000000000097</v>
      </c>
      <c r="AR698" s="601"/>
      <c r="AS698" s="601"/>
    </row>
    <row r="699" spans="42:45" x14ac:dyDescent="0.25">
      <c r="AP699" s="601">
        <v>134</v>
      </c>
      <c r="AQ699" s="599">
        <v>0.72199999999999998</v>
      </c>
      <c r="AR699" s="601"/>
      <c r="AS699" s="601"/>
    </row>
    <row r="700" spans="42:45" x14ac:dyDescent="0.25">
      <c r="AP700" s="601">
        <v>135</v>
      </c>
      <c r="AQ700" s="599">
        <v>0.73199999999999898</v>
      </c>
      <c r="AR700" s="601"/>
      <c r="AS700" s="601"/>
    </row>
    <row r="701" spans="42:45" x14ac:dyDescent="0.25">
      <c r="AP701" s="601">
        <v>136</v>
      </c>
      <c r="AQ701" s="599">
        <v>0.74199999999999799</v>
      </c>
      <c r="AR701" s="601"/>
      <c r="AS701" s="601"/>
    </row>
    <row r="702" spans="42:45" x14ac:dyDescent="0.25">
      <c r="AP702" s="601">
        <v>137</v>
      </c>
      <c r="AQ702" s="599">
        <v>0.751999999999997</v>
      </c>
      <c r="AR702" s="601"/>
      <c r="AS702" s="601"/>
    </row>
    <row r="703" spans="42:45" x14ac:dyDescent="0.25">
      <c r="AP703" s="601">
        <v>138</v>
      </c>
      <c r="AQ703" s="599">
        <v>0.76199999999999601</v>
      </c>
      <c r="AR703" s="601"/>
      <c r="AS703" s="601"/>
    </row>
    <row r="704" spans="42:45" x14ac:dyDescent="0.25">
      <c r="AP704" s="601">
        <v>139</v>
      </c>
      <c r="AQ704" s="599">
        <v>0.77199999999999502</v>
      </c>
      <c r="AR704" s="601"/>
      <c r="AS704" s="601"/>
    </row>
    <row r="705" spans="42:45" x14ac:dyDescent="0.25">
      <c r="AP705" s="601">
        <v>140</v>
      </c>
      <c r="AQ705" s="599">
        <v>0.78199999999999403</v>
      </c>
      <c r="AR705" s="601"/>
      <c r="AS705" s="601"/>
    </row>
    <row r="706" spans="42:45" x14ac:dyDescent="0.25">
      <c r="AP706" s="601">
        <v>141</v>
      </c>
      <c r="AQ706" s="599">
        <v>0.79199999999999304</v>
      </c>
      <c r="AR706" s="601"/>
      <c r="AS706" s="601"/>
    </row>
    <row r="707" spans="42:45" x14ac:dyDescent="0.25">
      <c r="AP707" s="601">
        <v>142</v>
      </c>
      <c r="AQ707" s="599">
        <v>0.80199999999999205</v>
      </c>
      <c r="AR707" s="601"/>
      <c r="AS707" s="601"/>
    </row>
    <row r="708" spans="42:45" x14ac:dyDescent="0.25">
      <c r="AP708" s="601"/>
      <c r="AQ708" s="601"/>
      <c r="AR708" s="601"/>
      <c r="AS708" s="601"/>
    </row>
  </sheetData>
  <mergeCells count="103">
    <mergeCell ref="G45:H45"/>
    <mergeCell ref="L57:N58"/>
    <mergeCell ref="O57:P58"/>
    <mergeCell ref="L47:P48"/>
    <mergeCell ref="L49:O49"/>
    <mergeCell ref="L50:O50"/>
    <mergeCell ref="L51:O51"/>
    <mergeCell ref="L40:O42"/>
    <mergeCell ref="P38:P39"/>
    <mergeCell ref="P40:P42"/>
    <mergeCell ref="L43:N44"/>
    <mergeCell ref="O43:P44"/>
    <mergeCell ref="L55:O56"/>
    <mergeCell ref="P55:P56"/>
    <mergeCell ref="L52:O54"/>
    <mergeCell ref="P52:P54"/>
    <mergeCell ref="L37:O37"/>
    <mergeCell ref="L38:O39"/>
    <mergeCell ref="B30:E31"/>
    <mergeCell ref="B50:D50"/>
    <mergeCell ref="L29:O30"/>
    <mergeCell ref="P29:P30"/>
    <mergeCell ref="L9:O12"/>
    <mergeCell ref="P9:P12"/>
    <mergeCell ref="P27:P28"/>
    <mergeCell ref="G26:I27"/>
    <mergeCell ref="G28:I29"/>
    <mergeCell ref="L20:O20"/>
    <mergeCell ref="L31:N32"/>
    <mergeCell ref="O31:P32"/>
    <mergeCell ref="L27:O28"/>
    <mergeCell ref="G42:J42"/>
    <mergeCell ref="B23:E23"/>
    <mergeCell ref="B22:E22"/>
    <mergeCell ref="B28:E29"/>
    <mergeCell ref="B48:D48"/>
    <mergeCell ref="B41:D41"/>
    <mergeCell ref="B42:D42"/>
    <mergeCell ref="F30:F31"/>
    <mergeCell ref="G46:H46"/>
    <mergeCell ref="L5:O8"/>
    <mergeCell ref="P5:P8"/>
    <mergeCell ref="L13:N14"/>
    <mergeCell ref="O13:P14"/>
    <mergeCell ref="L25:O26"/>
    <mergeCell ref="P25:P26"/>
    <mergeCell ref="L21:O24"/>
    <mergeCell ref="L17:P18"/>
    <mergeCell ref="B54:D54"/>
    <mergeCell ref="G43:H43"/>
    <mergeCell ref="I43:J43"/>
    <mergeCell ref="G44:H44"/>
    <mergeCell ref="B25:E25"/>
    <mergeCell ref="I47:J47"/>
    <mergeCell ref="G24:I25"/>
    <mergeCell ref="B51:D51"/>
    <mergeCell ref="B24:E24"/>
    <mergeCell ref="B47:D47"/>
    <mergeCell ref="B53:D53"/>
    <mergeCell ref="B45:D45"/>
    <mergeCell ref="B44:D44"/>
    <mergeCell ref="L35:P36"/>
    <mergeCell ref="B20:E20"/>
    <mergeCell ref="B21:E21"/>
    <mergeCell ref="B2:D2"/>
    <mergeCell ref="B3:D3"/>
    <mergeCell ref="B5:D5"/>
    <mergeCell ref="G20:I21"/>
    <mergeCell ref="F28:F29"/>
    <mergeCell ref="J20:J29"/>
    <mergeCell ref="B33:E33"/>
    <mergeCell ref="G30:J39"/>
    <mergeCell ref="B27:E27"/>
    <mergeCell ref="B26:E26"/>
    <mergeCell ref="G22:I23"/>
    <mergeCell ref="B32:E32"/>
    <mergeCell ref="B14:D14"/>
    <mergeCell ref="B18:F19"/>
    <mergeCell ref="B35:E36"/>
    <mergeCell ref="L2:P3"/>
    <mergeCell ref="L4:O4"/>
    <mergeCell ref="P21:P24"/>
    <mergeCell ref="L19:O19"/>
    <mergeCell ref="G47:H47"/>
    <mergeCell ref="I44:J44"/>
    <mergeCell ref="I45:J45"/>
    <mergeCell ref="I46:J46"/>
    <mergeCell ref="B39:E39"/>
    <mergeCell ref="B6:D6"/>
    <mergeCell ref="B17:J17"/>
    <mergeCell ref="F4:J4"/>
    <mergeCell ref="B15:D15"/>
    <mergeCell ref="B8:D8"/>
    <mergeCell ref="B9:D9"/>
    <mergeCell ref="F5:F6"/>
    <mergeCell ref="G5:J5"/>
    <mergeCell ref="F37:F38"/>
    <mergeCell ref="F35:F36"/>
    <mergeCell ref="B11:D11"/>
    <mergeCell ref="B12:D12"/>
    <mergeCell ref="B34:E34"/>
    <mergeCell ref="B37:E38"/>
    <mergeCell ref="G18:J19"/>
  </mergeCells>
  <pageMargins left="0.7" right="0.7" top="0.75" bottom="0.75" header="0.3" footer="0.3"/>
  <pageSetup paperSize="9" orientation="portrait" verticalDpi="0"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7"/>
  <dimension ref="B1:G29"/>
  <sheetViews>
    <sheetView view="pageBreakPreview" topLeftCell="A7" zoomScale="160" zoomScaleNormal="100" zoomScaleSheetLayoutView="160" zoomScalePageLayoutView="115" workbookViewId="0">
      <selection activeCell="D8" sqref="D8"/>
    </sheetView>
  </sheetViews>
  <sheetFormatPr defaultRowHeight="12.75" x14ac:dyDescent="0.2"/>
  <cols>
    <col min="1" max="1" width="18.28515625" style="583" customWidth="1"/>
    <col min="2" max="4" width="9.140625" style="583"/>
    <col min="5" max="5" width="12" style="583" bestFit="1" customWidth="1"/>
    <col min="6" max="6" width="9.140625" style="583"/>
    <col min="7" max="7" width="38.85546875" style="585" hidden="1" customWidth="1"/>
    <col min="8" max="16384" width="9.140625" style="583"/>
  </cols>
  <sheetData>
    <row r="1" spans="2:7" ht="37.5" customHeight="1" x14ac:dyDescent="0.2"/>
    <row r="2" spans="2:7" x14ac:dyDescent="0.2">
      <c r="B2" s="1361" t="s">
        <v>2240</v>
      </c>
      <c r="C2" s="1362"/>
      <c r="D2" s="1362"/>
      <c r="E2" s="1363"/>
    </row>
    <row r="3" spans="2:7" x14ac:dyDescent="0.2">
      <c r="B3" s="586" t="s">
        <v>2242</v>
      </c>
      <c r="C3" s="1354" t="s">
        <v>1628</v>
      </c>
      <c r="D3" s="1354"/>
      <c r="E3" s="1355"/>
    </row>
    <row r="4" spans="2:7" x14ac:dyDescent="0.2">
      <c r="B4" s="586" t="s">
        <v>310</v>
      </c>
      <c r="C4" s="1354" t="str">
        <f>ФИО</f>
        <v>Иванова Е.П.</v>
      </c>
      <c r="D4" s="1354"/>
      <c r="E4" s="1355"/>
    </row>
    <row r="5" spans="2:7" x14ac:dyDescent="0.2">
      <c r="B5" s="586" t="s">
        <v>2243</v>
      </c>
      <c r="C5" s="1354">
        <f>№_и_б</f>
        <v>21949</v>
      </c>
      <c r="D5" s="1354"/>
      <c r="E5" s="1355"/>
    </row>
    <row r="6" spans="2:7" x14ac:dyDescent="0.2">
      <c r="B6" s="586" t="s">
        <v>20</v>
      </c>
      <c r="C6" s="1354" t="e">
        <f ca="1">Возраст_лет</f>
        <v>#REF!</v>
      </c>
      <c r="D6" s="1354"/>
      <c r="E6" s="1355"/>
    </row>
    <row r="7" spans="2:7" x14ac:dyDescent="0.2">
      <c r="B7" s="586" t="s">
        <v>2244</v>
      </c>
      <c r="C7" s="1359" t="s">
        <v>2352</v>
      </c>
      <c r="D7" s="1359"/>
      <c r="E7" s="1360"/>
    </row>
    <row r="8" spans="2:7" x14ac:dyDescent="0.2">
      <c r="B8" s="586" t="s">
        <v>2241</v>
      </c>
      <c r="C8" s="63"/>
      <c r="D8" s="587">
        <v>41774</v>
      </c>
      <c r="E8" s="588"/>
      <c r="F8" s="584"/>
    </row>
    <row r="9" spans="2:7" x14ac:dyDescent="0.2">
      <c r="B9" s="586" t="s">
        <v>2244</v>
      </c>
      <c r="C9" s="589"/>
      <c r="D9" s="589"/>
      <c r="E9" s="590"/>
    </row>
    <row r="10" spans="2:7" x14ac:dyDescent="0.2">
      <c r="B10" s="1356"/>
      <c r="C10" s="1357"/>
      <c r="D10" s="1357"/>
      <c r="E10" s="1358"/>
      <c r="G10" s="585">
        <f>B10</f>
        <v>0</v>
      </c>
    </row>
    <row r="11" spans="2:7" x14ac:dyDescent="0.2">
      <c r="B11" s="1364" t="s">
        <v>2245</v>
      </c>
      <c r="C11" s="1365"/>
      <c r="D11" s="1365"/>
      <c r="E11" s="1366"/>
    </row>
    <row r="12" spans="2:7" x14ac:dyDescent="0.2">
      <c r="B12" s="1364" t="s">
        <v>2246</v>
      </c>
      <c r="C12" s="1365"/>
      <c r="D12" s="1365"/>
      <c r="E12" s="1366"/>
    </row>
    <row r="13" spans="2:7" x14ac:dyDescent="0.2">
      <c r="B13" s="586" t="s">
        <v>2242</v>
      </c>
      <c r="C13" s="1354" t="s">
        <v>1628</v>
      </c>
      <c r="D13" s="1354"/>
      <c r="E13" s="1355"/>
    </row>
    <row r="14" spans="2:7" x14ac:dyDescent="0.2">
      <c r="B14" s="586" t="s">
        <v>310</v>
      </c>
      <c r="C14" s="1354" t="str">
        <f>ФИО</f>
        <v>Иванова Е.П.</v>
      </c>
      <c r="D14" s="1354"/>
      <c r="E14" s="1355"/>
    </row>
    <row r="15" spans="2:7" x14ac:dyDescent="0.2">
      <c r="B15" s="586" t="s">
        <v>20</v>
      </c>
      <c r="C15" s="1354" t="e">
        <f ca="1">Возраст_лет</f>
        <v>#REF!</v>
      </c>
      <c r="D15" s="1354"/>
      <c r="E15" s="1355"/>
    </row>
    <row r="16" spans="2:7" x14ac:dyDescent="0.2">
      <c r="B16" s="586" t="s">
        <v>2247</v>
      </c>
      <c r="C16" s="63"/>
      <c r="D16" s="63"/>
      <c r="E16" s="591"/>
    </row>
    <row r="17" spans="2:7" x14ac:dyDescent="0.2">
      <c r="B17" s="1351" t="str">
        <f>C7</f>
        <v>психолог</v>
      </c>
      <c r="C17" s="1352"/>
      <c r="D17" s="1352"/>
      <c r="E17" s="1353"/>
      <c r="G17" s="585" t="str">
        <f>B17</f>
        <v>психолог</v>
      </c>
    </row>
    <row r="18" spans="2:7" x14ac:dyDescent="0.2">
      <c r="B18" s="586" t="s">
        <v>2248</v>
      </c>
      <c r="C18" s="63"/>
      <c r="D18" s="63"/>
      <c r="E18" s="591"/>
    </row>
    <row r="19" spans="2:7" x14ac:dyDescent="0.2">
      <c r="B19" s="1351" t="str">
        <f>IF(B10=0,"", B10)</f>
        <v/>
      </c>
      <c r="C19" s="1352"/>
      <c r="D19" s="1352"/>
      <c r="E19" s="1353"/>
      <c r="G19" s="585" t="str">
        <f>B19</f>
        <v/>
      </c>
    </row>
    <row r="20" spans="2:7" ht="15" x14ac:dyDescent="0.2">
      <c r="B20" s="586" t="s">
        <v>2249</v>
      </c>
      <c r="C20" s="63"/>
      <c r="D20" s="587">
        <f>D8</f>
        <v>41774</v>
      </c>
      <c r="E20" s="592"/>
      <c r="F20" s="60"/>
    </row>
    <row r="21" spans="2:7" x14ac:dyDescent="0.2">
      <c r="B21" s="586" t="s">
        <v>2250</v>
      </c>
      <c r="C21" s="1354" t="str">
        <f>Зав.отд.</f>
        <v>Еременко С. Н.</v>
      </c>
      <c r="D21" s="1354"/>
      <c r="E21" s="1355"/>
    </row>
    <row r="22" spans="2:7" x14ac:dyDescent="0.2">
      <c r="B22" s="586" t="s">
        <v>2251</v>
      </c>
      <c r="C22" s="1354" t="str">
        <f>Лечащий_врач</f>
        <v>Еременко А. Н.</v>
      </c>
      <c r="D22" s="1354"/>
      <c r="E22" s="1355"/>
    </row>
    <row r="23" spans="2:7" x14ac:dyDescent="0.2">
      <c r="B23" s="586" t="s">
        <v>2252</v>
      </c>
      <c r="C23" s="63"/>
      <c r="D23" s="63"/>
      <c r="E23" s="593" t="s">
        <v>2259</v>
      </c>
    </row>
    <row r="24" spans="2:7" x14ac:dyDescent="0.2">
      <c r="B24" s="586" t="s">
        <v>2253</v>
      </c>
      <c r="C24" s="63"/>
      <c r="D24" s="63"/>
      <c r="E24" s="593" t="s">
        <v>2259</v>
      </c>
    </row>
    <row r="25" spans="2:7" x14ac:dyDescent="0.2">
      <c r="B25" s="586" t="s">
        <v>2254</v>
      </c>
      <c r="C25" s="63"/>
      <c r="D25" s="63"/>
      <c r="E25" s="593" t="s">
        <v>2259</v>
      </c>
    </row>
    <row r="26" spans="2:7" x14ac:dyDescent="0.2">
      <c r="B26" s="586" t="s">
        <v>2255</v>
      </c>
      <c r="C26" s="63"/>
      <c r="D26" s="63"/>
      <c r="E26" s="593" t="s">
        <v>2259</v>
      </c>
    </row>
    <row r="27" spans="2:7" x14ac:dyDescent="0.2">
      <c r="B27" s="586" t="s">
        <v>2256</v>
      </c>
      <c r="C27" s="63"/>
      <c r="D27" s="63"/>
      <c r="E27" s="593" t="s">
        <v>2259</v>
      </c>
    </row>
    <row r="28" spans="2:7" x14ac:dyDescent="0.2">
      <c r="B28" s="586" t="s">
        <v>2257</v>
      </c>
      <c r="C28" s="63"/>
      <c r="D28" s="63"/>
      <c r="E28" s="591"/>
    </row>
    <row r="29" spans="2:7" x14ac:dyDescent="0.2">
      <c r="B29" s="594" t="s">
        <v>2258</v>
      </c>
      <c r="C29" s="595"/>
      <c r="D29" s="595"/>
      <c r="E29" s="596"/>
    </row>
  </sheetData>
  <sheetProtection formatCells="0" formatRows="0"/>
  <mergeCells count="16">
    <mergeCell ref="B2:E2"/>
    <mergeCell ref="B11:E11"/>
    <mergeCell ref="B12:E12"/>
    <mergeCell ref="C3:E3"/>
    <mergeCell ref="C4:E4"/>
    <mergeCell ref="C5:E5"/>
    <mergeCell ref="C6:E6"/>
    <mergeCell ref="B19:E19"/>
    <mergeCell ref="C21:E21"/>
    <mergeCell ref="C22:E22"/>
    <mergeCell ref="B10:E10"/>
    <mergeCell ref="C7:E7"/>
    <mergeCell ref="C13:E13"/>
    <mergeCell ref="C14:E14"/>
    <mergeCell ref="C15:E15"/>
    <mergeCell ref="B17:E17"/>
  </mergeCells>
  <dataValidations count="1">
    <dataValidation type="list" allowBlank="1" showInputMessage="1" showErrorMessage="1" sqref="C7:E7">
      <formula1>"психолог,хирург,терапевт,кардиолог,нефролог,невролог,эндокринолог,гинеколог,ЛОР,ревматолог,офтальмолог"</formula1>
    </dataValidation>
  </dataValidations>
  <pageMargins left="0.21875" right="0.7" top="0.13541666666666666" bottom="0.75" header="0.3" footer="0.3"/>
  <pageSetup paperSize="9" scale="110" orientation="landscape" r:id="rId1"/>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8"/>
  <dimension ref="A1:G759"/>
  <sheetViews>
    <sheetView view="pageLayout" topLeftCell="A60" zoomScaleNormal="100" zoomScaleSheetLayoutView="100" workbookViewId="0">
      <selection activeCell="E17" sqref="E17"/>
    </sheetView>
  </sheetViews>
  <sheetFormatPr defaultColWidth="15.7109375" defaultRowHeight="11.25" x14ac:dyDescent="0.2"/>
  <cols>
    <col min="1" max="1" width="7.28515625" style="630" customWidth="1"/>
    <col min="2" max="2" width="32" style="630" customWidth="1"/>
    <col min="3" max="3" width="8.5703125" style="630" customWidth="1"/>
    <col min="4" max="4" width="9.28515625" style="630" customWidth="1"/>
    <col min="5" max="5" width="28.28515625" style="630" customWidth="1"/>
    <col min="6" max="6" width="8.140625" style="630" customWidth="1"/>
    <col min="7" max="7" width="26" style="630" customWidth="1"/>
    <col min="8" max="16384" width="15.7109375" style="630"/>
  </cols>
  <sheetData>
    <row r="1" spans="1:7" ht="12" thickBot="1" x14ac:dyDescent="0.25"/>
    <row r="2" spans="1:7" ht="33.75" x14ac:dyDescent="0.2">
      <c r="A2" s="618" t="s">
        <v>736</v>
      </c>
      <c r="B2" s="619" t="s">
        <v>739</v>
      </c>
      <c r="C2" s="620" t="s">
        <v>2339</v>
      </c>
      <c r="D2" s="620" t="s">
        <v>2325</v>
      </c>
      <c r="E2" s="619" t="s">
        <v>741</v>
      </c>
      <c r="F2" s="619" t="s">
        <v>742</v>
      </c>
      <c r="G2" s="621" t="s">
        <v>743</v>
      </c>
    </row>
    <row r="3" spans="1:7" ht="22.5" x14ac:dyDescent="0.2">
      <c r="A3" s="631" t="s">
        <v>744</v>
      </c>
      <c r="B3" s="622" t="s">
        <v>2326</v>
      </c>
      <c r="C3" s="632" t="s">
        <v>408</v>
      </c>
      <c r="D3" s="632"/>
      <c r="E3" s="622" t="s">
        <v>2327</v>
      </c>
      <c r="F3" s="633">
        <v>15</v>
      </c>
      <c r="G3" s="622" t="s">
        <v>2329</v>
      </c>
    </row>
    <row r="4" spans="1:7" x14ac:dyDescent="0.2">
      <c r="A4" s="634" t="s">
        <v>408</v>
      </c>
      <c r="B4" s="624" t="s">
        <v>758</v>
      </c>
      <c r="C4" s="635">
        <v>3</v>
      </c>
      <c r="D4" s="635"/>
      <c r="E4" s="624" t="s">
        <v>2332</v>
      </c>
      <c r="F4" s="636"/>
      <c r="G4" s="624" t="s">
        <v>2330</v>
      </c>
    </row>
    <row r="5" spans="1:7" ht="22.5" x14ac:dyDescent="0.2">
      <c r="A5" s="634" t="s">
        <v>408</v>
      </c>
      <c r="B5" s="624" t="s">
        <v>762</v>
      </c>
      <c r="C5" s="635">
        <v>2</v>
      </c>
      <c r="D5" s="635"/>
      <c r="E5" s="624" t="s">
        <v>763</v>
      </c>
      <c r="F5" s="636"/>
      <c r="G5" s="624" t="s">
        <v>2331</v>
      </c>
    </row>
    <row r="6" spans="1:7" x14ac:dyDescent="0.2">
      <c r="A6" s="634" t="s">
        <v>408</v>
      </c>
      <c r="B6" s="624" t="s">
        <v>766</v>
      </c>
      <c r="C6" s="635">
        <v>2</v>
      </c>
      <c r="D6" s="635"/>
      <c r="E6" s="624" t="s">
        <v>767</v>
      </c>
      <c r="F6" s="636"/>
      <c r="G6" s="624" t="s">
        <v>782</v>
      </c>
    </row>
    <row r="7" spans="1:7" x14ac:dyDescent="0.2">
      <c r="A7" s="634" t="s">
        <v>408</v>
      </c>
      <c r="B7" s="624" t="s">
        <v>770</v>
      </c>
      <c r="C7" s="635">
        <v>1</v>
      </c>
      <c r="D7" s="635"/>
      <c r="E7" s="624" t="s">
        <v>771</v>
      </c>
      <c r="F7" s="636"/>
      <c r="G7" s="653"/>
    </row>
    <row r="8" spans="1:7" x14ac:dyDescent="0.2">
      <c r="A8" s="634" t="s">
        <v>408</v>
      </c>
      <c r="B8" s="624" t="s">
        <v>774</v>
      </c>
      <c r="C8" s="635">
        <v>1</v>
      </c>
      <c r="D8" s="635"/>
      <c r="E8" s="624" t="s">
        <v>2338</v>
      </c>
      <c r="F8" s="636"/>
      <c r="G8" s="653"/>
    </row>
    <row r="9" spans="1:7" x14ac:dyDescent="0.2">
      <c r="A9" s="634" t="s">
        <v>408</v>
      </c>
      <c r="B9" s="624" t="s">
        <v>778</v>
      </c>
      <c r="C9" s="635">
        <v>1</v>
      </c>
      <c r="D9" s="635"/>
      <c r="F9" s="636"/>
      <c r="G9" s="653"/>
    </row>
    <row r="10" spans="1:7" x14ac:dyDescent="0.2">
      <c r="A10" s="634" t="s">
        <v>408</v>
      </c>
      <c r="B10" s="624" t="s">
        <v>781</v>
      </c>
      <c r="C10" s="635">
        <v>1</v>
      </c>
      <c r="D10" s="635"/>
      <c r="F10" s="636"/>
      <c r="G10" s="624"/>
    </row>
    <row r="11" spans="1:7" x14ac:dyDescent="0.2">
      <c r="A11" s="634" t="s">
        <v>408</v>
      </c>
      <c r="B11" s="624" t="s">
        <v>784</v>
      </c>
      <c r="C11" s="635">
        <v>1</v>
      </c>
      <c r="D11" s="635"/>
      <c r="F11" s="636"/>
      <c r="G11" s="624"/>
    </row>
    <row r="12" spans="1:7" x14ac:dyDescent="0.2">
      <c r="A12" s="634" t="s">
        <v>408</v>
      </c>
      <c r="B12" s="624" t="s">
        <v>787</v>
      </c>
      <c r="C12" s="635">
        <v>1</v>
      </c>
      <c r="D12" s="635"/>
      <c r="F12" s="636"/>
      <c r="G12" s="653"/>
    </row>
    <row r="13" spans="1:7" x14ac:dyDescent="0.2">
      <c r="A13" s="634" t="s">
        <v>408</v>
      </c>
      <c r="B13" s="624" t="s">
        <v>790</v>
      </c>
      <c r="C13" s="635">
        <v>1</v>
      </c>
      <c r="D13" s="635"/>
      <c r="F13" s="636"/>
      <c r="G13" s="624" t="s">
        <v>408</v>
      </c>
    </row>
    <row r="14" spans="1:7" x14ac:dyDescent="0.2">
      <c r="A14" s="634" t="s">
        <v>408</v>
      </c>
      <c r="B14" s="624" t="s">
        <v>793</v>
      </c>
      <c r="C14" s="635">
        <v>3</v>
      </c>
      <c r="D14" s="635"/>
      <c r="F14" s="636"/>
      <c r="G14" s="624" t="s">
        <v>408</v>
      </c>
    </row>
    <row r="15" spans="1:7" x14ac:dyDescent="0.2">
      <c r="A15" s="634" t="s">
        <v>408</v>
      </c>
      <c r="B15" s="624" t="s">
        <v>796</v>
      </c>
      <c r="C15" s="635">
        <v>1</v>
      </c>
      <c r="D15" s="635"/>
      <c r="F15" s="636"/>
      <c r="G15" s="624" t="s">
        <v>408</v>
      </c>
    </row>
    <row r="16" spans="1:7" x14ac:dyDescent="0.2">
      <c r="A16" s="634" t="s">
        <v>408</v>
      </c>
      <c r="B16" s="624" t="s">
        <v>2328</v>
      </c>
      <c r="C16" s="635">
        <v>1</v>
      </c>
      <c r="D16" s="635"/>
      <c r="F16" s="636"/>
      <c r="G16" s="624" t="s">
        <v>408</v>
      </c>
    </row>
    <row r="17" spans="1:7" ht="22.5" x14ac:dyDescent="0.2">
      <c r="A17" s="634" t="s">
        <v>408</v>
      </c>
      <c r="B17" s="638" t="s">
        <v>2333</v>
      </c>
      <c r="C17" s="635">
        <v>1</v>
      </c>
      <c r="D17" s="635"/>
      <c r="F17" s="636" t="s">
        <v>408</v>
      </c>
      <c r="G17" s="624" t="s">
        <v>408</v>
      </c>
    </row>
    <row r="18" spans="1:7" x14ac:dyDescent="0.2">
      <c r="A18" s="634" t="s">
        <v>408</v>
      </c>
      <c r="B18" s="624" t="s">
        <v>2334</v>
      </c>
      <c r="C18" s="635">
        <v>1</v>
      </c>
      <c r="D18" s="635"/>
      <c r="F18" s="636" t="s">
        <v>408</v>
      </c>
      <c r="G18" s="624" t="s">
        <v>408</v>
      </c>
    </row>
    <row r="19" spans="1:7" ht="22.5" x14ac:dyDescent="0.2">
      <c r="A19" s="634" t="s">
        <v>408</v>
      </c>
      <c r="B19" s="624" t="s">
        <v>2335</v>
      </c>
      <c r="C19" s="635">
        <v>1</v>
      </c>
      <c r="D19" s="635"/>
      <c r="F19" s="636" t="s">
        <v>408</v>
      </c>
      <c r="G19" s="624" t="s">
        <v>408</v>
      </c>
    </row>
    <row r="20" spans="1:7" ht="33.75" x14ac:dyDescent="0.2">
      <c r="A20" s="637" t="s">
        <v>408</v>
      </c>
      <c r="B20" s="624" t="s">
        <v>2340</v>
      </c>
      <c r="C20" s="635" t="s">
        <v>408</v>
      </c>
      <c r="D20" s="635"/>
      <c r="E20" s="624" t="s">
        <v>2348</v>
      </c>
      <c r="F20" s="636" t="s">
        <v>408</v>
      </c>
      <c r="G20" s="624" t="s">
        <v>408</v>
      </c>
    </row>
    <row r="21" spans="1:7" ht="45" x14ac:dyDescent="0.2">
      <c r="A21" s="634" t="s">
        <v>408</v>
      </c>
      <c r="B21" s="624" t="s">
        <v>826</v>
      </c>
      <c r="C21" s="635">
        <v>1</v>
      </c>
      <c r="D21" s="635"/>
      <c r="E21" s="624" t="s">
        <v>2347</v>
      </c>
      <c r="F21" s="636" t="s">
        <v>408</v>
      </c>
      <c r="G21" s="624" t="s">
        <v>408</v>
      </c>
    </row>
    <row r="22" spans="1:7" x14ac:dyDescent="0.2">
      <c r="A22" s="634" t="s">
        <v>408</v>
      </c>
      <c r="B22" s="624" t="s">
        <v>2341</v>
      </c>
      <c r="C22" s="635">
        <v>1</v>
      </c>
      <c r="D22" s="635"/>
      <c r="E22" s="624" t="s">
        <v>2337</v>
      </c>
      <c r="F22" s="636" t="s">
        <v>408</v>
      </c>
      <c r="G22" s="624" t="s">
        <v>408</v>
      </c>
    </row>
    <row r="23" spans="1:7" x14ac:dyDescent="0.2">
      <c r="A23" s="634" t="s">
        <v>408</v>
      </c>
      <c r="B23" s="624" t="s">
        <v>2342</v>
      </c>
      <c r="C23" s="635">
        <v>1</v>
      </c>
      <c r="D23" s="635"/>
      <c r="E23" s="624" t="s">
        <v>817</v>
      </c>
      <c r="F23" s="636" t="s">
        <v>408</v>
      </c>
      <c r="G23" s="624" t="s">
        <v>408</v>
      </c>
    </row>
    <row r="24" spans="1:7" x14ac:dyDescent="0.2">
      <c r="A24" s="634" t="s">
        <v>408</v>
      </c>
      <c r="B24" s="624" t="s">
        <v>2343</v>
      </c>
      <c r="C24" s="635">
        <v>1</v>
      </c>
      <c r="D24" s="635"/>
      <c r="E24" s="624" t="s">
        <v>2336</v>
      </c>
      <c r="F24" s="636" t="s">
        <v>408</v>
      </c>
      <c r="G24" s="624" t="s">
        <v>408</v>
      </c>
    </row>
    <row r="25" spans="1:7" x14ac:dyDescent="0.2">
      <c r="A25" s="634" t="s">
        <v>408</v>
      </c>
      <c r="B25" s="624" t="s">
        <v>834</v>
      </c>
      <c r="C25" s="635" t="s">
        <v>408</v>
      </c>
      <c r="D25" s="635"/>
      <c r="F25" s="636" t="s">
        <v>408</v>
      </c>
      <c r="G25" s="624" t="s">
        <v>408</v>
      </c>
    </row>
    <row r="26" spans="1:7" x14ac:dyDescent="0.2">
      <c r="A26" s="634" t="s">
        <v>408</v>
      </c>
      <c r="B26" s="624" t="s">
        <v>835</v>
      </c>
      <c r="C26" s="635">
        <v>1</v>
      </c>
      <c r="D26" s="635"/>
      <c r="F26" s="636" t="s">
        <v>408</v>
      </c>
      <c r="G26" s="624" t="s">
        <v>408</v>
      </c>
    </row>
    <row r="27" spans="1:7" x14ac:dyDescent="0.2">
      <c r="A27" s="634" t="s">
        <v>408</v>
      </c>
      <c r="B27" s="624" t="s">
        <v>836</v>
      </c>
      <c r="C27" s="635">
        <v>1</v>
      </c>
      <c r="D27" s="635"/>
      <c r="F27" s="636" t="s">
        <v>408</v>
      </c>
      <c r="G27" s="624" t="s">
        <v>408</v>
      </c>
    </row>
    <row r="28" spans="1:7" x14ac:dyDescent="0.2">
      <c r="A28" s="634" t="s">
        <v>408</v>
      </c>
      <c r="B28" s="624" t="s">
        <v>2344</v>
      </c>
      <c r="C28" s="635">
        <v>1</v>
      </c>
      <c r="D28" s="635"/>
      <c r="E28" s="624"/>
      <c r="F28" s="636" t="s">
        <v>408</v>
      </c>
      <c r="G28" s="624" t="s">
        <v>408</v>
      </c>
    </row>
    <row r="29" spans="1:7" ht="22.5" x14ac:dyDescent="0.2">
      <c r="A29" s="634" t="s">
        <v>408</v>
      </c>
      <c r="B29" s="624" t="s">
        <v>2345</v>
      </c>
      <c r="C29" s="635" t="s">
        <v>408</v>
      </c>
      <c r="D29" s="635"/>
      <c r="E29" s="624" t="s">
        <v>408</v>
      </c>
      <c r="F29" s="636" t="s">
        <v>408</v>
      </c>
      <c r="G29" s="624" t="s">
        <v>408</v>
      </c>
    </row>
    <row r="30" spans="1:7" x14ac:dyDescent="0.2">
      <c r="A30" s="634" t="s">
        <v>408</v>
      </c>
      <c r="B30" s="624" t="s">
        <v>842</v>
      </c>
      <c r="C30" s="635">
        <v>1</v>
      </c>
      <c r="D30" s="635"/>
      <c r="E30" s="624" t="s">
        <v>408</v>
      </c>
      <c r="F30" s="636" t="s">
        <v>408</v>
      </c>
      <c r="G30" s="624" t="s">
        <v>408</v>
      </c>
    </row>
    <row r="31" spans="1:7" x14ac:dyDescent="0.2">
      <c r="A31" s="634" t="s">
        <v>408</v>
      </c>
      <c r="B31" s="624" t="s">
        <v>843</v>
      </c>
      <c r="C31" s="635">
        <v>1</v>
      </c>
      <c r="D31" s="635"/>
      <c r="E31" s="624" t="s">
        <v>408</v>
      </c>
      <c r="F31" s="636" t="s">
        <v>408</v>
      </c>
      <c r="G31" s="624" t="s">
        <v>408</v>
      </c>
    </row>
    <row r="32" spans="1:7" x14ac:dyDescent="0.2">
      <c r="A32" s="634" t="s">
        <v>408</v>
      </c>
      <c r="B32" s="624" t="s">
        <v>844</v>
      </c>
      <c r="C32" s="635">
        <v>1</v>
      </c>
      <c r="D32" s="635"/>
      <c r="E32" s="624" t="s">
        <v>408</v>
      </c>
      <c r="F32" s="636" t="s">
        <v>408</v>
      </c>
      <c r="G32" s="624" t="s">
        <v>408</v>
      </c>
    </row>
    <row r="33" spans="1:7" x14ac:dyDescent="0.2">
      <c r="A33" s="634" t="s">
        <v>408</v>
      </c>
      <c r="B33" s="624" t="s">
        <v>2346</v>
      </c>
      <c r="C33" s="635">
        <v>1</v>
      </c>
      <c r="D33" s="635"/>
      <c r="E33" s="624" t="s">
        <v>408</v>
      </c>
      <c r="F33" s="636" t="s">
        <v>408</v>
      </c>
      <c r="G33" s="626" t="s">
        <v>408</v>
      </c>
    </row>
    <row r="34" spans="1:7" x14ac:dyDescent="0.2">
      <c r="A34" s="631" t="s">
        <v>847</v>
      </c>
      <c r="B34" s="622" t="s">
        <v>746</v>
      </c>
      <c r="C34" s="632" t="s">
        <v>408</v>
      </c>
      <c r="D34" s="632"/>
      <c r="E34" s="622" t="s">
        <v>747</v>
      </c>
      <c r="F34" s="633">
        <v>12</v>
      </c>
      <c r="G34" s="623" t="s">
        <v>760</v>
      </c>
    </row>
    <row r="35" spans="1:7" x14ac:dyDescent="0.2">
      <c r="A35" s="634" t="s">
        <v>408</v>
      </c>
      <c r="B35" s="624" t="s">
        <v>750</v>
      </c>
      <c r="C35" s="635" t="s">
        <v>408</v>
      </c>
      <c r="D35" s="635"/>
      <c r="E35" s="624" t="s">
        <v>751</v>
      </c>
      <c r="F35" s="636"/>
      <c r="G35" s="625" t="s">
        <v>764</v>
      </c>
    </row>
    <row r="36" spans="1:7" x14ac:dyDescent="0.2">
      <c r="A36" s="637" t="s">
        <v>408</v>
      </c>
      <c r="B36" s="638" t="s">
        <v>754</v>
      </c>
      <c r="C36" s="635" t="s">
        <v>408</v>
      </c>
      <c r="D36" s="635"/>
      <c r="E36" s="624" t="s">
        <v>763</v>
      </c>
      <c r="F36" s="636"/>
      <c r="G36" s="625" t="s">
        <v>760</v>
      </c>
    </row>
    <row r="37" spans="1:7" x14ac:dyDescent="0.2">
      <c r="A37" s="634" t="s">
        <v>408</v>
      </c>
      <c r="B37" s="624" t="s">
        <v>758</v>
      </c>
      <c r="C37" s="635">
        <v>2</v>
      </c>
      <c r="D37" s="635"/>
      <c r="E37" s="624" t="s">
        <v>767</v>
      </c>
      <c r="F37" s="636"/>
      <c r="G37" s="625" t="s">
        <v>850</v>
      </c>
    </row>
    <row r="38" spans="1:7" x14ac:dyDescent="0.2">
      <c r="A38" s="634" t="s">
        <v>408</v>
      </c>
      <c r="B38" s="624" t="s">
        <v>762</v>
      </c>
      <c r="C38" s="635">
        <v>1</v>
      </c>
      <c r="D38" s="635"/>
      <c r="E38" s="624" t="s">
        <v>771</v>
      </c>
      <c r="F38" s="636"/>
      <c r="G38" s="625" t="s">
        <v>851</v>
      </c>
    </row>
    <row r="39" spans="1:7" x14ac:dyDescent="0.2">
      <c r="A39" s="634" t="s">
        <v>408</v>
      </c>
      <c r="B39" s="624" t="s">
        <v>766</v>
      </c>
      <c r="C39" s="635">
        <v>1</v>
      </c>
      <c r="D39" s="635"/>
      <c r="E39" s="624"/>
      <c r="F39" s="636"/>
      <c r="G39" s="625" t="s">
        <v>408</v>
      </c>
    </row>
    <row r="40" spans="1:7" x14ac:dyDescent="0.2">
      <c r="A40" s="634" t="s">
        <v>408</v>
      </c>
      <c r="B40" s="624" t="s">
        <v>774</v>
      </c>
      <c r="C40" s="635">
        <v>1</v>
      </c>
      <c r="D40" s="635"/>
      <c r="E40" s="624"/>
      <c r="F40" s="636"/>
      <c r="G40" s="625" t="s">
        <v>408</v>
      </c>
    </row>
    <row r="41" spans="1:7" x14ac:dyDescent="0.2">
      <c r="A41" s="634" t="s">
        <v>408</v>
      </c>
      <c r="B41" s="624" t="s">
        <v>778</v>
      </c>
      <c r="C41" s="635">
        <v>1</v>
      </c>
      <c r="D41" s="635"/>
      <c r="E41" s="624" t="s">
        <v>785</v>
      </c>
      <c r="F41" s="636"/>
      <c r="G41" s="625" t="s">
        <v>408</v>
      </c>
    </row>
    <row r="42" spans="1:7" x14ac:dyDescent="0.2">
      <c r="A42" s="634" t="s">
        <v>408</v>
      </c>
      <c r="B42" s="624" t="s">
        <v>781</v>
      </c>
      <c r="C42" s="635">
        <v>1</v>
      </c>
      <c r="D42" s="635"/>
      <c r="E42" s="624" t="s">
        <v>788</v>
      </c>
      <c r="F42" s="636"/>
      <c r="G42" s="625" t="s">
        <v>408</v>
      </c>
    </row>
    <row r="43" spans="1:7" x14ac:dyDescent="0.2">
      <c r="A43" s="634" t="s">
        <v>408</v>
      </c>
      <c r="B43" s="624" t="s">
        <v>784</v>
      </c>
      <c r="C43" s="635">
        <v>1</v>
      </c>
      <c r="D43" s="635"/>
      <c r="E43" s="624" t="s">
        <v>791</v>
      </c>
      <c r="F43" s="636"/>
      <c r="G43" s="625" t="s">
        <v>408</v>
      </c>
    </row>
    <row r="44" spans="1:7" x14ac:dyDescent="0.2">
      <c r="A44" s="634" t="s">
        <v>408</v>
      </c>
      <c r="B44" s="624" t="s">
        <v>787</v>
      </c>
      <c r="C44" s="635">
        <v>1</v>
      </c>
      <c r="D44" s="635"/>
      <c r="E44" s="624" t="s">
        <v>794</v>
      </c>
      <c r="F44" s="636"/>
      <c r="G44" s="625" t="s">
        <v>408</v>
      </c>
    </row>
    <row r="45" spans="1:7" x14ac:dyDescent="0.2">
      <c r="A45" s="634" t="s">
        <v>408</v>
      </c>
      <c r="B45" s="624" t="s">
        <v>852</v>
      </c>
      <c r="C45" s="635">
        <v>1</v>
      </c>
      <c r="D45" s="635"/>
      <c r="E45" s="624" t="s">
        <v>853</v>
      </c>
      <c r="F45" s="636" t="s">
        <v>408</v>
      </c>
      <c r="G45" s="625" t="s">
        <v>408</v>
      </c>
    </row>
    <row r="46" spans="1:7" x14ac:dyDescent="0.2">
      <c r="A46" s="634" t="s">
        <v>408</v>
      </c>
      <c r="B46" s="624" t="s">
        <v>818</v>
      </c>
      <c r="C46" s="635">
        <v>1</v>
      </c>
      <c r="D46" s="635"/>
      <c r="E46" s="624"/>
      <c r="F46" s="636" t="s">
        <v>408</v>
      </c>
      <c r="G46" s="625" t="s">
        <v>408</v>
      </c>
    </row>
    <row r="47" spans="1:7" x14ac:dyDescent="0.2">
      <c r="A47" s="634" t="s">
        <v>408</v>
      </c>
      <c r="B47" s="624" t="s">
        <v>816</v>
      </c>
      <c r="C47" s="635">
        <v>1</v>
      </c>
      <c r="D47" s="635"/>
      <c r="E47" s="624" t="s">
        <v>813</v>
      </c>
      <c r="F47" s="636" t="s">
        <v>408</v>
      </c>
      <c r="G47" s="625" t="s">
        <v>408</v>
      </c>
    </row>
    <row r="48" spans="1:7" x14ac:dyDescent="0.2">
      <c r="A48" s="634" t="s">
        <v>408</v>
      </c>
      <c r="B48" s="624" t="s">
        <v>790</v>
      </c>
      <c r="C48" s="635">
        <v>1</v>
      </c>
      <c r="D48" s="635"/>
      <c r="E48" s="624" t="s">
        <v>815</v>
      </c>
      <c r="F48" s="636" t="s">
        <v>408</v>
      </c>
      <c r="G48" s="625" t="s">
        <v>408</v>
      </c>
    </row>
    <row r="49" spans="1:7" x14ac:dyDescent="0.2">
      <c r="A49" s="634" t="s">
        <v>408</v>
      </c>
      <c r="B49" s="624" t="s">
        <v>854</v>
      </c>
      <c r="C49" s="635">
        <v>1</v>
      </c>
      <c r="D49" s="635"/>
      <c r="E49" s="624" t="s">
        <v>817</v>
      </c>
      <c r="F49" s="636" t="s">
        <v>408</v>
      </c>
      <c r="G49" s="625" t="s">
        <v>408</v>
      </c>
    </row>
    <row r="50" spans="1:7" x14ac:dyDescent="0.2">
      <c r="A50" s="634" t="s">
        <v>408</v>
      </c>
      <c r="B50" s="624" t="s">
        <v>855</v>
      </c>
      <c r="C50" s="635" t="s">
        <v>408</v>
      </c>
      <c r="D50" s="635"/>
      <c r="E50" s="624" t="s">
        <v>819</v>
      </c>
      <c r="F50" s="636" t="s">
        <v>408</v>
      </c>
      <c r="G50" s="625" t="s">
        <v>408</v>
      </c>
    </row>
    <row r="51" spans="1:7" x14ac:dyDescent="0.2">
      <c r="A51" s="634" t="s">
        <v>408</v>
      </c>
      <c r="B51" s="624" t="s">
        <v>793</v>
      </c>
      <c r="C51" s="635">
        <v>2</v>
      </c>
      <c r="D51" s="635"/>
      <c r="E51" s="624" t="s">
        <v>821</v>
      </c>
      <c r="F51" s="636" t="s">
        <v>408</v>
      </c>
      <c r="G51" s="625" t="s">
        <v>408</v>
      </c>
    </row>
    <row r="52" spans="1:7" x14ac:dyDescent="0.2">
      <c r="A52" s="634" t="s">
        <v>408</v>
      </c>
      <c r="B52" s="624" t="s">
        <v>854</v>
      </c>
      <c r="C52" s="635">
        <v>1</v>
      </c>
      <c r="D52" s="635"/>
      <c r="E52" s="624" t="s">
        <v>408</v>
      </c>
      <c r="F52" s="636" t="s">
        <v>408</v>
      </c>
      <c r="G52" s="625" t="s">
        <v>408</v>
      </c>
    </row>
    <row r="53" spans="1:7" x14ac:dyDescent="0.2">
      <c r="A53" s="634" t="s">
        <v>408</v>
      </c>
      <c r="B53" s="624" t="s">
        <v>856</v>
      </c>
      <c r="C53" s="635" t="s">
        <v>408</v>
      </c>
      <c r="D53" s="635"/>
      <c r="E53" s="624" t="s">
        <v>408</v>
      </c>
      <c r="F53" s="636" t="s">
        <v>408</v>
      </c>
      <c r="G53" s="625" t="s">
        <v>408</v>
      </c>
    </row>
    <row r="54" spans="1:7" x14ac:dyDescent="0.2">
      <c r="A54" s="634" t="s">
        <v>408</v>
      </c>
      <c r="B54" s="624" t="s">
        <v>805</v>
      </c>
      <c r="C54" s="635">
        <v>2</v>
      </c>
      <c r="D54" s="635"/>
      <c r="E54" s="624" t="s">
        <v>408</v>
      </c>
      <c r="F54" s="636" t="s">
        <v>408</v>
      </c>
      <c r="G54" s="625" t="s">
        <v>408</v>
      </c>
    </row>
    <row r="55" spans="1:7" x14ac:dyDescent="0.2">
      <c r="A55" s="634" t="s">
        <v>408</v>
      </c>
      <c r="B55" s="624" t="s">
        <v>807</v>
      </c>
      <c r="C55" s="635" t="s">
        <v>408</v>
      </c>
      <c r="D55" s="635"/>
      <c r="E55" s="624" t="s">
        <v>408</v>
      </c>
      <c r="F55" s="636" t="s">
        <v>408</v>
      </c>
      <c r="G55" s="625" t="s">
        <v>408</v>
      </c>
    </row>
    <row r="56" spans="1:7" x14ac:dyDescent="0.2">
      <c r="A56" s="634" t="s">
        <v>408</v>
      </c>
      <c r="B56" s="624" t="s">
        <v>809</v>
      </c>
      <c r="C56" s="635" t="s">
        <v>408</v>
      </c>
      <c r="D56" s="635"/>
      <c r="E56" s="624" t="s">
        <v>408</v>
      </c>
      <c r="F56" s="636" t="s">
        <v>408</v>
      </c>
      <c r="G56" s="625" t="s">
        <v>408</v>
      </c>
    </row>
    <row r="57" spans="1:7" x14ac:dyDescent="0.2">
      <c r="A57" s="634" t="s">
        <v>408</v>
      </c>
      <c r="B57" s="624" t="s">
        <v>811</v>
      </c>
      <c r="C57" s="635" t="s">
        <v>408</v>
      </c>
      <c r="D57" s="635"/>
      <c r="E57" s="624" t="s">
        <v>408</v>
      </c>
      <c r="F57" s="636" t="s">
        <v>408</v>
      </c>
      <c r="G57" s="625" t="s">
        <v>408</v>
      </c>
    </row>
    <row r="58" spans="1:7" x14ac:dyDescent="0.2">
      <c r="A58" s="634" t="s">
        <v>408</v>
      </c>
      <c r="B58" s="624" t="s">
        <v>812</v>
      </c>
      <c r="C58" s="635" t="s">
        <v>408</v>
      </c>
      <c r="D58" s="635"/>
      <c r="E58" s="624" t="s">
        <v>408</v>
      </c>
      <c r="F58" s="636" t="s">
        <v>408</v>
      </c>
      <c r="G58" s="625" t="s">
        <v>408</v>
      </c>
    </row>
    <row r="59" spans="1:7" x14ac:dyDescent="0.2">
      <c r="A59" s="634" t="s">
        <v>408</v>
      </c>
      <c r="B59" s="624" t="s">
        <v>820</v>
      </c>
      <c r="C59" s="635">
        <v>1</v>
      </c>
      <c r="D59" s="635"/>
      <c r="E59" s="624" t="s">
        <v>408</v>
      </c>
      <c r="F59" s="636" t="s">
        <v>408</v>
      </c>
      <c r="G59" s="625" t="s">
        <v>408</v>
      </c>
    </row>
    <row r="60" spans="1:7" x14ac:dyDescent="0.2">
      <c r="A60" s="634" t="s">
        <v>408</v>
      </c>
      <c r="B60" s="624" t="s">
        <v>822</v>
      </c>
      <c r="C60" s="635" t="s">
        <v>408</v>
      </c>
      <c r="D60" s="635"/>
      <c r="E60" s="624" t="s">
        <v>408</v>
      </c>
      <c r="F60" s="636" t="s">
        <v>408</v>
      </c>
      <c r="G60" s="625" t="s">
        <v>408</v>
      </c>
    </row>
    <row r="61" spans="1:7" x14ac:dyDescent="0.2">
      <c r="A61" s="634" t="s">
        <v>408</v>
      </c>
      <c r="B61" s="624" t="s">
        <v>823</v>
      </c>
      <c r="C61" s="635" t="s">
        <v>408</v>
      </c>
      <c r="D61" s="635"/>
      <c r="E61" s="624" t="s">
        <v>408</v>
      </c>
      <c r="F61" s="636" t="s">
        <v>408</v>
      </c>
      <c r="G61" s="625" t="s">
        <v>408</v>
      </c>
    </row>
    <row r="62" spans="1:7" x14ac:dyDescent="0.2">
      <c r="A62" s="634" t="s">
        <v>408</v>
      </c>
      <c r="B62" s="624" t="s">
        <v>824</v>
      </c>
      <c r="C62" s="635" t="s">
        <v>408</v>
      </c>
      <c r="D62" s="635"/>
      <c r="E62" s="624" t="s">
        <v>408</v>
      </c>
      <c r="F62" s="636" t="s">
        <v>408</v>
      </c>
      <c r="G62" s="625" t="s">
        <v>408</v>
      </c>
    </row>
    <row r="63" spans="1:7" x14ac:dyDescent="0.2">
      <c r="A63" s="634" t="s">
        <v>408</v>
      </c>
      <c r="B63" s="624" t="s">
        <v>857</v>
      </c>
      <c r="C63" s="635">
        <v>1</v>
      </c>
      <c r="D63" s="635"/>
      <c r="E63" s="624" t="s">
        <v>408</v>
      </c>
      <c r="F63" s="636" t="s">
        <v>408</v>
      </c>
      <c r="G63" s="625" t="s">
        <v>408</v>
      </c>
    </row>
    <row r="64" spans="1:7" x14ac:dyDescent="0.2">
      <c r="A64" s="634" t="s">
        <v>408</v>
      </c>
      <c r="B64" s="624" t="s">
        <v>408</v>
      </c>
      <c r="C64" s="635" t="s">
        <v>408</v>
      </c>
      <c r="D64" s="635"/>
      <c r="E64" s="624" t="s">
        <v>408</v>
      </c>
      <c r="F64" s="636" t="s">
        <v>408</v>
      </c>
      <c r="G64" s="625" t="s">
        <v>408</v>
      </c>
    </row>
    <row r="65" spans="1:7" x14ac:dyDescent="0.2">
      <c r="A65" s="634" t="s">
        <v>408</v>
      </c>
      <c r="B65" s="624" t="s">
        <v>825</v>
      </c>
      <c r="C65" s="635" t="s">
        <v>408</v>
      </c>
      <c r="D65" s="635"/>
      <c r="E65" s="624" t="s">
        <v>408</v>
      </c>
      <c r="F65" s="636" t="s">
        <v>408</v>
      </c>
      <c r="G65" s="625" t="s">
        <v>408</v>
      </c>
    </row>
    <row r="66" spans="1:7" x14ac:dyDescent="0.2">
      <c r="A66" s="634" t="s">
        <v>408</v>
      </c>
      <c r="B66" s="624" t="s">
        <v>750</v>
      </c>
      <c r="C66" s="635" t="s">
        <v>408</v>
      </c>
      <c r="D66" s="635"/>
      <c r="E66" s="624" t="s">
        <v>408</v>
      </c>
      <c r="F66" s="636" t="s">
        <v>408</v>
      </c>
      <c r="G66" s="625" t="s">
        <v>408</v>
      </c>
    </row>
    <row r="67" spans="1:7" x14ac:dyDescent="0.2">
      <c r="A67" s="634" t="s">
        <v>408</v>
      </c>
      <c r="B67" s="624" t="s">
        <v>754</v>
      </c>
      <c r="C67" s="635" t="s">
        <v>408</v>
      </c>
      <c r="D67" s="635"/>
      <c r="E67" s="624" t="s">
        <v>408</v>
      </c>
      <c r="F67" s="636" t="s">
        <v>408</v>
      </c>
      <c r="G67" s="625" t="s">
        <v>408</v>
      </c>
    </row>
    <row r="68" spans="1:7" x14ac:dyDescent="0.2">
      <c r="A68" s="634" t="s">
        <v>408</v>
      </c>
      <c r="B68" s="624" t="s">
        <v>826</v>
      </c>
      <c r="C68" s="635">
        <v>1</v>
      </c>
      <c r="D68" s="635"/>
      <c r="E68" s="624" t="s">
        <v>408</v>
      </c>
      <c r="F68" s="636" t="s">
        <v>408</v>
      </c>
      <c r="G68" s="625" t="s">
        <v>408</v>
      </c>
    </row>
    <row r="69" spans="1:7" x14ac:dyDescent="0.2">
      <c r="A69" s="634" t="s">
        <v>408</v>
      </c>
      <c r="B69" s="624" t="s">
        <v>858</v>
      </c>
      <c r="C69" s="635">
        <v>1</v>
      </c>
      <c r="D69" s="635"/>
      <c r="E69" s="624" t="s">
        <v>408</v>
      </c>
      <c r="F69" s="636" t="s">
        <v>408</v>
      </c>
      <c r="G69" s="625" t="s">
        <v>408</v>
      </c>
    </row>
    <row r="70" spans="1:7" x14ac:dyDescent="0.2">
      <c r="A70" s="634" t="s">
        <v>408</v>
      </c>
      <c r="B70" s="624" t="s">
        <v>859</v>
      </c>
      <c r="C70" s="635">
        <v>1</v>
      </c>
      <c r="D70" s="635"/>
      <c r="E70" s="624" t="s">
        <v>408</v>
      </c>
      <c r="F70" s="636" t="s">
        <v>408</v>
      </c>
      <c r="G70" s="625" t="s">
        <v>408</v>
      </c>
    </row>
    <row r="71" spans="1:7" x14ac:dyDescent="0.2">
      <c r="A71" s="634" t="s">
        <v>408</v>
      </c>
      <c r="B71" s="624" t="s">
        <v>860</v>
      </c>
      <c r="C71" s="635" t="s">
        <v>408</v>
      </c>
      <c r="D71" s="635"/>
      <c r="E71" s="624" t="s">
        <v>408</v>
      </c>
      <c r="F71" s="636" t="s">
        <v>408</v>
      </c>
      <c r="G71" s="625" t="s">
        <v>408</v>
      </c>
    </row>
    <row r="72" spans="1:7" x14ac:dyDescent="0.2">
      <c r="A72" s="634" t="s">
        <v>408</v>
      </c>
      <c r="B72" s="624" t="s">
        <v>861</v>
      </c>
      <c r="C72" s="635">
        <v>1</v>
      </c>
      <c r="D72" s="635"/>
      <c r="E72" s="624" t="s">
        <v>408</v>
      </c>
      <c r="F72" s="636" t="s">
        <v>408</v>
      </c>
      <c r="G72" s="625" t="s">
        <v>408</v>
      </c>
    </row>
    <row r="73" spans="1:7" x14ac:dyDescent="0.2">
      <c r="A73" s="634" t="s">
        <v>408</v>
      </c>
      <c r="B73" s="624" t="s">
        <v>828</v>
      </c>
      <c r="C73" s="635" t="s">
        <v>408</v>
      </c>
      <c r="D73" s="635"/>
      <c r="E73" s="624" t="s">
        <v>408</v>
      </c>
      <c r="F73" s="636" t="s">
        <v>408</v>
      </c>
      <c r="G73" s="625" t="s">
        <v>408</v>
      </c>
    </row>
    <row r="74" spans="1:7" x14ac:dyDescent="0.2">
      <c r="A74" s="634" t="s">
        <v>408</v>
      </c>
      <c r="B74" s="624" t="s">
        <v>862</v>
      </c>
      <c r="C74" s="635">
        <v>1</v>
      </c>
      <c r="D74" s="635"/>
      <c r="E74" s="624" t="s">
        <v>408</v>
      </c>
      <c r="F74" s="636" t="s">
        <v>408</v>
      </c>
      <c r="G74" s="625" t="s">
        <v>408</v>
      </c>
    </row>
    <row r="75" spans="1:7" x14ac:dyDescent="0.2">
      <c r="A75" s="634" t="s">
        <v>408</v>
      </c>
      <c r="B75" s="624" t="s">
        <v>831</v>
      </c>
      <c r="C75" s="635" t="s">
        <v>408</v>
      </c>
      <c r="D75" s="635"/>
      <c r="E75" s="624" t="s">
        <v>408</v>
      </c>
      <c r="F75" s="636" t="s">
        <v>408</v>
      </c>
      <c r="G75" s="625" t="s">
        <v>408</v>
      </c>
    </row>
    <row r="76" spans="1:7" x14ac:dyDescent="0.2">
      <c r="A76" s="634" t="s">
        <v>408</v>
      </c>
      <c r="B76" s="624" t="s">
        <v>863</v>
      </c>
      <c r="C76" s="635">
        <v>1</v>
      </c>
      <c r="D76" s="635"/>
      <c r="E76" s="624" t="s">
        <v>408</v>
      </c>
      <c r="F76" s="636" t="s">
        <v>408</v>
      </c>
      <c r="G76" s="625" t="s">
        <v>408</v>
      </c>
    </row>
    <row r="77" spans="1:7" x14ac:dyDescent="0.2">
      <c r="A77" s="634"/>
      <c r="B77" s="624"/>
      <c r="C77" s="635"/>
      <c r="D77" s="635"/>
      <c r="E77" s="624"/>
      <c r="F77" s="636"/>
      <c r="G77" s="625"/>
    </row>
    <row r="78" spans="1:7" x14ac:dyDescent="0.2">
      <c r="A78" s="634" t="s">
        <v>408</v>
      </c>
      <c r="B78" s="624" t="s">
        <v>834</v>
      </c>
      <c r="C78" s="635" t="s">
        <v>408</v>
      </c>
      <c r="D78" s="635"/>
      <c r="E78" s="624" t="s">
        <v>408</v>
      </c>
      <c r="F78" s="636" t="s">
        <v>408</v>
      </c>
      <c r="G78" s="625" t="s">
        <v>408</v>
      </c>
    </row>
    <row r="79" spans="1:7" x14ac:dyDescent="0.2">
      <c r="A79" s="634" t="s">
        <v>408</v>
      </c>
      <c r="B79" s="624" t="s">
        <v>864</v>
      </c>
      <c r="C79" s="635">
        <v>1</v>
      </c>
      <c r="D79" s="635"/>
      <c r="E79" s="624" t="s">
        <v>408</v>
      </c>
      <c r="F79" s="636" t="s">
        <v>408</v>
      </c>
      <c r="G79" s="625" t="s">
        <v>408</v>
      </c>
    </row>
    <row r="80" spans="1:7" x14ac:dyDescent="0.2">
      <c r="A80" s="634" t="s">
        <v>408</v>
      </c>
      <c r="B80" s="624" t="s">
        <v>865</v>
      </c>
      <c r="C80" s="635">
        <v>1</v>
      </c>
      <c r="D80" s="635"/>
      <c r="E80" s="624" t="s">
        <v>408</v>
      </c>
      <c r="F80" s="636" t="s">
        <v>408</v>
      </c>
      <c r="G80" s="625" t="s">
        <v>408</v>
      </c>
    </row>
    <row r="81" spans="1:7" x14ac:dyDescent="0.2">
      <c r="A81" s="634" t="s">
        <v>408</v>
      </c>
      <c r="B81" s="624" t="s">
        <v>408</v>
      </c>
      <c r="C81" s="635" t="s">
        <v>408</v>
      </c>
      <c r="D81" s="635"/>
      <c r="E81" s="624" t="s">
        <v>408</v>
      </c>
      <c r="F81" s="636" t="s">
        <v>408</v>
      </c>
      <c r="G81" s="625" t="s">
        <v>408</v>
      </c>
    </row>
    <row r="82" spans="1:7" x14ac:dyDescent="0.2">
      <c r="A82" s="634" t="s">
        <v>408</v>
      </c>
      <c r="B82" s="624" t="s">
        <v>840</v>
      </c>
      <c r="C82" s="635" t="s">
        <v>408</v>
      </c>
      <c r="D82" s="635"/>
      <c r="E82" s="624" t="s">
        <v>408</v>
      </c>
      <c r="F82" s="636" t="s">
        <v>408</v>
      </c>
      <c r="G82" s="625" t="s">
        <v>408</v>
      </c>
    </row>
    <row r="83" spans="1:7" x14ac:dyDescent="0.2">
      <c r="A83" s="634" t="s">
        <v>408</v>
      </c>
      <c r="B83" s="624" t="s">
        <v>841</v>
      </c>
      <c r="C83" s="635" t="s">
        <v>408</v>
      </c>
      <c r="D83" s="635"/>
      <c r="E83" s="624" t="s">
        <v>408</v>
      </c>
      <c r="F83" s="636" t="s">
        <v>408</v>
      </c>
      <c r="G83" s="625" t="s">
        <v>408</v>
      </c>
    </row>
    <row r="84" spans="1:7" x14ac:dyDescent="0.2">
      <c r="A84" s="634" t="s">
        <v>408</v>
      </c>
      <c r="B84" s="624" t="s">
        <v>794</v>
      </c>
      <c r="C84" s="635" t="s">
        <v>408</v>
      </c>
      <c r="D84" s="635"/>
      <c r="E84" s="624" t="s">
        <v>408</v>
      </c>
      <c r="F84" s="636" t="s">
        <v>408</v>
      </c>
      <c r="G84" s="625" t="s">
        <v>408</v>
      </c>
    </row>
    <row r="85" spans="1:7" x14ac:dyDescent="0.2">
      <c r="A85" s="634" t="s">
        <v>408</v>
      </c>
      <c r="B85" s="624" t="s">
        <v>843</v>
      </c>
      <c r="C85" s="635">
        <v>1</v>
      </c>
      <c r="D85" s="635"/>
      <c r="E85" s="624" t="s">
        <v>408</v>
      </c>
      <c r="F85" s="636" t="s">
        <v>408</v>
      </c>
      <c r="G85" s="625" t="s">
        <v>408</v>
      </c>
    </row>
    <row r="86" spans="1:7" x14ac:dyDescent="0.2">
      <c r="A86" s="634" t="s">
        <v>408</v>
      </c>
      <c r="B86" s="624" t="s">
        <v>844</v>
      </c>
      <c r="C86" s="635">
        <v>1</v>
      </c>
      <c r="D86" s="635"/>
      <c r="E86" s="624" t="s">
        <v>408</v>
      </c>
      <c r="F86" s="636" t="s">
        <v>408</v>
      </c>
      <c r="G86" s="625" t="s">
        <v>408</v>
      </c>
    </row>
    <row r="87" spans="1:7" x14ac:dyDescent="0.2">
      <c r="A87" s="634" t="s">
        <v>408</v>
      </c>
      <c r="B87" s="624" t="s">
        <v>845</v>
      </c>
      <c r="C87" s="635">
        <v>1</v>
      </c>
      <c r="D87" s="635"/>
      <c r="E87" s="624" t="s">
        <v>408</v>
      </c>
      <c r="F87" s="636" t="s">
        <v>408</v>
      </c>
      <c r="G87" s="625" t="s">
        <v>408</v>
      </c>
    </row>
    <row r="88" spans="1:7" x14ac:dyDescent="0.2">
      <c r="A88" s="634"/>
      <c r="B88" s="624" t="s">
        <v>846</v>
      </c>
      <c r="C88" s="639"/>
      <c r="D88" s="639"/>
      <c r="E88" s="624"/>
      <c r="F88" s="636"/>
      <c r="G88" s="625"/>
    </row>
    <row r="89" spans="1:7" x14ac:dyDescent="0.2">
      <c r="A89" s="640" t="s">
        <v>408</v>
      </c>
      <c r="B89" s="641"/>
      <c r="C89" s="642" t="s">
        <v>408</v>
      </c>
      <c r="D89" s="642"/>
      <c r="E89" s="626" t="s">
        <v>408</v>
      </c>
      <c r="F89" s="643" t="s">
        <v>408</v>
      </c>
      <c r="G89" s="627" t="s">
        <v>408</v>
      </c>
    </row>
    <row r="90" spans="1:7" x14ac:dyDescent="0.2">
      <c r="A90" s="631" t="s">
        <v>866</v>
      </c>
      <c r="B90" s="622" t="s">
        <v>746</v>
      </c>
      <c r="C90" s="632" t="s">
        <v>408</v>
      </c>
      <c r="D90" s="632"/>
      <c r="E90" s="622" t="s">
        <v>868</v>
      </c>
      <c r="F90" s="633">
        <v>12</v>
      </c>
      <c r="G90" s="623" t="s">
        <v>869</v>
      </c>
    </row>
    <row r="91" spans="1:7" x14ac:dyDescent="0.2">
      <c r="A91" s="634" t="s">
        <v>408</v>
      </c>
      <c r="B91" s="624" t="s">
        <v>750</v>
      </c>
      <c r="C91" s="635" t="s">
        <v>408</v>
      </c>
      <c r="D91" s="635"/>
      <c r="E91" s="624" t="s">
        <v>408</v>
      </c>
      <c r="F91" s="636"/>
      <c r="G91" s="625" t="s">
        <v>871</v>
      </c>
    </row>
    <row r="92" spans="1:7" x14ac:dyDescent="0.2">
      <c r="A92" s="634" t="s">
        <v>408</v>
      </c>
      <c r="B92" s="624" t="s">
        <v>754</v>
      </c>
      <c r="C92" s="635" t="s">
        <v>408</v>
      </c>
      <c r="D92" s="635"/>
      <c r="E92" s="624" t="s">
        <v>873</v>
      </c>
      <c r="F92" s="636"/>
      <c r="G92" s="625" t="s">
        <v>874</v>
      </c>
    </row>
    <row r="93" spans="1:7" x14ac:dyDescent="0.2">
      <c r="A93" s="634" t="s">
        <v>408</v>
      </c>
      <c r="B93" s="624" t="s">
        <v>758</v>
      </c>
      <c r="C93" s="635">
        <v>3</v>
      </c>
      <c r="D93" s="635"/>
      <c r="E93" s="624" t="s">
        <v>817</v>
      </c>
      <c r="F93" s="636"/>
      <c r="G93" s="625" t="s">
        <v>876</v>
      </c>
    </row>
    <row r="94" spans="1:7" x14ac:dyDescent="0.2">
      <c r="A94" s="634" t="s">
        <v>408</v>
      </c>
      <c r="B94" s="624" t="s">
        <v>762</v>
      </c>
      <c r="C94" s="635">
        <v>3</v>
      </c>
      <c r="D94" s="635"/>
      <c r="E94" s="624" t="s">
        <v>408</v>
      </c>
      <c r="F94" s="636"/>
      <c r="G94" s="625" t="s">
        <v>776</v>
      </c>
    </row>
    <row r="95" spans="1:7" x14ac:dyDescent="0.2">
      <c r="A95" s="634" t="s">
        <v>408</v>
      </c>
      <c r="B95" s="624" t="s">
        <v>766</v>
      </c>
      <c r="C95" s="635">
        <v>3</v>
      </c>
      <c r="D95" s="635"/>
      <c r="E95" s="624" t="s">
        <v>879</v>
      </c>
      <c r="F95" s="636"/>
      <c r="G95" s="625" t="s">
        <v>779</v>
      </c>
    </row>
    <row r="96" spans="1:7" x14ac:dyDescent="0.2">
      <c r="A96" s="637" t="s">
        <v>408</v>
      </c>
      <c r="B96" s="638" t="s">
        <v>770</v>
      </c>
      <c r="C96" s="635">
        <v>1</v>
      </c>
      <c r="D96" s="635"/>
      <c r="E96" s="624" t="s">
        <v>881</v>
      </c>
      <c r="F96" s="636"/>
      <c r="G96" s="625" t="s">
        <v>760</v>
      </c>
    </row>
    <row r="97" spans="1:7" x14ac:dyDescent="0.2">
      <c r="A97" s="634" t="s">
        <v>408</v>
      </c>
      <c r="B97" s="624" t="s">
        <v>784</v>
      </c>
      <c r="C97" s="635">
        <v>1</v>
      </c>
      <c r="D97" s="635"/>
      <c r="E97" s="624" t="s">
        <v>882</v>
      </c>
      <c r="F97" s="636"/>
      <c r="G97" s="625" t="s">
        <v>764</v>
      </c>
    </row>
    <row r="98" spans="1:7" x14ac:dyDescent="0.2">
      <c r="A98" s="634" t="s">
        <v>408</v>
      </c>
      <c r="B98" s="624" t="s">
        <v>787</v>
      </c>
      <c r="C98" s="635">
        <v>1</v>
      </c>
      <c r="D98" s="635"/>
      <c r="E98" s="624" t="s">
        <v>408</v>
      </c>
      <c r="F98" s="636"/>
      <c r="G98" s="625" t="s">
        <v>883</v>
      </c>
    </row>
    <row r="99" spans="1:7" x14ac:dyDescent="0.2">
      <c r="A99" s="634" t="s">
        <v>408</v>
      </c>
      <c r="B99" s="624" t="s">
        <v>793</v>
      </c>
      <c r="C99" s="635">
        <v>3</v>
      </c>
      <c r="D99" s="635"/>
      <c r="E99" s="624" t="s">
        <v>884</v>
      </c>
      <c r="F99" s="636"/>
      <c r="G99" s="625" t="s">
        <v>885</v>
      </c>
    </row>
    <row r="100" spans="1:7" x14ac:dyDescent="0.2">
      <c r="A100" s="634" t="s">
        <v>408</v>
      </c>
      <c r="B100" s="624" t="s">
        <v>854</v>
      </c>
      <c r="C100" s="635">
        <v>1</v>
      </c>
      <c r="D100" s="635"/>
      <c r="E100" s="624" t="s">
        <v>886</v>
      </c>
      <c r="F100" s="636"/>
      <c r="G100" s="625" t="s">
        <v>887</v>
      </c>
    </row>
    <row r="101" spans="1:7" x14ac:dyDescent="0.2">
      <c r="A101" s="634" t="s">
        <v>408</v>
      </c>
      <c r="B101" s="624" t="s">
        <v>856</v>
      </c>
      <c r="C101" s="635" t="s">
        <v>408</v>
      </c>
      <c r="D101" s="635"/>
      <c r="E101" s="624" t="s">
        <v>888</v>
      </c>
      <c r="F101" s="636" t="s">
        <v>408</v>
      </c>
      <c r="G101" s="625" t="s">
        <v>889</v>
      </c>
    </row>
    <row r="102" spans="1:7" x14ac:dyDescent="0.2">
      <c r="A102" s="634" t="s">
        <v>408</v>
      </c>
      <c r="B102" s="624" t="s">
        <v>805</v>
      </c>
      <c r="C102" s="635">
        <v>2</v>
      </c>
      <c r="D102" s="635"/>
      <c r="E102" s="624" t="s">
        <v>890</v>
      </c>
      <c r="F102" s="636" t="s">
        <v>408</v>
      </c>
      <c r="G102" s="625" t="s">
        <v>891</v>
      </c>
    </row>
    <row r="103" spans="1:7" x14ac:dyDescent="0.2">
      <c r="A103" s="634" t="s">
        <v>408</v>
      </c>
      <c r="B103" s="624" t="s">
        <v>807</v>
      </c>
      <c r="C103" s="635" t="s">
        <v>408</v>
      </c>
      <c r="D103" s="635"/>
      <c r="E103" s="624"/>
      <c r="F103" s="636" t="s">
        <v>408</v>
      </c>
      <c r="G103" s="625" t="s">
        <v>408</v>
      </c>
    </row>
    <row r="104" spans="1:7" x14ac:dyDescent="0.2">
      <c r="A104" s="634" t="s">
        <v>408</v>
      </c>
      <c r="B104" s="624" t="s">
        <v>809</v>
      </c>
      <c r="C104" s="635" t="s">
        <v>408</v>
      </c>
      <c r="D104" s="635"/>
      <c r="E104" s="624"/>
      <c r="F104" s="636" t="s">
        <v>408</v>
      </c>
      <c r="G104" s="625" t="s">
        <v>408</v>
      </c>
    </row>
    <row r="105" spans="1:7" x14ac:dyDescent="0.2">
      <c r="A105" s="634" t="s">
        <v>408</v>
      </c>
      <c r="B105" s="624" t="s">
        <v>811</v>
      </c>
      <c r="C105" s="635" t="s">
        <v>408</v>
      </c>
      <c r="D105" s="635"/>
      <c r="E105" s="624" t="s">
        <v>785</v>
      </c>
      <c r="F105" s="636" t="s">
        <v>408</v>
      </c>
      <c r="G105" s="625" t="s">
        <v>408</v>
      </c>
    </row>
    <row r="106" spans="1:7" x14ac:dyDescent="0.2">
      <c r="A106" s="634" t="s">
        <v>408</v>
      </c>
      <c r="B106" s="624" t="s">
        <v>812</v>
      </c>
      <c r="C106" s="635" t="s">
        <v>408</v>
      </c>
      <c r="D106" s="635"/>
      <c r="E106" s="624" t="s">
        <v>788</v>
      </c>
      <c r="F106" s="636" t="s">
        <v>408</v>
      </c>
      <c r="G106" s="625" t="s">
        <v>408</v>
      </c>
    </row>
    <row r="107" spans="1:7" x14ac:dyDescent="0.2">
      <c r="A107" s="634" t="s">
        <v>408</v>
      </c>
      <c r="B107" s="624" t="s">
        <v>892</v>
      </c>
      <c r="C107" s="635">
        <v>1</v>
      </c>
      <c r="D107" s="635"/>
      <c r="E107" s="624" t="s">
        <v>791</v>
      </c>
      <c r="F107" s="636" t="s">
        <v>408</v>
      </c>
      <c r="G107" s="625" t="s">
        <v>408</v>
      </c>
    </row>
    <row r="108" spans="1:7" x14ac:dyDescent="0.2">
      <c r="A108" s="634" t="s">
        <v>408</v>
      </c>
      <c r="B108" s="624" t="s">
        <v>893</v>
      </c>
      <c r="C108" s="635" t="s">
        <v>408</v>
      </c>
      <c r="D108" s="635"/>
      <c r="E108" s="624" t="s">
        <v>794</v>
      </c>
      <c r="F108" s="636" t="s">
        <v>408</v>
      </c>
      <c r="G108" s="625" t="s">
        <v>408</v>
      </c>
    </row>
    <row r="109" spans="1:7" x14ac:dyDescent="0.2">
      <c r="A109" s="634" t="s">
        <v>408</v>
      </c>
      <c r="B109" s="624" t="s">
        <v>778</v>
      </c>
      <c r="C109" s="635">
        <v>1</v>
      </c>
      <c r="D109" s="635"/>
      <c r="E109" s="624" t="s">
        <v>853</v>
      </c>
      <c r="F109" s="636" t="s">
        <v>408</v>
      </c>
      <c r="G109" s="625" t="s">
        <v>408</v>
      </c>
    </row>
    <row r="110" spans="1:7" x14ac:dyDescent="0.2">
      <c r="A110" s="634" t="s">
        <v>408</v>
      </c>
      <c r="B110" s="624" t="s">
        <v>774</v>
      </c>
      <c r="C110" s="635">
        <v>1</v>
      </c>
      <c r="D110" s="635"/>
      <c r="E110" s="624" t="s">
        <v>408</v>
      </c>
      <c r="F110" s="636" t="s">
        <v>408</v>
      </c>
      <c r="G110" s="625" t="s">
        <v>408</v>
      </c>
    </row>
    <row r="111" spans="1:7" x14ac:dyDescent="0.2">
      <c r="A111" s="634" t="s">
        <v>408</v>
      </c>
      <c r="B111" s="624" t="s">
        <v>894</v>
      </c>
      <c r="C111" s="635">
        <v>1</v>
      </c>
      <c r="D111" s="635"/>
      <c r="E111" s="624" t="s">
        <v>747</v>
      </c>
      <c r="F111" s="636" t="s">
        <v>408</v>
      </c>
      <c r="G111" s="625" t="s">
        <v>408</v>
      </c>
    </row>
    <row r="112" spans="1:7" x14ac:dyDescent="0.2">
      <c r="A112" s="634" t="s">
        <v>408</v>
      </c>
      <c r="B112" s="624" t="s">
        <v>895</v>
      </c>
      <c r="C112" s="635">
        <v>2</v>
      </c>
      <c r="D112" s="635"/>
      <c r="E112" s="624" t="s">
        <v>751</v>
      </c>
      <c r="F112" s="636" t="s">
        <v>408</v>
      </c>
      <c r="G112" s="625" t="s">
        <v>408</v>
      </c>
    </row>
    <row r="113" spans="1:7" x14ac:dyDescent="0.2">
      <c r="A113" s="634" t="s">
        <v>408</v>
      </c>
      <c r="B113" s="624" t="s">
        <v>781</v>
      </c>
      <c r="C113" s="635">
        <v>2</v>
      </c>
      <c r="D113" s="635"/>
      <c r="E113" s="624" t="s">
        <v>896</v>
      </c>
      <c r="F113" s="636" t="s">
        <v>408</v>
      </c>
      <c r="G113" s="625" t="s">
        <v>408</v>
      </c>
    </row>
    <row r="114" spans="1:7" x14ac:dyDescent="0.2">
      <c r="A114" s="634" t="s">
        <v>408</v>
      </c>
      <c r="B114" s="624" t="s">
        <v>818</v>
      </c>
      <c r="C114" s="635">
        <v>1</v>
      </c>
      <c r="D114" s="635"/>
      <c r="E114" s="624" t="s">
        <v>771</v>
      </c>
      <c r="F114" s="636" t="s">
        <v>408</v>
      </c>
      <c r="G114" s="625" t="s">
        <v>408</v>
      </c>
    </row>
    <row r="115" spans="1:7" x14ac:dyDescent="0.2">
      <c r="A115" s="634" t="s">
        <v>408</v>
      </c>
      <c r="B115" s="624" t="s">
        <v>897</v>
      </c>
      <c r="C115" s="635" t="s">
        <v>408</v>
      </c>
      <c r="D115" s="635"/>
      <c r="E115" s="624" t="s">
        <v>767</v>
      </c>
      <c r="F115" s="636" t="s">
        <v>408</v>
      </c>
      <c r="G115" s="625" t="s">
        <v>408</v>
      </c>
    </row>
    <row r="116" spans="1:7" x14ac:dyDescent="0.2">
      <c r="A116" s="634" t="s">
        <v>408</v>
      </c>
      <c r="B116" s="624" t="s">
        <v>796</v>
      </c>
      <c r="C116" s="635">
        <v>1</v>
      </c>
      <c r="D116" s="635"/>
      <c r="E116" s="624" t="s">
        <v>763</v>
      </c>
      <c r="F116" s="636" t="s">
        <v>408</v>
      </c>
      <c r="G116" s="625" t="s">
        <v>408</v>
      </c>
    </row>
    <row r="117" spans="1:7" x14ac:dyDescent="0.2">
      <c r="A117" s="634" t="s">
        <v>408</v>
      </c>
      <c r="B117" s="624" t="s">
        <v>816</v>
      </c>
      <c r="C117" s="635">
        <v>1</v>
      </c>
      <c r="D117" s="635"/>
      <c r="E117" s="624" t="s">
        <v>898</v>
      </c>
      <c r="F117" s="636" t="s">
        <v>408</v>
      </c>
      <c r="G117" s="625" t="s">
        <v>408</v>
      </c>
    </row>
    <row r="118" spans="1:7" x14ac:dyDescent="0.2">
      <c r="A118" s="634"/>
      <c r="B118" s="624"/>
      <c r="C118" s="635"/>
      <c r="D118" s="635"/>
      <c r="E118" s="624"/>
      <c r="F118" s="636"/>
      <c r="G118" s="625"/>
    </row>
    <row r="119" spans="1:7" x14ac:dyDescent="0.2">
      <c r="A119" s="634" t="s">
        <v>408</v>
      </c>
      <c r="B119" s="624" t="s">
        <v>834</v>
      </c>
      <c r="C119" s="635" t="s">
        <v>408</v>
      </c>
      <c r="D119" s="635"/>
      <c r="E119" s="624" t="s">
        <v>408</v>
      </c>
      <c r="F119" s="636" t="s">
        <v>408</v>
      </c>
      <c r="G119" s="625" t="s">
        <v>408</v>
      </c>
    </row>
    <row r="120" spans="1:7" x14ac:dyDescent="0.2">
      <c r="A120" s="634" t="s">
        <v>408</v>
      </c>
      <c r="B120" s="624" t="s">
        <v>790</v>
      </c>
      <c r="C120" s="635">
        <v>1</v>
      </c>
      <c r="D120" s="635"/>
      <c r="E120" s="624" t="s">
        <v>408</v>
      </c>
      <c r="F120" s="636" t="s">
        <v>408</v>
      </c>
      <c r="G120" s="625" t="s">
        <v>408</v>
      </c>
    </row>
    <row r="121" spans="1:7" x14ac:dyDescent="0.2">
      <c r="A121" s="634" t="s">
        <v>408</v>
      </c>
      <c r="B121" s="624" t="s">
        <v>899</v>
      </c>
      <c r="C121" s="635">
        <v>1</v>
      </c>
      <c r="D121" s="635"/>
      <c r="E121" s="624" t="s">
        <v>408</v>
      </c>
      <c r="F121" s="636" t="s">
        <v>408</v>
      </c>
      <c r="G121" s="625" t="s">
        <v>408</v>
      </c>
    </row>
    <row r="122" spans="1:7" x14ac:dyDescent="0.2">
      <c r="A122" s="634" t="s">
        <v>408</v>
      </c>
      <c r="B122" s="624" t="s">
        <v>900</v>
      </c>
      <c r="C122" s="635">
        <v>1</v>
      </c>
      <c r="D122" s="635"/>
      <c r="E122" s="624" t="s">
        <v>408</v>
      </c>
      <c r="F122" s="636" t="s">
        <v>408</v>
      </c>
      <c r="G122" s="625" t="s">
        <v>408</v>
      </c>
    </row>
    <row r="123" spans="1:7" x14ac:dyDescent="0.2">
      <c r="A123" s="634" t="s">
        <v>408</v>
      </c>
      <c r="B123" s="624" t="s">
        <v>901</v>
      </c>
      <c r="C123" s="635">
        <v>1</v>
      </c>
      <c r="D123" s="635"/>
      <c r="E123" s="624" t="s">
        <v>408</v>
      </c>
      <c r="F123" s="636" t="s">
        <v>408</v>
      </c>
      <c r="G123" s="625" t="s">
        <v>408</v>
      </c>
    </row>
    <row r="124" spans="1:7" x14ac:dyDescent="0.2">
      <c r="A124" s="634" t="s">
        <v>408</v>
      </c>
      <c r="B124" s="624" t="s">
        <v>902</v>
      </c>
      <c r="C124" s="635" t="s">
        <v>408</v>
      </c>
      <c r="D124" s="635"/>
      <c r="E124" s="624" t="s">
        <v>408</v>
      </c>
      <c r="F124" s="636" t="s">
        <v>408</v>
      </c>
      <c r="G124" s="625" t="s">
        <v>408</v>
      </c>
    </row>
    <row r="125" spans="1:7" x14ac:dyDescent="0.2">
      <c r="A125" s="634" t="s">
        <v>408</v>
      </c>
      <c r="B125" s="624" t="s">
        <v>408</v>
      </c>
      <c r="C125" s="635" t="s">
        <v>408</v>
      </c>
      <c r="D125" s="635"/>
      <c r="E125" s="624" t="s">
        <v>408</v>
      </c>
      <c r="F125" s="636" t="s">
        <v>408</v>
      </c>
      <c r="G125" s="625" t="s">
        <v>408</v>
      </c>
    </row>
    <row r="126" spans="1:7" x14ac:dyDescent="0.2">
      <c r="A126" s="634" t="s">
        <v>408</v>
      </c>
      <c r="B126" s="624" t="s">
        <v>825</v>
      </c>
      <c r="C126" s="635" t="s">
        <v>408</v>
      </c>
      <c r="D126" s="635"/>
      <c r="E126" s="624" t="s">
        <v>408</v>
      </c>
      <c r="F126" s="636" t="s">
        <v>408</v>
      </c>
      <c r="G126" s="625" t="s">
        <v>408</v>
      </c>
    </row>
    <row r="127" spans="1:7" x14ac:dyDescent="0.2">
      <c r="A127" s="634" t="s">
        <v>408</v>
      </c>
      <c r="B127" s="624" t="s">
        <v>750</v>
      </c>
      <c r="C127" s="635" t="s">
        <v>408</v>
      </c>
      <c r="D127" s="635"/>
      <c r="E127" s="624" t="s">
        <v>408</v>
      </c>
      <c r="F127" s="636" t="s">
        <v>408</v>
      </c>
      <c r="G127" s="625" t="s">
        <v>408</v>
      </c>
    </row>
    <row r="128" spans="1:7" x14ac:dyDescent="0.2">
      <c r="A128" s="634" t="s">
        <v>408</v>
      </c>
      <c r="B128" s="624" t="s">
        <v>754</v>
      </c>
      <c r="C128" s="635" t="s">
        <v>408</v>
      </c>
      <c r="D128" s="635"/>
      <c r="E128" s="624" t="s">
        <v>408</v>
      </c>
      <c r="F128" s="636" t="s">
        <v>408</v>
      </c>
      <c r="G128" s="625" t="s">
        <v>408</v>
      </c>
    </row>
    <row r="129" spans="1:7" x14ac:dyDescent="0.2">
      <c r="A129" s="634" t="s">
        <v>408</v>
      </c>
      <c r="B129" s="624" t="s">
        <v>826</v>
      </c>
      <c r="C129" s="635">
        <v>1</v>
      </c>
      <c r="D129" s="635"/>
      <c r="E129" s="624" t="s">
        <v>408</v>
      </c>
      <c r="F129" s="636" t="s">
        <v>408</v>
      </c>
      <c r="G129" s="625" t="s">
        <v>408</v>
      </c>
    </row>
    <row r="130" spans="1:7" x14ac:dyDescent="0.2">
      <c r="A130" s="634" t="s">
        <v>408</v>
      </c>
      <c r="B130" s="624" t="s">
        <v>903</v>
      </c>
      <c r="C130" s="635">
        <v>1</v>
      </c>
      <c r="D130" s="635"/>
      <c r="E130" s="624" t="s">
        <v>408</v>
      </c>
      <c r="F130" s="636" t="s">
        <v>408</v>
      </c>
      <c r="G130" s="625" t="s">
        <v>408</v>
      </c>
    </row>
    <row r="131" spans="1:7" x14ac:dyDescent="0.2">
      <c r="A131" s="634" t="s">
        <v>408</v>
      </c>
      <c r="B131" s="624" t="s">
        <v>833</v>
      </c>
      <c r="C131" s="635" t="s">
        <v>408</v>
      </c>
      <c r="D131" s="635"/>
      <c r="E131" s="624" t="s">
        <v>408</v>
      </c>
      <c r="F131" s="636" t="s">
        <v>408</v>
      </c>
      <c r="G131" s="625" t="s">
        <v>408</v>
      </c>
    </row>
    <row r="132" spans="1:7" x14ac:dyDescent="0.2">
      <c r="A132" s="634" t="s">
        <v>408</v>
      </c>
      <c r="B132" s="624" t="s">
        <v>904</v>
      </c>
      <c r="C132" s="635">
        <v>1</v>
      </c>
      <c r="D132" s="635"/>
      <c r="E132" s="624" t="s">
        <v>408</v>
      </c>
      <c r="F132" s="636" t="s">
        <v>408</v>
      </c>
      <c r="G132" s="625" t="s">
        <v>408</v>
      </c>
    </row>
    <row r="133" spans="1:7" x14ac:dyDescent="0.2">
      <c r="A133" s="634" t="s">
        <v>408</v>
      </c>
      <c r="B133" s="624" t="s">
        <v>905</v>
      </c>
      <c r="C133" s="635">
        <v>1</v>
      </c>
      <c r="D133" s="635"/>
      <c r="E133" s="624" t="s">
        <v>408</v>
      </c>
      <c r="F133" s="636" t="s">
        <v>408</v>
      </c>
      <c r="G133" s="625" t="s">
        <v>408</v>
      </c>
    </row>
    <row r="134" spans="1:7" x14ac:dyDescent="0.2">
      <c r="A134" s="634" t="s">
        <v>408</v>
      </c>
      <c r="B134" s="624" t="s">
        <v>862</v>
      </c>
      <c r="C134" s="635">
        <v>1</v>
      </c>
      <c r="D134" s="635"/>
      <c r="E134" s="624" t="s">
        <v>408</v>
      </c>
      <c r="F134" s="636" t="s">
        <v>408</v>
      </c>
      <c r="G134" s="625" t="s">
        <v>408</v>
      </c>
    </row>
    <row r="135" spans="1:7" x14ac:dyDescent="0.2">
      <c r="A135" s="634" t="s">
        <v>408</v>
      </c>
      <c r="B135" s="624" t="s">
        <v>831</v>
      </c>
      <c r="C135" s="635" t="s">
        <v>408</v>
      </c>
      <c r="D135" s="635"/>
      <c r="E135" s="624" t="s">
        <v>408</v>
      </c>
      <c r="F135" s="636" t="s">
        <v>408</v>
      </c>
      <c r="G135" s="625" t="s">
        <v>408</v>
      </c>
    </row>
    <row r="136" spans="1:7" x14ac:dyDescent="0.2">
      <c r="A136" s="634" t="s">
        <v>408</v>
      </c>
      <c r="B136" s="624" t="s">
        <v>861</v>
      </c>
      <c r="C136" s="635">
        <v>1</v>
      </c>
      <c r="D136" s="635"/>
      <c r="E136" s="624" t="s">
        <v>408</v>
      </c>
      <c r="F136" s="636" t="s">
        <v>408</v>
      </c>
      <c r="G136" s="625" t="s">
        <v>408</v>
      </c>
    </row>
    <row r="137" spans="1:7" x14ac:dyDescent="0.2">
      <c r="A137" s="634" t="s">
        <v>408</v>
      </c>
      <c r="B137" s="624" t="s">
        <v>828</v>
      </c>
      <c r="C137" s="635" t="s">
        <v>408</v>
      </c>
      <c r="D137" s="635"/>
      <c r="E137" s="624" t="s">
        <v>408</v>
      </c>
      <c r="F137" s="636" t="s">
        <v>408</v>
      </c>
      <c r="G137" s="625" t="s">
        <v>408</v>
      </c>
    </row>
    <row r="138" spans="1:7" x14ac:dyDescent="0.2">
      <c r="A138" s="634"/>
      <c r="B138" s="624"/>
      <c r="C138" s="635"/>
      <c r="D138" s="635"/>
      <c r="E138" s="624"/>
      <c r="F138" s="636"/>
      <c r="G138" s="625"/>
    </row>
    <row r="139" spans="1:7" x14ac:dyDescent="0.2">
      <c r="A139" s="634" t="s">
        <v>408</v>
      </c>
      <c r="B139" s="624" t="s">
        <v>834</v>
      </c>
      <c r="C139" s="635" t="s">
        <v>408</v>
      </c>
      <c r="D139" s="635"/>
      <c r="E139" s="624" t="s">
        <v>408</v>
      </c>
      <c r="F139" s="636" t="s">
        <v>408</v>
      </c>
      <c r="G139" s="625" t="s">
        <v>408</v>
      </c>
    </row>
    <row r="140" spans="1:7" x14ac:dyDescent="0.2">
      <c r="A140" s="634" t="s">
        <v>408</v>
      </c>
      <c r="B140" s="624" t="s">
        <v>906</v>
      </c>
      <c r="C140" s="635">
        <v>1</v>
      </c>
      <c r="D140" s="635"/>
      <c r="E140" s="624" t="s">
        <v>408</v>
      </c>
      <c r="F140" s="636" t="s">
        <v>408</v>
      </c>
      <c r="G140" s="625" t="s">
        <v>408</v>
      </c>
    </row>
    <row r="141" spans="1:7" x14ac:dyDescent="0.2">
      <c r="A141" s="634" t="s">
        <v>408</v>
      </c>
      <c r="B141" s="624" t="s">
        <v>907</v>
      </c>
      <c r="C141" s="635" t="s">
        <v>408</v>
      </c>
      <c r="D141" s="635"/>
      <c r="E141" s="624" t="s">
        <v>408</v>
      </c>
      <c r="F141" s="636" t="s">
        <v>408</v>
      </c>
      <c r="G141" s="625" t="s">
        <v>408</v>
      </c>
    </row>
    <row r="142" spans="1:7" x14ac:dyDescent="0.2">
      <c r="A142" s="634" t="s">
        <v>408</v>
      </c>
      <c r="B142" s="624" t="s">
        <v>908</v>
      </c>
      <c r="C142" s="635">
        <v>1</v>
      </c>
      <c r="D142" s="635"/>
      <c r="E142" s="624" t="s">
        <v>408</v>
      </c>
      <c r="F142" s="636" t="s">
        <v>408</v>
      </c>
      <c r="G142" s="625" t="s">
        <v>408</v>
      </c>
    </row>
    <row r="143" spans="1:7" x14ac:dyDescent="0.2">
      <c r="A143" s="634" t="s">
        <v>408</v>
      </c>
      <c r="B143" s="624" t="s">
        <v>909</v>
      </c>
      <c r="C143" s="635" t="s">
        <v>408</v>
      </c>
      <c r="D143" s="635"/>
      <c r="E143" s="624" t="s">
        <v>408</v>
      </c>
      <c r="F143" s="636" t="s">
        <v>408</v>
      </c>
      <c r="G143" s="625" t="s">
        <v>408</v>
      </c>
    </row>
    <row r="144" spans="1:7" x14ac:dyDescent="0.2">
      <c r="A144" s="634" t="s">
        <v>408</v>
      </c>
      <c r="B144" s="624" t="s">
        <v>910</v>
      </c>
      <c r="C144" s="635">
        <v>1</v>
      </c>
      <c r="D144" s="635"/>
      <c r="E144" s="624" t="s">
        <v>408</v>
      </c>
      <c r="F144" s="636" t="s">
        <v>408</v>
      </c>
      <c r="G144" s="625" t="s">
        <v>408</v>
      </c>
    </row>
    <row r="145" spans="1:7" x14ac:dyDescent="0.2">
      <c r="A145" s="634" t="s">
        <v>408</v>
      </c>
      <c r="B145" s="624" t="s">
        <v>911</v>
      </c>
      <c r="C145" s="635" t="s">
        <v>408</v>
      </c>
      <c r="D145" s="635"/>
      <c r="E145" s="624" t="s">
        <v>408</v>
      </c>
      <c r="F145" s="636" t="s">
        <v>408</v>
      </c>
      <c r="G145" s="625" t="s">
        <v>408</v>
      </c>
    </row>
    <row r="146" spans="1:7" x14ac:dyDescent="0.2">
      <c r="A146" s="634" t="s">
        <v>408</v>
      </c>
      <c r="B146" s="624" t="s">
        <v>865</v>
      </c>
      <c r="C146" s="635">
        <v>1</v>
      </c>
      <c r="D146" s="635"/>
      <c r="E146" s="624" t="s">
        <v>408</v>
      </c>
      <c r="F146" s="636" t="s">
        <v>408</v>
      </c>
      <c r="G146" s="625" t="s">
        <v>408</v>
      </c>
    </row>
    <row r="147" spans="1:7" x14ac:dyDescent="0.2">
      <c r="A147" s="634" t="s">
        <v>408</v>
      </c>
      <c r="B147" s="624" t="s">
        <v>912</v>
      </c>
      <c r="C147" s="635">
        <v>1</v>
      </c>
      <c r="D147" s="635"/>
      <c r="E147" s="624" t="s">
        <v>408</v>
      </c>
      <c r="F147" s="636" t="s">
        <v>408</v>
      </c>
      <c r="G147" s="625" t="s">
        <v>408</v>
      </c>
    </row>
    <row r="148" spans="1:7" x14ac:dyDescent="0.2">
      <c r="A148" s="634" t="s">
        <v>408</v>
      </c>
      <c r="B148" s="624" t="s">
        <v>839</v>
      </c>
      <c r="C148" s="635" t="s">
        <v>408</v>
      </c>
      <c r="D148" s="635"/>
      <c r="E148" s="624" t="s">
        <v>408</v>
      </c>
      <c r="F148" s="636" t="s">
        <v>408</v>
      </c>
      <c r="G148" s="625" t="s">
        <v>408</v>
      </c>
    </row>
    <row r="149" spans="1:7" x14ac:dyDescent="0.2">
      <c r="A149" s="634"/>
      <c r="B149" s="624"/>
      <c r="C149" s="635"/>
      <c r="D149" s="635"/>
      <c r="E149" s="624"/>
      <c r="F149" s="636"/>
      <c r="G149" s="625"/>
    </row>
    <row r="150" spans="1:7" x14ac:dyDescent="0.2">
      <c r="A150" s="634" t="s">
        <v>408</v>
      </c>
      <c r="B150" s="624" t="s">
        <v>408</v>
      </c>
      <c r="C150" s="635" t="s">
        <v>408</v>
      </c>
      <c r="D150" s="635"/>
      <c r="E150" s="624" t="s">
        <v>408</v>
      </c>
      <c r="F150" s="636" t="s">
        <v>408</v>
      </c>
      <c r="G150" s="625" t="s">
        <v>408</v>
      </c>
    </row>
    <row r="151" spans="1:7" x14ac:dyDescent="0.2">
      <c r="A151" s="634" t="s">
        <v>408</v>
      </c>
      <c r="B151" s="624" t="s">
        <v>840</v>
      </c>
      <c r="C151" s="635" t="s">
        <v>408</v>
      </c>
      <c r="D151" s="635"/>
      <c r="E151" s="624" t="s">
        <v>408</v>
      </c>
      <c r="F151" s="636" t="s">
        <v>408</v>
      </c>
      <c r="G151" s="625" t="s">
        <v>408</v>
      </c>
    </row>
    <row r="152" spans="1:7" x14ac:dyDescent="0.2">
      <c r="A152" s="634" t="s">
        <v>408</v>
      </c>
      <c r="B152" s="624" t="s">
        <v>841</v>
      </c>
      <c r="C152" s="635" t="s">
        <v>408</v>
      </c>
      <c r="D152" s="635"/>
      <c r="E152" s="624" t="s">
        <v>408</v>
      </c>
      <c r="F152" s="636" t="s">
        <v>408</v>
      </c>
      <c r="G152" s="625" t="s">
        <v>408</v>
      </c>
    </row>
    <row r="153" spans="1:7" x14ac:dyDescent="0.2">
      <c r="A153" s="634" t="s">
        <v>408</v>
      </c>
      <c r="B153" s="624" t="s">
        <v>794</v>
      </c>
      <c r="C153" s="635" t="s">
        <v>408</v>
      </c>
      <c r="D153" s="635"/>
      <c r="E153" s="624" t="s">
        <v>408</v>
      </c>
      <c r="F153" s="636" t="s">
        <v>408</v>
      </c>
      <c r="G153" s="625" t="s">
        <v>408</v>
      </c>
    </row>
    <row r="154" spans="1:7" x14ac:dyDescent="0.2">
      <c r="A154" s="634" t="s">
        <v>408</v>
      </c>
      <c r="B154" s="624" t="s">
        <v>843</v>
      </c>
      <c r="C154" s="635">
        <v>1</v>
      </c>
      <c r="D154" s="635"/>
      <c r="E154" s="624" t="s">
        <v>408</v>
      </c>
      <c r="F154" s="636" t="s">
        <v>408</v>
      </c>
      <c r="G154" s="625" t="s">
        <v>408</v>
      </c>
    </row>
    <row r="155" spans="1:7" x14ac:dyDescent="0.2">
      <c r="A155" s="634" t="s">
        <v>408</v>
      </c>
      <c r="B155" s="624" t="s">
        <v>913</v>
      </c>
      <c r="C155" s="635">
        <v>1</v>
      </c>
      <c r="D155" s="635"/>
      <c r="E155" s="624" t="s">
        <v>408</v>
      </c>
      <c r="F155" s="636" t="s">
        <v>408</v>
      </c>
      <c r="G155" s="625" t="s">
        <v>408</v>
      </c>
    </row>
    <row r="156" spans="1:7" x14ac:dyDescent="0.2">
      <c r="A156" s="634" t="s">
        <v>408</v>
      </c>
      <c r="B156" s="624" t="s">
        <v>844</v>
      </c>
      <c r="C156" s="635">
        <v>1</v>
      </c>
      <c r="D156" s="635"/>
      <c r="E156" s="624" t="s">
        <v>408</v>
      </c>
      <c r="F156" s="636" t="s">
        <v>408</v>
      </c>
      <c r="G156" s="625" t="s">
        <v>408</v>
      </c>
    </row>
    <row r="157" spans="1:7" x14ac:dyDescent="0.2">
      <c r="A157" s="634" t="s">
        <v>408</v>
      </c>
      <c r="B157" s="624" t="s">
        <v>845</v>
      </c>
      <c r="C157" s="635">
        <v>1</v>
      </c>
      <c r="D157" s="635"/>
      <c r="E157" s="624" t="s">
        <v>408</v>
      </c>
      <c r="F157" s="636" t="s">
        <v>408</v>
      </c>
      <c r="G157" s="625" t="s">
        <v>408</v>
      </c>
    </row>
    <row r="158" spans="1:7" x14ac:dyDescent="0.2">
      <c r="A158" s="634"/>
      <c r="B158" s="624" t="s">
        <v>846</v>
      </c>
      <c r="C158" s="639"/>
      <c r="D158" s="639"/>
      <c r="E158" s="624"/>
      <c r="F158" s="636"/>
      <c r="G158" s="625"/>
    </row>
    <row r="159" spans="1:7" x14ac:dyDescent="0.2">
      <c r="A159" s="640" t="s">
        <v>408</v>
      </c>
      <c r="B159" s="641"/>
      <c r="C159" s="642" t="s">
        <v>408</v>
      </c>
      <c r="D159" s="642"/>
      <c r="E159" s="626" t="s">
        <v>408</v>
      </c>
      <c r="F159" s="643" t="s">
        <v>408</v>
      </c>
      <c r="G159" s="627" t="s">
        <v>408</v>
      </c>
    </row>
    <row r="160" spans="1:7" x14ac:dyDescent="0.2">
      <c r="A160" s="631" t="s">
        <v>914</v>
      </c>
      <c r="B160" s="622" t="s">
        <v>746</v>
      </c>
      <c r="C160" s="632" t="s">
        <v>408</v>
      </c>
      <c r="D160" s="632"/>
      <c r="E160" s="622" t="s">
        <v>747</v>
      </c>
      <c r="F160" s="633">
        <v>11</v>
      </c>
      <c r="G160" s="623" t="s">
        <v>916</v>
      </c>
    </row>
    <row r="161" spans="1:7" x14ac:dyDescent="0.2">
      <c r="A161" s="634" t="s">
        <v>408</v>
      </c>
      <c r="B161" s="624" t="s">
        <v>750</v>
      </c>
      <c r="C161" s="635" t="s">
        <v>408</v>
      </c>
      <c r="D161" s="635"/>
      <c r="E161" s="624" t="s">
        <v>751</v>
      </c>
      <c r="F161" s="636"/>
      <c r="G161" s="625" t="s">
        <v>918</v>
      </c>
    </row>
    <row r="162" spans="1:7" x14ac:dyDescent="0.2">
      <c r="A162" s="634" t="s">
        <v>408</v>
      </c>
      <c r="B162" s="624" t="s">
        <v>754</v>
      </c>
      <c r="C162" s="635" t="s">
        <v>408</v>
      </c>
      <c r="D162" s="635"/>
      <c r="E162" s="624" t="s">
        <v>896</v>
      </c>
      <c r="F162" s="636"/>
      <c r="G162" s="625" t="s">
        <v>876</v>
      </c>
    </row>
    <row r="163" spans="1:7" x14ac:dyDescent="0.2">
      <c r="A163" s="634" t="s">
        <v>408</v>
      </c>
      <c r="B163" s="624" t="s">
        <v>758</v>
      </c>
      <c r="C163" s="635">
        <v>2</v>
      </c>
      <c r="D163" s="635"/>
      <c r="E163" s="624" t="s">
        <v>771</v>
      </c>
      <c r="F163" s="636"/>
      <c r="G163" s="625" t="s">
        <v>776</v>
      </c>
    </row>
    <row r="164" spans="1:7" x14ac:dyDescent="0.2">
      <c r="A164" s="634" t="s">
        <v>408</v>
      </c>
      <c r="B164" s="624" t="s">
        <v>762</v>
      </c>
      <c r="C164" s="635">
        <v>2</v>
      </c>
      <c r="D164" s="635"/>
      <c r="E164" s="624" t="s">
        <v>923</v>
      </c>
      <c r="F164" s="636"/>
      <c r="G164" s="625" t="s">
        <v>779</v>
      </c>
    </row>
    <row r="165" spans="1:7" x14ac:dyDescent="0.2">
      <c r="A165" s="637" t="s">
        <v>408</v>
      </c>
      <c r="B165" s="638" t="s">
        <v>766</v>
      </c>
      <c r="C165" s="635">
        <v>2</v>
      </c>
      <c r="D165" s="635"/>
      <c r="E165" s="624" t="s">
        <v>886</v>
      </c>
      <c r="F165" s="636"/>
      <c r="G165" s="625" t="s">
        <v>876</v>
      </c>
    </row>
    <row r="166" spans="1:7" x14ac:dyDescent="0.2">
      <c r="A166" s="637" t="s">
        <v>408</v>
      </c>
      <c r="B166" s="624" t="s">
        <v>927</v>
      </c>
      <c r="C166" s="635">
        <v>1</v>
      </c>
      <c r="D166" s="635"/>
      <c r="E166" s="624" t="s">
        <v>767</v>
      </c>
      <c r="F166" s="636"/>
      <c r="G166" s="625" t="s">
        <v>764</v>
      </c>
    </row>
    <row r="167" spans="1:7" x14ac:dyDescent="0.2">
      <c r="A167" s="637" t="s">
        <v>408</v>
      </c>
      <c r="B167" s="624" t="s">
        <v>790</v>
      </c>
      <c r="C167" s="635">
        <v>1</v>
      </c>
      <c r="D167" s="635"/>
      <c r="E167" s="624"/>
      <c r="F167" s="636"/>
      <c r="G167" s="625" t="s">
        <v>408</v>
      </c>
    </row>
    <row r="168" spans="1:7" x14ac:dyDescent="0.2">
      <c r="A168" s="637" t="s">
        <v>408</v>
      </c>
      <c r="B168" s="624" t="s">
        <v>781</v>
      </c>
      <c r="C168" s="635">
        <v>1</v>
      </c>
      <c r="D168" s="635"/>
      <c r="E168" s="624" t="s">
        <v>785</v>
      </c>
      <c r="F168" s="636"/>
      <c r="G168" s="625" t="s">
        <v>408</v>
      </c>
    </row>
    <row r="169" spans="1:7" x14ac:dyDescent="0.2">
      <c r="A169" s="637" t="s">
        <v>408</v>
      </c>
      <c r="B169" s="624" t="s">
        <v>932</v>
      </c>
      <c r="C169" s="635">
        <v>1</v>
      </c>
      <c r="D169" s="635"/>
      <c r="E169" s="624" t="s">
        <v>788</v>
      </c>
      <c r="F169" s="636"/>
      <c r="G169" s="625" t="s">
        <v>408</v>
      </c>
    </row>
    <row r="170" spans="1:7" x14ac:dyDescent="0.2">
      <c r="A170" s="634" t="s">
        <v>408</v>
      </c>
      <c r="B170" s="624" t="s">
        <v>934</v>
      </c>
      <c r="C170" s="635" t="s">
        <v>408</v>
      </c>
      <c r="D170" s="635"/>
      <c r="E170" s="624" t="s">
        <v>791</v>
      </c>
      <c r="F170" s="636" t="s">
        <v>408</v>
      </c>
      <c r="G170" s="625" t="s">
        <v>408</v>
      </c>
    </row>
    <row r="171" spans="1:7" x14ac:dyDescent="0.2">
      <c r="A171" s="634" t="s">
        <v>408</v>
      </c>
      <c r="B171" s="624" t="s">
        <v>935</v>
      </c>
      <c r="C171" s="635">
        <v>1</v>
      </c>
      <c r="D171" s="635"/>
      <c r="E171" s="624" t="s">
        <v>794</v>
      </c>
      <c r="F171" s="636" t="s">
        <v>408</v>
      </c>
      <c r="G171" s="625" t="s">
        <v>408</v>
      </c>
    </row>
    <row r="172" spans="1:7" x14ac:dyDescent="0.2">
      <c r="A172" s="634" t="s">
        <v>408</v>
      </c>
      <c r="B172" s="624" t="s">
        <v>784</v>
      </c>
      <c r="C172" s="635">
        <v>1</v>
      </c>
      <c r="D172" s="635"/>
      <c r="E172" s="624" t="s">
        <v>853</v>
      </c>
      <c r="F172" s="636" t="s">
        <v>408</v>
      </c>
      <c r="G172" s="625" t="s">
        <v>408</v>
      </c>
    </row>
    <row r="173" spans="1:7" x14ac:dyDescent="0.2">
      <c r="A173" s="634" t="s">
        <v>408</v>
      </c>
      <c r="B173" s="624" t="s">
        <v>787</v>
      </c>
      <c r="C173" s="635">
        <v>1</v>
      </c>
      <c r="D173" s="635"/>
      <c r="E173" s="624"/>
      <c r="F173" s="636" t="s">
        <v>408</v>
      </c>
      <c r="G173" s="625" t="s">
        <v>408</v>
      </c>
    </row>
    <row r="174" spans="1:7" x14ac:dyDescent="0.2">
      <c r="A174" s="634" t="s">
        <v>408</v>
      </c>
      <c r="B174" s="624" t="s">
        <v>774</v>
      </c>
      <c r="C174" s="635">
        <v>1</v>
      </c>
      <c r="D174" s="635"/>
      <c r="E174" s="624" t="s">
        <v>813</v>
      </c>
      <c r="F174" s="636" t="s">
        <v>408</v>
      </c>
      <c r="G174" s="625" t="s">
        <v>408</v>
      </c>
    </row>
    <row r="175" spans="1:7" x14ac:dyDescent="0.2">
      <c r="A175" s="634" t="s">
        <v>408</v>
      </c>
      <c r="B175" s="624" t="s">
        <v>778</v>
      </c>
      <c r="C175" s="635">
        <v>1</v>
      </c>
      <c r="D175" s="635"/>
      <c r="E175" s="624" t="s">
        <v>815</v>
      </c>
      <c r="F175" s="636" t="s">
        <v>408</v>
      </c>
      <c r="G175" s="625" t="s">
        <v>408</v>
      </c>
    </row>
    <row r="176" spans="1:7" x14ac:dyDescent="0.2">
      <c r="A176" s="634" t="s">
        <v>408</v>
      </c>
      <c r="B176" s="624" t="s">
        <v>796</v>
      </c>
      <c r="C176" s="635">
        <v>1</v>
      </c>
      <c r="D176" s="635"/>
      <c r="E176" s="624" t="s">
        <v>817</v>
      </c>
      <c r="F176" s="636" t="s">
        <v>408</v>
      </c>
      <c r="G176" s="625" t="s">
        <v>408</v>
      </c>
    </row>
    <row r="177" spans="1:7" x14ac:dyDescent="0.2">
      <c r="A177" s="634" t="s">
        <v>408</v>
      </c>
      <c r="B177" s="624" t="s">
        <v>793</v>
      </c>
      <c r="C177" s="635">
        <v>2</v>
      </c>
      <c r="D177" s="635"/>
      <c r="E177" s="624" t="s">
        <v>408</v>
      </c>
      <c r="F177" s="636" t="s">
        <v>408</v>
      </c>
      <c r="G177" s="625" t="s">
        <v>408</v>
      </c>
    </row>
    <row r="178" spans="1:7" x14ac:dyDescent="0.2">
      <c r="A178" s="634" t="s">
        <v>408</v>
      </c>
      <c r="B178" s="624" t="s">
        <v>854</v>
      </c>
      <c r="C178" s="635">
        <v>1</v>
      </c>
      <c r="D178" s="635"/>
      <c r="E178" s="624" t="s">
        <v>408</v>
      </c>
      <c r="F178" s="636" t="s">
        <v>408</v>
      </c>
      <c r="G178" s="625" t="s">
        <v>408</v>
      </c>
    </row>
    <row r="179" spans="1:7" x14ac:dyDescent="0.2">
      <c r="A179" s="634" t="s">
        <v>408</v>
      </c>
      <c r="B179" s="624" t="s">
        <v>856</v>
      </c>
      <c r="C179" s="635" t="s">
        <v>408</v>
      </c>
      <c r="D179" s="635"/>
      <c r="E179" s="624" t="s">
        <v>408</v>
      </c>
      <c r="F179" s="636" t="s">
        <v>408</v>
      </c>
      <c r="G179" s="625" t="s">
        <v>408</v>
      </c>
    </row>
    <row r="180" spans="1:7" x14ac:dyDescent="0.2">
      <c r="A180" s="634" t="s">
        <v>408</v>
      </c>
      <c r="B180" s="624" t="s">
        <v>805</v>
      </c>
      <c r="C180" s="635">
        <v>3</v>
      </c>
      <c r="D180" s="635"/>
      <c r="E180" s="624" t="s">
        <v>408</v>
      </c>
      <c r="F180" s="636" t="s">
        <v>408</v>
      </c>
      <c r="G180" s="625" t="s">
        <v>408</v>
      </c>
    </row>
    <row r="181" spans="1:7" x14ac:dyDescent="0.2">
      <c r="A181" s="634" t="s">
        <v>408</v>
      </c>
      <c r="B181" s="624" t="s">
        <v>936</v>
      </c>
      <c r="C181" s="635" t="s">
        <v>408</v>
      </c>
      <c r="D181" s="635"/>
      <c r="E181" s="624" t="s">
        <v>408</v>
      </c>
      <c r="F181" s="636" t="s">
        <v>408</v>
      </c>
      <c r="G181" s="625" t="s">
        <v>408</v>
      </c>
    </row>
    <row r="182" spans="1:7" x14ac:dyDescent="0.2">
      <c r="A182" s="634" t="s">
        <v>408</v>
      </c>
      <c r="B182" s="624" t="s">
        <v>937</v>
      </c>
      <c r="C182" s="635" t="s">
        <v>408</v>
      </c>
      <c r="D182" s="635"/>
      <c r="E182" s="624" t="s">
        <v>408</v>
      </c>
      <c r="F182" s="636" t="s">
        <v>408</v>
      </c>
      <c r="G182" s="625" t="s">
        <v>408</v>
      </c>
    </row>
    <row r="183" spans="1:7" x14ac:dyDescent="0.2">
      <c r="A183" s="634" t="s">
        <v>408</v>
      </c>
      <c r="B183" s="624" t="s">
        <v>938</v>
      </c>
      <c r="C183" s="635" t="s">
        <v>408</v>
      </c>
      <c r="D183" s="635"/>
      <c r="E183" s="624" t="s">
        <v>408</v>
      </c>
      <c r="F183" s="636" t="s">
        <v>408</v>
      </c>
      <c r="G183" s="625" t="s">
        <v>408</v>
      </c>
    </row>
    <row r="184" spans="1:7" x14ac:dyDescent="0.2">
      <c r="A184" s="634" t="s">
        <v>408</v>
      </c>
      <c r="B184" s="624" t="s">
        <v>809</v>
      </c>
      <c r="C184" s="635" t="s">
        <v>408</v>
      </c>
      <c r="D184" s="635"/>
      <c r="E184" s="624" t="s">
        <v>408</v>
      </c>
      <c r="F184" s="636" t="s">
        <v>408</v>
      </c>
      <c r="G184" s="625" t="s">
        <v>408</v>
      </c>
    </row>
    <row r="185" spans="1:7" x14ac:dyDescent="0.2">
      <c r="A185" s="634" t="s">
        <v>408</v>
      </c>
      <c r="B185" s="624" t="s">
        <v>811</v>
      </c>
      <c r="C185" s="635" t="s">
        <v>408</v>
      </c>
      <c r="D185" s="635"/>
      <c r="E185" s="624" t="s">
        <v>408</v>
      </c>
      <c r="F185" s="636" t="s">
        <v>408</v>
      </c>
      <c r="G185" s="625" t="s">
        <v>408</v>
      </c>
    </row>
    <row r="186" spans="1:7" x14ac:dyDescent="0.2">
      <c r="A186" s="634" t="s">
        <v>408</v>
      </c>
      <c r="B186" s="624" t="s">
        <v>812</v>
      </c>
      <c r="C186" s="635" t="s">
        <v>408</v>
      </c>
      <c r="D186" s="635"/>
      <c r="E186" s="624" t="s">
        <v>408</v>
      </c>
      <c r="F186" s="636" t="s">
        <v>408</v>
      </c>
      <c r="G186" s="625" t="s">
        <v>408</v>
      </c>
    </row>
    <row r="187" spans="1:7" x14ac:dyDescent="0.2">
      <c r="A187" s="634" t="s">
        <v>408</v>
      </c>
      <c r="B187" s="624" t="s">
        <v>820</v>
      </c>
      <c r="C187" s="635">
        <v>1</v>
      </c>
      <c r="D187" s="635"/>
      <c r="E187" s="624" t="s">
        <v>408</v>
      </c>
      <c r="F187" s="636" t="s">
        <v>408</v>
      </c>
      <c r="G187" s="625" t="s">
        <v>408</v>
      </c>
    </row>
    <row r="188" spans="1:7" x14ac:dyDescent="0.2">
      <c r="A188" s="634" t="s">
        <v>408</v>
      </c>
      <c r="B188" s="624" t="s">
        <v>822</v>
      </c>
      <c r="C188" s="635" t="s">
        <v>408</v>
      </c>
      <c r="D188" s="635"/>
      <c r="E188" s="624" t="s">
        <v>408</v>
      </c>
      <c r="F188" s="636" t="s">
        <v>408</v>
      </c>
      <c r="G188" s="625" t="s">
        <v>408</v>
      </c>
    </row>
    <row r="189" spans="1:7" x14ac:dyDescent="0.2">
      <c r="A189" s="634" t="s">
        <v>408</v>
      </c>
      <c r="B189" s="624" t="s">
        <v>823</v>
      </c>
      <c r="C189" s="635" t="s">
        <v>408</v>
      </c>
      <c r="D189" s="635"/>
      <c r="E189" s="624" t="s">
        <v>408</v>
      </c>
      <c r="F189" s="636" t="s">
        <v>408</v>
      </c>
      <c r="G189" s="625" t="s">
        <v>408</v>
      </c>
    </row>
    <row r="190" spans="1:7" x14ac:dyDescent="0.2">
      <c r="A190" s="634" t="s">
        <v>408</v>
      </c>
      <c r="B190" s="624" t="s">
        <v>824</v>
      </c>
      <c r="C190" s="635" t="s">
        <v>408</v>
      </c>
      <c r="D190" s="635"/>
      <c r="E190" s="624" t="s">
        <v>408</v>
      </c>
      <c r="F190" s="636" t="s">
        <v>408</v>
      </c>
      <c r="G190" s="625" t="s">
        <v>408</v>
      </c>
    </row>
    <row r="191" spans="1:7" x14ac:dyDescent="0.2">
      <c r="A191" s="634" t="s">
        <v>408</v>
      </c>
      <c r="B191" s="624" t="s">
        <v>408</v>
      </c>
      <c r="C191" s="635" t="s">
        <v>408</v>
      </c>
      <c r="D191" s="635"/>
      <c r="E191" s="624" t="s">
        <v>408</v>
      </c>
      <c r="F191" s="636" t="s">
        <v>408</v>
      </c>
      <c r="G191" s="625" t="s">
        <v>408</v>
      </c>
    </row>
    <row r="192" spans="1:7" x14ac:dyDescent="0.2">
      <c r="A192" s="634" t="s">
        <v>408</v>
      </c>
      <c r="B192" s="624" t="s">
        <v>825</v>
      </c>
      <c r="C192" s="635" t="s">
        <v>408</v>
      </c>
      <c r="D192" s="635"/>
      <c r="E192" s="624" t="s">
        <v>408</v>
      </c>
      <c r="F192" s="636" t="s">
        <v>408</v>
      </c>
      <c r="G192" s="625" t="s">
        <v>408</v>
      </c>
    </row>
    <row r="193" spans="1:7" x14ac:dyDescent="0.2">
      <c r="A193" s="634" t="s">
        <v>408</v>
      </c>
      <c r="B193" s="624" t="s">
        <v>750</v>
      </c>
      <c r="C193" s="635" t="s">
        <v>408</v>
      </c>
      <c r="D193" s="635"/>
      <c r="E193" s="624" t="s">
        <v>408</v>
      </c>
      <c r="F193" s="636" t="s">
        <v>408</v>
      </c>
      <c r="G193" s="625" t="s">
        <v>408</v>
      </c>
    </row>
    <row r="194" spans="1:7" x14ac:dyDescent="0.2">
      <c r="A194" s="634" t="s">
        <v>408</v>
      </c>
      <c r="B194" s="624" t="s">
        <v>754</v>
      </c>
      <c r="C194" s="635" t="s">
        <v>408</v>
      </c>
      <c r="D194" s="635"/>
      <c r="E194" s="624" t="s">
        <v>408</v>
      </c>
      <c r="F194" s="636" t="s">
        <v>408</v>
      </c>
      <c r="G194" s="625" t="s">
        <v>408</v>
      </c>
    </row>
    <row r="195" spans="1:7" x14ac:dyDescent="0.2">
      <c r="A195" s="634" t="s">
        <v>408</v>
      </c>
      <c r="B195" s="624" t="s">
        <v>826</v>
      </c>
      <c r="C195" s="635">
        <v>1</v>
      </c>
      <c r="D195" s="635"/>
      <c r="E195" s="624" t="s">
        <v>408</v>
      </c>
      <c r="F195" s="636" t="s">
        <v>408</v>
      </c>
      <c r="G195" s="625" t="s">
        <v>408</v>
      </c>
    </row>
    <row r="196" spans="1:7" x14ac:dyDescent="0.2">
      <c r="A196" s="634" t="s">
        <v>408</v>
      </c>
      <c r="B196" s="624" t="s">
        <v>861</v>
      </c>
      <c r="C196" s="635">
        <v>1</v>
      </c>
      <c r="D196" s="635"/>
      <c r="E196" s="624" t="s">
        <v>408</v>
      </c>
      <c r="F196" s="636" t="s">
        <v>408</v>
      </c>
      <c r="G196" s="625" t="s">
        <v>408</v>
      </c>
    </row>
    <row r="197" spans="1:7" x14ac:dyDescent="0.2">
      <c r="A197" s="634" t="s">
        <v>408</v>
      </c>
      <c r="B197" s="624" t="s">
        <v>828</v>
      </c>
      <c r="C197" s="635" t="s">
        <v>408</v>
      </c>
      <c r="D197" s="635"/>
      <c r="E197" s="624" t="s">
        <v>408</v>
      </c>
      <c r="F197" s="636" t="s">
        <v>408</v>
      </c>
      <c r="G197" s="625" t="s">
        <v>408</v>
      </c>
    </row>
    <row r="198" spans="1:7" x14ac:dyDescent="0.2">
      <c r="A198" s="634" t="s">
        <v>408</v>
      </c>
      <c r="B198" s="624" t="s">
        <v>939</v>
      </c>
      <c r="C198" s="635">
        <v>1</v>
      </c>
      <c r="D198" s="635"/>
      <c r="E198" s="624" t="s">
        <v>408</v>
      </c>
      <c r="F198" s="636" t="s">
        <v>408</v>
      </c>
      <c r="G198" s="625" t="s">
        <v>408</v>
      </c>
    </row>
    <row r="199" spans="1:7" x14ac:dyDescent="0.2">
      <c r="A199" s="634" t="s">
        <v>408</v>
      </c>
      <c r="B199" s="624" t="s">
        <v>831</v>
      </c>
      <c r="C199" s="635" t="s">
        <v>408</v>
      </c>
      <c r="D199" s="635"/>
      <c r="E199" s="624" t="s">
        <v>408</v>
      </c>
      <c r="F199" s="636" t="s">
        <v>408</v>
      </c>
      <c r="G199" s="625" t="s">
        <v>408</v>
      </c>
    </row>
    <row r="200" spans="1:7" x14ac:dyDescent="0.2">
      <c r="A200" s="634" t="s">
        <v>408</v>
      </c>
      <c r="B200" s="624" t="s">
        <v>832</v>
      </c>
      <c r="C200" s="635">
        <v>1</v>
      </c>
      <c r="D200" s="635"/>
      <c r="E200" s="624" t="s">
        <v>408</v>
      </c>
      <c r="F200" s="636" t="s">
        <v>408</v>
      </c>
      <c r="G200" s="625" t="s">
        <v>408</v>
      </c>
    </row>
    <row r="201" spans="1:7" x14ac:dyDescent="0.2">
      <c r="A201" s="634" t="s">
        <v>408</v>
      </c>
      <c r="B201" s="624" t="s">
        <v>833</v>
      </c>
      <c r="C201" s="635" t="s">
        <v>408</v>
      </c>
      <c r="D201" s="635"/>
      <c r="E201" s="624" t="s">
        <v>408</v>
      </c>
      <c r="F201" s="636" t="s">
        <v>408</v>
      </c>
      <c r="G201" s="625" t="s">
        <v>408</v>
      </c>
    </row>
    <row r="202" spans="1:7" x14ac:dyDescent="0.2">
      <c r="A202" s="634" t="s">
        <v>408</v>
      </c>
      <c r="B202" s="624" t="s">
        <v>862</v>
      </c>
      <c r="C202" s="635">
        <v>1</v>
      </c>
      <c r="D202" s="635"/>
      <c r="E202" s="624" t="s">
        <v>408</v>
      </c>
      <c r="F202" s="636" t="s">
        <v>408</v>
      </c>
      <c r="G202" s="625" t="s">
        <v>408</v>
      </c>
    </row>
    <row r="203" spans="1:7" x14ac:dyDescent="0.2">
      <c r="A203" s="634" t="s">
        <v>408</v>
      </c>
      <c r="B203" s="624" t="s">
        <v>831</v>
      </c>
      <c r="C203" s="635" t="s">
        <v>408</v>
      </c>
      <c r="D203" s="635"/>
      <c r="E203" s="624" t="s">
        <v>408</v>
      </c>
      <c r="F203" s="636" t="s">
        <v>408</v>
      </c>
      <c r="G203" s="625" t="s">
        <v>408</v>
      </c>
    </row>
    <row r="204" spans="1:7" x14ac:dyDescent="0.2">
      <c r="A204" s="634" t="s">
        <v>408</v>
      </c>
      <c r="B204" s="624" t="s">
        <v>940</v>
      </c>
      <c r="C204" s="635">
        <v>1</v>
      </c>
      <c r="D204" s="635"/>
      <c r="E204" s="624" t="s">
        <v>408</v>
      </c>
      <c r="F204" s="636" t="s">
        <v>408</v>
      </c>
      <c r="G204" s="625" t="s">
        <v>408</v>
      </c>
    </row>
    <row r="205" spans="1:7" x14ac:dyDescent="0.2">
      <c r="A205" s="634"/>
      <c r="B205" s="624"/>
      <c r="C205" s="635"/>
      <c r="D205" s="635"/>
      <c r="E205" s="624"/>
      <c r="F205" s="636"/>
      <c r="G205" s="625"/>
    </row>
    <row r="206" spans="1:7" x14ac:dyDescent="0.2">
      <c r="A206" s="634" t="s">
        <v>408</v>
      </c>
      <c r="B206" s="624" t="s">
        <v>834</v>
      </c>
      <c r="C206" s="635" t="s">
        <v>408</v>
      </c>
      <c r="D206" s="635"/>
      <c r="E206" s="624" t="s">
        <v>408</v>
      </c>
      <c r="F206" s="636" t="s">
        <v>408</v>
      </c>
      <c r="G206" s="625" t="s">
        <v>408</v>
      </c>
    </row>
    <row r="207" spans="1:7" x14ac:dyDescent="0.2">
      <c r="A207" s="634" t="s">
        <v>408</v>
      </c>
      <c r="B207" s="624" t="s">
        <v>864</v>
      </c>
      <c r="C207" s="635">
        <v>1</v>
      </c>
      <c r="D207" s="635"/>
      <c r="E207" s="624" t="s">
        <v>408</v>
      </c>
      <c r="F207" s="636" t="s">
        <v>408</v>
      </c>
      <c r="G207" s="625" t="s">
        <v>408</v>
      </c>
    </row>
    <row r="208" spans="1:7" x14ac:dyDescent="0.2">
      <c r="A208" s="634" t="s">
        <v>408</v>
      </c>
      <c r="B208" s="624" t="s">
        <v>941</v>
      </c>
      <c r="C208" s="635">
        <v>1</v>
      </c>
      <c r="D208" s="635"/>
      <c r="E208" s="624" t="s">
        <v>408</v>
      </c>
      <c r="F208" s="636" t="s">
        <v>408</v>
      </c>
      <c r="G208" s="625" t="s">
        <v>408</v>
      </c>
    </row>
    <row r="209" spans="1:7" x14ac:dyDescent="0.2">
      <c r="A209" s="634" t="s">
        <v>408</v>
      </c>
      <c r="B209" s="624" t="s">
        <v>942</v>
      </c>
      <c r="C209" s="635" t="s">
        <v>408</v>
      </c>
      <c r="D209" s="635"/>
      <c r="E209" s="624" t="s">
        <v>408</v>
      </c>
      <c r="F209" s="636" t="s">
        <v>408</v>
      </c>
      <c r="G209" s="625" t="s">
        <v>408</v>
      </c>
    </row>
    <row r="210" spans="1:7" x14ac:dyDescent="0.2">
      <c r="A210" s="634" t="s">
        <v>408</v>
      </c>
      <c r="B210" s="624" t="s">
        <v>908</v>
      </c>
      <c r="C210" s="635">
        <v>1</v>
      </c>
      <c r="D210" s="635"/>
      <c r="E210" s="624" t="s">
        <v>408</v>
      </c>
      <c r="F210" s="636" t="s">
        <v>408</v>
      </c>
      <c r="G210" s="625" t="s">
        <v>408</v>
      </c>
    </row>
    <row r="211" spans="1:7" x14ac:dyDescent="0.2">
      <c r="A211" s="634" t="s">
        <v>408</v>
      </c>
      <c r="B211" s="624" t="s">
        <v>909</v>
      </c>
      <c r="C211" s="635" t="s">
        <v>408</v>
      </c>
      <c r="D211" s="635"/>
      <c r="E211" s="624" t="s">
        <v>408</v>
      </c>
      <c r="F211" s="636" t="s">
        <v>408</v>
      </c>
      <c r="G211" s="625" t="s">
        <v>408</v>
      </c>
    </row>
    <row r="212" spans="1:7" x14ac:dyDescent="0.2">
      <c r="A212" s="634" t="s">
        <v>408</v>
      </c>
      <c r="B212" s="624" t="s">
        <v>408</v>
      </c>
      <c r="C212" s="635" t="s">
        <v>408</v>
      </c>
      <c r="D212" s="635"/>
      <c r="E212" s="624" t="s">
        <v>408</v>
      </c>
      <c r="F212" s="636" t="s">
        <v>408</v>
      </c>
      <c r="G212" s="625" t="s">
        <v>408</v>
      </c>
    </row>
    <row r="213" spans="1:7" x14ac:dyDescent="0.2">
      <c r="A213" s="634" t="s">
        <v>408</v>
      </c>
      <c r="B213" s="624" t="s">
        <v>840</v>
      </c>
      <c r="C213" s="635" t="s">
        <v>408</v>
      </c>
      <c r="D213" s="635"/>
      <c r="E213" s="624" t="s">
        <v>408</v>
      </c>
      <c r="F213" s="636" t="s">
        <v>408</v>
      </c>
      <c r="G213" s="625" t="s">
        <v>408</v>
      </c>
    </row>
    <row r="214" spans="1:7" x14ac:dyDescent="0.2">
      <c r="A214" s="634" t="s">
        <v>408</v>
      </c>
      <c r="B214" s="624" t="s">
        <v>841</v>
      </c>
      <c r="C214" s="635" t="s">
        <v>408</v>
      </c>
      <c r="D214" s="635"/>
      <c r="E214" s="624" t="s">
        <v>408</v>
      </c>
      <c r="F214" s="636" t="s">
        <v>408</v>
      </c>
      <c r="G214" s="625" t="s">
        <v>408</v>
      </c>
    </row>
    <row r="215" spans="1:7" x14ac:dyDescent="0.2">
      <c r="A215" s="634" t="s">
        <v>408</v>
      </c>
      <c r="B215" s="624" t="s">
        <v>794</v>
      </c>
      <c r="C215" s="635" t="s">
        <v>408</v>
      </c>
      <c r="D215" s="635"/>
      <c r="E215" s="624" t="s">
        <v>408</v>
      </c>
      <c r="F215" s="636" t="s">
        <v>408</v>
      </c>
      <c r="G215" s="625" t="s">
        <v>408</v>
      </c>
    </row>
    <row r="216" spans="1:7" x14ac:dyDescent="0.2">
      <c r="A216" s="634" t="s">
        <v>408</v>
      </c>
      <c r="B216" s="624" t="s">
        <v>843</v>
      </c>
      <c r="C216" s="635">
        <v>1</v>
      </c>
      <c r="D216" s="635"/>
      <c r="E216" s="624" t="s">
        <v>408</v>
      </c>
      <c r="F216" s="636" t="s">
        <v>408</v>
      </c>
      <c r="G216" s="625" t="s">
        <v>408</v>
      </c>
    </row>
    <row r="217" spans="1:7" x14ac:dyDescent="0.2">
      <c r="A217" s="634" t="s">
        <v>408</v>
      </c>
      <c r="B217" s="624" t="s">
        <v>943</v>
      </c>
      <c r="C217" s="635">
        <v>1</v>
      </c>
      <c r="D217" s="635"/>
      <c r="E217" s="624" t="s">
        <v>408</v>
      </c>
      <c r="F217" s="636" t="s">
        <v>408</v>
      </c>
      <c r="G217" s="625" t="s">
        <v>408</v>
      </c>
    </row>
    <row r="218" spans="1:7" x14ac:dyDescent="0.2">
      <c r="A218" s="634" t="s">
        <v>408</v>
      </c>
      <c r="B218" s="624" t="s">
        <v>844</v>
      </c>
      <c r="C218" s="635">
        <v>1</v>
      </c>
      <c r="D218" s="635"/>
      <c r="E218" s="624" t="s">
        <v>408</v>
      </c>
      <c r="F218" s="636" t="s">
        <v>408</v>
      </c>
      <c r="G218" s="625" t="s">
        <v>408</v>
      </c>
    </row>
    <row r="219" spans="1:7" x14ac:dyDescent="0.2">
      <c r="A219" s="634" t="s">
        <v>408</v>
      </c>
      <c r="B219" s="624" t="s">
        <v>845</v>
      </c>
      <c r="C219" s="635">
        <v>1</v>
      </c>
      <c r="D219" s="635"/>
      <c r="E219" s="624" t="s">
        <v>408</v>
      </c>
      <c r="F219" s="636" t="s">
        <v>408</v>
      </c>
      <c r="G219" s="625" t="s">
        <v>408</v>
      </c>
    </row>
    <row r="220" spans="1:7" x14ac:dyDescent="0.2">
      <c r="A220" s="634"/>
      <c r="B220" s="624" t="s">
        <v>846</v>
      </c>
      <c r="C220" s="639"/>
      <c r="D220" s="639"/>
      <c r="E220" s="624"/>
      <c r="F220" s="636"/>
      <c r="G220" s="625"/>
    </row>
    <row r="221" spans="1:7" x14ac:dyDescent="0.2">
      <c r="A221" s="640"/>
      <c r="B221" s="626"/>
      <c r="C221" s="644"/>
      <c r="D221" s="644"/>
      <c r="E221" s="626"/>
      <c r="F221" s="643"/>
      <c r="G221" s="627"/>
    </row>
    <row r="222" spans="1:7" x14ac:dyDescent="0.2">
      <c r="A222" s="634" t="s">
        <v>944</v>
      </c>
      <c r="B222" s="624" t="s">
        <v>746</v>
      </c>
      <c r="C222" s="635" t="s">
        <v>408</v>
      </c>
      <c r="D222" s="635"/>
      <c r="E222" s="624" t="s">
        <v>747</v>
      </c>
      <c r="F222" s="636">
        <v>15</v>
      </c>
      <c r="G222" s="625" t="s">
        <v>760</v>
      </c>
    </row>
    <row r="223" spans="1:7" x14ac:dyDescent="0.2">
      <c r="A223" s="634" t="s">
        <v>408</v>
      </c>
      <c r="B223" s="624" t="s">
        <v>750</v>
      </c>
      <c r="C223" s="635" t="s">
        <v>408</v>
      </c>
      <c r="D223" s="635"/>
      <c r="E223" s="624" t="s">
        <v>751</v>
      </c>
      <c r="F223" s="636"/>
      <c r="G223" s="625" t="s">
        <v>776</v>
      </c>
    </row>
    <row r="224" spans="1:7" x14ac:dyDescent="0.2">
      <c r="A224" s="634" t="s">
        <v>408</v>
      </c>
      <c r="B224" s="624" t="s">
        <v>754</v>
      </c>
      <c r="C224" s="635" t="s">
        <v>408</v>
      </c>
      <c r="D224" s="635"/>
      <c r="E224" s="624" t="s">
        <v>896</v>
      </c>
      <c r="F224" s="636"/>
      <c r="G224" s="625" t="s">
        <v>779</v>
      </c>
    </row>
    <row r="225" spans="1:7" x14ac:dyDescent="0.2">
      <c r="A225" s="634" t="s">
        <v>408</v>
      </c>
      <c r="B225" s="624" t="s">
        <v>758</v>
      </c>
      <c r="C225" s="635">
        <v>2</v>
      </c>
      <c r="D225" s="635"/>
      <c r="E225" s="624" t="s">
        <v>771</v>
      </c>
      <c r="F225" s="636"/>
      <c r="G225" s="625" t="s">
        <v>949</v>
      </c>
    </row>
    <row r="226" spans="1:7" x14ac:dyDescent="0.2">
      <c r="A226" s="634" t="s">
        <v>408</v>
      </c>
      <c r="B226" s="624" t="s">
        <v>762</v>
      </c>
      <c r="C226" s="635">
        <v>1</v>
      </c>
      <c r="D226" s="635"/>
      <c r="E226" s="624" t="s">
        <v>767</v>
      </c>
      <c r="F226" s="636"/>
      <c r="G226" s="625" t="s">
        <v>764</v>
      </c>
    </row>
    <row r="227" spans="1:7" x14ac:dyDescent="0.2">
      <c r="A227" s="634" t="s">
        <v>408</v>
      </c>
      <c r="B227" s="624" t="s">
        <v>766</v>
      </c>
      <c r="C227" s="635">
        <v>1</v>
      </c>
      <c r="D227" s="635"/>
      <c r="E227" s="624" t="s">
        <v>408</v>
      </c>
      <c r="F227" s="636"/>
      <c r="G227" s="625" t="s">
        <v>408</v>
      </c>
    </row>
    <row r="228" spans="1:7" x14ac:dyDescent="0.2">
      <c r="A228" s="634" t="s">
        <v>408</v>
      </c>
      <c r="B228" s="624" t="s">
        <v>781</v>
      </c>
      <c r="C228" s="635">
        <v>1</v>
      </c>
      <c r="D228" s="635"/>
      <c r="E228" s="624" t="s">
        <v>785</v>
      </c>
      <c r="F228" s="636"/>
      <c r="G228" s="625" t="s">
        <v>408</v>
      </c>
    </row>
    <row r="229" spans="1:7" x14ac:dyDescent="0.2">
      <c r="A229" s="634" t="s">
        <v>408</v>
      </c>
      <c r="B229" s="624" t="s">
        <v>956</v>
      </c>
      <c r="C229" s="635">
        <v>1</v>
      </c>
      <c r="D229" s="635"/>
      <c r="E229" s="624" t="s">
        <v>788</v>
      </c>
      <c r="F229" s="636"/>
      <c r="G229" s="625" t="s">
        <v>408</v>
      </c>
    </row>
    <row r="230" spans="1:7" x14ac:dyDescent="0.2">
      <c r="A230" s="634" t="s">
        <v>408</v>
      </c>
      <c r="B230" s="624" t="s">
        <v>774</v>
      </c>
      <c r="C230" s="635">
        <v>1</v>
      </c>
      <c r="D230" s="635"/>
      <c r="E230" s="624" t="s">
        <v>791</v>
      </c>
      <c r="F230" s="636"/>
      <c r="G230" s="625" t="s">
        <v>408</v>
      </c>
    </row>
    <row r="231" spans="1:7" x14ac:dyDescent="0.2">
      <c r="A231" s="634" t="s">
        <v>408</v>
      </c>
      <c r="B231" s="624" t="s">
        <v>778</v>
      </c>
      <c r="C231" s="635">
        <v>1</v>
      </c>
      <c r="D231" s="635"/>
      <c r="E231" s="624" t="s">
        <v>794</v>
      </c>
      <c r="F231" s="636"/>
      <c r="G231" s="625" t="s">
        <v>408</v>
      </c>
    </row>
    <row r="232" spans="1:7" x14ac:dyDescent="0.2">
      <c r="A232" s="634" t="s">
        <v>408</v>
      </c>
      <c r="B232" s="624" t="s">
        <v>961</v>
      </c>
      <c r="C232" s="635">
        <v>1</v>
      </c>
      <c r="D232" s="635"/>
      <c r="E232" s="624" t="s">
        <v>962</v>
      </c>
      <c r="F232" s="636"/>
      <c r="G232" s="625" t="s">
        <v>408</v>
      </c>
    </row>
    <row r="233" spans="1:7" x14ac:dyDescent="0.2">
      <c r="A233" s="634" t="s">
        <v>408</v>
      </c>
      <c r="B233" s="624" t="s">
        <v>964</v>
      </c>
      <c r="C233" s="635" t="s">
        <v>408</v>
      </c>
      <c r="D233" s="635"/>
      <c r="E233" s="624" t="s">
        <v>853</v>
      </c>
      <c r="F233" s="636"/>
      <c r="G233" s="625" t="s">
        <v>408</v>
      </c>
    </row>
    <row r="234" spans="1:7" x14ac:dyDescent="0.2">
      <c r="A234" s="634" t="s">
        <v>408</v>
      </c>
      <c r="B234" s="624" t="s">
        <v>784</v>
      </c>
      <c r="C234" s="635">
        <v>1</v>
      </c>
      <c r="D234" s="635"/>
      <c r="E234" s="624"/>
      <c r="F234" s="636"/>
      <c r="G234" s="625" t="s">
        <v>408</v>
      </c>
    </row>
    <row r="235" spans="1:7" x14ac:dyDescent="0.2">
      <c r="A235" s="634" t="s">
        <v>408</v>
      </c>
      <c r="B235" s="624" t="s">
        <v>787</v>
      </c>
      <c r="C235" s="635">
        <v>1</v>
      </c>
      <c r="D235" s="635"/>
      <c r="E235" s="624" t="s">
        <v>813</v>
      </c>
      <c r="F235" s="636"/>
      <c r="G235" s="625" t="s">
        <v>408</v>
      </c>
    </row>
    <row r="236" spans="1:7" x14ac:dyDescent="0.2">
      <c r="A236" s="634" t="s">
        <v>408</v>
      </c>
      <c r="B236" s="624" t="s">
        <v>793</v>
      </c>
      <c r="C236" s="635">
        <v>1</v>
      </c>
      <c r="D236" s="635"/>
      <c r="E236" s="624" t="s">
        <v>815</v>
      </c>
      <c r="F236" s="636"/>
      <c r="G236" s="625" t="s">
        <v>408</v>
      </c>
    </row>
    <row r="237" spans="1:7" x14ac:dyDescent="0.2">
      <c r="A237" s="637" t="s">
        <v>408</v>
      </c>
      <c r="B237" s="638" t="s">
        <v>854</v>
      </c>
      <c r="C237" s="635">
        <v>3</v>
      </c>
      <c r="D237" s="635"/>
      <c r="E237" s="624" t="s">
        <v>817</v>
      </c>
      <c r="F237" s="636"/>
      <c r="G237" s="625" t="s">
        <v>408</v>
      </c>
    </row>
    <row r="238" spans="1:7" x14ac:dyDescent="0.2">
      <c r="A238" s="634" t="s">
        <v>408</v>
      </c>
      <c r="B238" s="624" t="s">
        <v>856</v>
      </c>
      <c r="C238" s="635" t="s">
        <v>408</v>
      </c>
      <c r="D238" s="635"/>
      <c r="E238" s="624" t="s">
        <v>819</v>
      </c>
      <c r="F238" s="636"/>
      <c r="G238" s="625" t="s">
        <v>408</v>
      </c>
    </row>
    <row r="239" spans="1:7" x14ac:dyDescent="0.2">
      <c r="A239" s="634" t="s">
        <v>408</v>
      </c>
      <c r="B239" s="624" t="s">
        <v>820</v>
      </c>
      <c r="C239" s="635">
        <v>1</v>
      </c>
      <c r="D239" s="635"/>
      <c r="E239" s="624" t="s">
        <v>821</v>
      </c>
      <c r="F239" s="636"/>
      <c r="G239" s="625" t="s">
        <v>408</v>
      </c>
    </row>
    <row r="240" spans="1:7" x14ac:dyDescent="0.2">
      <c r="A240" s="634" t="s">
        <v>408</v>
      </c>
      <c r="B240" s="624" t="s">
        <v>822</v>
      </c>
      <c r="C240" s="635" t="s">
        <v>408</v>
      </c>
      <c r="D240" s="635"/>
      <c r="E240" s="624" t="s">
        <v>974</v>
      </c>
      <c r="F240" s="636"/>
      <c r="G240" s="625" t="s">
        <v>408</v>
      </c>
    </row>
    <row r="241" spans="1:7" x14ac:dyDescent="0.2">
      <c r="A241" s="634" t="s">
        <v>408</v>
      </c>
      <c r="B241" s="624" t="s">
        <v>823</v>
      </c>
      <c r="C241" s="635" t="s">
        <v>408</v>
      </c>
      <c r="D241" s="635"/>
      <c r="E241" s="624" t="s">
        <v>408</v>
      </c>
      <c r="F241" s="636" t="s">
        <v>408</v>
      </c>
      <c r="G241" s="625" t="s">
        <v>408</v>
      </c>
    </row>
    <row r="242" spans="1:7" x14ac:dyDescent="0.2">
      <c r="A242" s="634" t="s">
        <v>408</v>
      </c>
      <c r="B242" s="624" t="s">
        <v>824</v>
      </c>
      <c r="C242" s="635" t="s">
        <v>408</v>
      </c>
      <c r="D242" s="635"/>
      <c r="E242" s="624" t="s">
        <v>408</v>
      </c>
      <c r="F242" s="636" t="s">
        <v>408</v>
      </c>
      <c r="G242" s="625" t="s">
        <v>408</v>
      </c>
    </row>
    <row r="243" spans="1:7" x14ac:dyDescent="0.2">
      <c r="A243" s="634" t="s">
        <v>408</v>
      </c>
      <c r="B243" s="624" t="s">
        <v>978</v>
      </c>
      <c r="C243" s="635">
        <v>1</v>
      </c>
      <c r="D243" s="635"/>
      <c r="E243" s="624" t="s">
        <v>408</v>
      </c>
      <c r="F243" s="636" t="s">
        <v>408</v>
      </c>
      <c r="G243" s="625" t="s">
        <v>408</v>
      </c>
    </row>
    <row r="244" spans="1:7" x14ac:dyDescent="0.2">
      <c r="A244" s="634" t="s">
        <v>408</v>
      </c>
      <c r="B244" s="624" t="s">
        <v>807</v>
      </c>
      <c r="C244" s="635" t="s">
        <v>408</v>
      </c>
      <c r="D244" s="635"/>
      <c r="E244" s="624" t="s">
        <v>408</v>
      </c>
      <c r="F244" s="636" t="s">
        <v>408</v>
      </c>
      <c r="G244" s="625" t="s">
        <v>408</v>
      </c>
    </row>
    <row r="245" spans="1:7" x14ac:dyDescent="0.2">
      <c r="A245" s="634" t="s">
        <v>408</v>
      </c>
      <c r="B245" s="624" t="s">
        <v>809</v>
      </c>
      <c r="C245" s="635" t="s">
        <v>408</v>
      </c>
      <c r="D245" s="635"/>
      <c r="E245" s="624" t="s">
        <v>408</v>
      </c>
      <c r="F245" s="636" t="s">
        <v>408</v>
      </c>
      <c r="G245" s="625" t="s">
        <v>408</v>
      </c>
    </row>
    <row r="246" spans="1:7" x14ac:dyDescent="0.2">
      <c r="A246" s="634" t="s">
        <v>408</v>
      </c>
      <c r="B246" s="624" t="s">
        <v>811</v>
      </c>
      <c r="C246" s="635" t="s">
        <v>408</v>
      </c>
      <c r="D246" s="635"/>
      <c r="E246" s="624" t="s">
        <v>408</v>
      </c>
      <c r="F246" s="636" t="s">
        <v>408</v>
      </c>
      <c r="G246" s="625" t="s">
        <v>408</v>
      </c>
    </row>
    <row r="247" spans="1:7" x14ac:dyDescent="0.2">
      <c r="A247" s="634" t="s">
        <v>408</v>
      </c>
      <c r="B247" s="624" t="s">
        <v>812</v>
      </c>
      <c r="C247" s="635" t="s">
        <v>408</v>
      </c>
      <c r="D247" s="635"/>
      <c r="E247" s="624" t="s">
        <v>408</v>
      </c>
      <c r="F247" s="636" t="s">
        <v>408</v>
      </c>
      <c r="G247" s="625" t="s">
        <v>408</v>
      </c>
    </row>
    <row r="248" spans="1:7" x14ac:dyDescent="0.2">
      <c r="A248" s="634" t="s">
        <v>408</v>
      </c>
      <c r="B248" s="624" t="s">
        <v>790</v>
      </c>
      <c r="C248" s="635">
        <v>1</v>
      </c>
      <c r="D248" s="635"/>
      <c r="E248" s="624" t="s">
        <v>408</v>
      </c>
      <c r="F248" s="636" t="s">
        <v>408</v>
      </c>
      <c r="G248" s="625" t="s">
        <v>408</v>
      </c>
    </row>
    <row r="249" spans="1:7" x14ac:dyDescent="0.2">
      <c r="A249" s="637" t="s">
        <v>408</v>
      </c>
      <c r="B249" s="638" t="s">
        <v>985</v>
      </c>
      <c r="C249" s="635">
        <v>1</v>
      </c>
      <c r="D249" s="635"/>
      <c r="E249" s="624" t="s">
        <v>408</v>
      </c>
      <c r="F249" s="636" t="s">
        <v>408</v>
      </c>
      <c r="G249" s="625" t="s">
        <v>408</v>
      </c>
    </row>
    <row r="250" spans="1:7" x14ac:dyDescent="0.2">
      <c r="A250" s="634" t="s">
        <v>408</v>
      </c>
      <c r="B250" s="624" t="s">
        <v>822</v>
      </c>
      <c r="C250" s="635" t="s">
        <v>408</v>
      </c>
      <c r="D250" s="635"/>
      <c r="E250" s="624" t="s">
        <v>408</v>
      </c>
      <c r="F250" s="636" t="s">
        <v>408</v>
      </c>
      <c r="G250" s="625" t="s">
        <v>408</v>
      </c>
    </row>
    <row r="251" spans="1:7" x14ac:dyDescent="0.2">
      <c r="A251" s="634" t="s">
        <v>408</v>
      </c>
      <c r="B251" s="624" t="s">
        <v>986</v>
      </c>
      <c r="C251" s="635" t="s">
        <v>408</v>
      </c>
      <c r="D251" s="635"/>
      <c r="E251" s="624" t="s">
        <v>408</v>
      </c>
      <c r="F251" s="636" t="s">
        <v>408</v>
      </c>
      <c r="G251" s="625" t="s">
        <v>408</v>
      </c>
    </row>
    <row r="252" spans="1:7" x14ac:dyDescent="0.2">
      <c r="A252" s="634" t="s">
        <v>408</v>
      </c>
      <c r="B252" s="624" t="s">
        <v>987</v>
      </c>
      <c r="C252" s="635" t="s">
        <v>408</v>
      </c>
      <c r="D252" s="635"/>
      <c r="E252" s="624" t="s">
        <v>408</v>
      </c>
      <c r="F252" s="636" t="s">
        <v>408</v>
      </c>
      <c r="G252" s="625" t="s">
        <v>408</v>
      </c>
    </row>
    <row r="253" spans="1:7" x14ac:dyDescent="0.2">
      <c r="A253" s="634" t="s">
        <v>408</v>
      </c>
      <c r="B253" s="624" t="s">
        <v>988</v>
      </c>
      <c r="C253" s="635" t="s">
        <v>408</v>
      </c>
      <c r="D253" s="635"/>
      <c r="E253" s="624" t="s">
        <v>408</v>
      </c>
      <c r="F253" s="636" t="s">
        <v>408</v>
      </c>
      <c r="G253" s="625" t="s">
        <v>408</v>
      </c>
    </row>
    <row r="254" spans="1:7" x14ac:dyDescent="0.2">
      <c r="A254" s="634" t="s">
        <v>408</v>
      </c>
      <c r="B254" s="624" t="s">
        <v>989</v>
      </c>
      <c r="C254" s="635">
        <v>1</v>
      </c>
      <c r="D254" s="635"/>
      <c r="E254" s="624" t="s">
        <v>408</v>
      </c>
      <c r="F254" s="636" t="s">
        <v>408</v>
      </c>
      <c r="G254" s="625" t="s">
        <v>408</v>
      </c>
    </row>
    <row r="255" spans="1:7" x14ac:dyDescent="0.2">
      <c r="A255" s="634" t="s">
        <v>408</v>
      </c>
      <c r="B255" s="624" t="s">
        <v>990</v>
      </c>
      <c r="C255" s="635">
        <v>1</v>
      </c>
      <c r="D255" s="635"/>
      <c r="E255" s="624" t="s">
        <v>408</v>
      </c>
      <c r="F255" s="636" t="s">
        <v>408</v>
      </c>
      <c r="G255" s="625" t="s">
        <v>408</v>
      </c>
    </row>
    <row r="256" spans="1:7" x14ac:dyDescent="0.2">
      <c r="A256" s="634" t="s">
        <v>408</v>
      </c>
      <c r="B256" s="624" t="s">
        <v>991</v>
      </c>
      <c r="C256" s="635">
        <v>1</v>
      </c>
      <c r="D256" s="635"/>
      <c r="E256" s="624" t="s">
        <v>408</v>
      </c>
      <c r="F256" s="636" t="s">
        <v>408</v>
      </c>
      <c r="G256" s="625" t="s">
        <v>408</v>
      </c>
    </row>
    <row r="257" spans="1:7" x14ac:dyDescent="0.2">
      <c r="A257" s="634" t="s">
        <v>408</v>
      </c>
      <c r="B257" s="624" t="s">
        <v>992</v>
      </c>
      <c r="C257" s="635" t="s">
        <v>408</v>
      </c>
      <c r="D257" s="635"/>
      <c r="E257" s="624" t="s">
        <v>408</v>
      </c>
      <c r="F257" s="636" t="s">
        <v>408</v>
      </c>
      <c r="G257" s="625" t="s">
        <v>408</v>
      </c>
    </row>
    <row r="258" spans="1:7" x14ac:dyDescent="0.2">
      <c r="A258" s="634" t="s">
        <v>408</v>
      </c>
      <c r="B258" s="624" t="s">
        <v>993</v>
      </c>
      <c r="C258" s="635" t="s">
        <v>408</v>
      </c>
      <c r="D258" s="635"/>
      <c r="E258" s="624" t="s">
        <v>408</v>
      </c>
      <c r="F258" s="636" t="s">
        <v>408</v>
      </c>
      <c r="G258" s="625" t="s">
        <v>408</v>
      </c>
    </row>
    <row r="259" spans="1:7" x14ac:dyDescent="0.2">
      <c r="A259" s="634" t="s">
        <v>408</v>
      </c>
      <c r="B259" s="624" t="s">
        <v>408</v>
      </c>
      <c r="C259" s="635" t="s">
        <v>408</v>
      </c>
      <c r="D259" s="635"/>
      <c r="E259" s="624" t="s">
        <v>408</v>
      </c>
      <c r="F259" s="636" t="s">
        <v>408</v>
      </c>
      <c r="G259" s="625" t="s">
        <v>408</v>
      </c>
    </row>
    <row r="260" spans="1:7" x14ac:dyDescent="0.2">
      <c r="A260" s="634" t="s">
        <v>408</v>
      </c>
      <c r="B260" s="624" t="s">
        <v>825</v>
      </c>
      <c r="C260" s="635" t="s">
        <v>408</v>
      </c>
      <c r="D260" s="635"/>
      <c r="E260" s="624" t="s">
        <v>408</v>
      </c>
      <c r="F260" s="636" t="s">
        <v>408</v>
      </c>
      <c r="G260" s="625" t="s">
        <v>408</v>
      </c>
    </row>
    <row r="261" spans="1:7" x14ac:dyDescent="0.2">
      <c r="A261" s="634" t="s">
        <v>408</v>
      </c>
      <c r="B261" s="624" t="s">
        <v>750</v>
      </c>
      <c r="C261" s="635" t="s">
        <v>408</v>
      </c>
      <c r="D261" s="635"/>
      <c r="E261" s="624" t="s">
        <v>408</v>
      </c>
      <c r="F261" s="636" t="s">
        <v>408</v>
      </c>
      <c r="G261" s="625" t="s">
        <v>408</v>
      </c>
    </row>
    <row r="262" spans="1:7" x14ac:dyDescent="0.2">
      <c r="A262" s="634" t="s">
        <v>408</v>
      </c>
      <c r="B262" s="624" t="s">
        <v>754</v>
      </c>
      <c r="C262" s="635" t="s">
        <v>408</v>
      </c>
      <c r="D262" s="635"/>
      <c r="E262" s="624" t="s">
        <v>408</v>
      </c>
      <c r="F262" s="636" t="s">
        <v>408</v>
      </c>
      <c r="G262" s="625" t="s">
        <v>408</v>
      </c>
    </row>
    <row r="263" spans="1:7" x14ac:dyDescent="0.2">
      <c r="A263" s="634" t="s">
        <v>408</v>
      </c>
      <c r="B263" s="624" t="s">
        <v>826</v>
      </c>
      <c r="C263" s="635">
        <v>1</v>
      </c>
      <c r="D263" s="635"/>
      <c r="E263" s="624" t="s">
        <v>408</v>
      </c>
      <c r="F263" s="636" t="s">
        <v>408</v>
      </c>
      <c r="G263" s="625" t="s">
        <v>408</v>
      </c>
    </row>
    <row r="264" spans="1:7" x14ac:dyDescent="0.2">
      <c r="A264" s="634" t="s">
        <v>408</v>
      </c>
      <c r="B264" s="624" t="s">
        <v>832</v>
      </c>
      <c r="C264" s="635">
        <v>1</v>
      </c>
      <c r="D264" s="635"/>
      <c r="E264" s="624" t="s">
        <v>408</v>
      </c>
      <c r="F264" s="636" t="s">
        <v>408</v>
      </c>
      <c r="G264" s="625" t="s">
        <v>408</v>
      </c>
    </row>
    <row r="265" spans="1:7" x14ac:dyDescent="0.2">
      <c r="A265" s="634" t="s">
        <v>408</v>
      </c>
      <c r="B265" s="624" t="s">
        <v>833</v>
      </c>
      <c r="C265" s="635" t="s">
        <v>408</v>
      </c>
      <c r="D265" s="635"/>
      <c r="E265" s="624" t="s">
        <v>408</v>
      </c>
      <c r="F265" s="636" t="s">
        <v>408</v>
      </c>
      <c r="G265" s="625" t="s">
        <v>408</v>
      </c>
    </row>
    <row r="266" spans="1:7" x14ac:dyDescent="0.2">
      <c r="A266" s="634" t="s">
        <v>408</v>
      </c>
      <c r="B266" s="624" t="s">
        <v>939</v>
      </c>
      <c r="C266" s="635">
        <v>1</v>
      </c>
      <c r="D266" s="635"/>
      <c r="E266" s="624" t="s">
        <v>408</v>
      </c>
      <c r="F266" s="636" t="s">
        <v>408</v>
      </c>
      <c r="G266" s="625" t="s">
        <v>408</v>
      </c>
    </row>
    <row r="267" spans="1:7" x14ac:dyDescent="0.2">
      <c r="A267" s="634" t="s">
        <v>408</v>
      </c>
      <c r="B267" s="624" t="s">
        <v>831</v>
      </c>
      <c r="C267" s="635" t="s">
        <v>408</v>
      </c>
      <c r="D267" s="635"/>
      <c r="E267" s="624" t="s">
        <v>408</v>
      </c>
      <c r="F267" s="636" t="s">
        <v>408</v>
      </c>
      <c r="G267" s="625" t="s">
        <v>408</v>
      </c>
    </row>
    <row r="268" spans="1:7" x14ac:dyDescent="0.2">
      <c r="A268" s="634" t="s">
        <v>408</v>
      </c>
      <c r="B268" s="624" t="s">
        <v>908</v>
      </c>
      <c r="C268" s="635">
        <v>1</v>
      </c>
      <c r="D268" s="635"/>
      <c r="E268" s="624" t="s">
        <v>408</v>
      </c>
      <c r="F268" s="636" t="s">
        <v>408</v>
      </c>
      <c r="G268" s="625" t="s">
        <v>408</v>
      </c>
    </row>
    <row r="269" spans="1:7" x14ac:dyDescent="0.2">
      <c r="A269" s="634" t="s">
        <v>408</v>
      </c>
      <c r="B269" s="624" t="s">
        <v>994</v>
      </c>
      <c r="C269" s="635" t="s">
        <v>408</v>
      </c>
      <c r="D269" s="635"/>
      <c r="E269" s="624" t="s">
        <v>408</v>
      </c>
      <c r="F269" s="636" t="s">
        <v>408</v>
      </c>
      <c r="G269" s="625" t="s">
        <v>408</v>
      </c>
    </row>
    <row r="270" spans="1:7" x14ac:dyDescent="0.2">
      <c r="A270" s="634" t="s">
        <v>408</v>
      </c>
      <c r="B270" s="624" t="s">
        <v>827</v>
      </c>
      <c r="C270" s="635">
        <v>1</v>
      </c>
      <c r="D270" s="635"/>
      <c r="E270" s="624" t="s">
        <v>408</v>
      </c>
      <c r="F270" s="636" t="s">
        <v>408</v>
      </c>
      <c r="G270" s="625" t="s">
        <v>408</v>
      </c>
    </row>
    <row r="271" spans="1:7" x14ac:dyDescent="0.2">
      <c r="A271" s="634" t="s">
        <v>408</v>
      </c>
      <c r="B271" s="624" t="s">
        <v>828</v>
      </c>
      <c r="C271" s="635" t="s">
        <v>408</v>
      </c>
      <c r="D271" s="635"/>
      <c r="E271" s="624" t="s">
        <v>408</v>
      </c>
      <c r="F271" s="636" t="s">
        <v>408</v>
      </c>
      <c r="G271" s="625" t="s">
        <v>408</v>
      </c>
    </row>
    <row r="272" spans="1:7" x14ac:dyDescent="0.2">
      <c r="A272" s="634" t="s">
        <v>408</v>
      </c>
      <c r="B272" s="624" t="s">
        <v>995</v>
      </c>
      <c r="C272" s="635">
        <v>1</v>
      </c>
      <c r="D272" s="635"/>
      <c r="E272" s="624" t="s">
        <v>408</v>
      </c>
      <c r="F272" s="636" t="s">
        <v>408</v>
      </c>
      <c r="G272" s="625" t="s">
        <v>408</v>
      </c>
    </row>
    <row r="273" spans="1:7" x14ac:dyDescent="0.2">
      <c r="A273" s="634" t="s">
        <v>408</v>
      </c>
      <c r="B273" s="624" t="s">
        <v>996</v>
      </c>
      <c r="C273" s="635" t="s">
        <v>408</v>
      </c>
      <c r="D273" s="635"/>
      <c r="E273" s="624" t="s">
        <v>408</v>
      </c>
      <c r="F273" s="636" t="s">
        <v>408</v>
      </c>
      <c r="G273" s="625" t="s">
        <v>408</v>
      </c>
    </row>
    <row r="274" spans="1:7" x14ac:dyDescent="0.2">
      <c r="A274" s="634" t="s">
        <v>408</v>
      </c>
      <c r="B274" s="624" t="s">
        <v>408</v>
      </c>
      <c r="C274" s="635" t="s">
        <v>408</v>
      </c>
      <c r="D274" s="635"/>
      <c r="E274" s="624" t="s">
        <v>408</v>
      </c>
      <c r="F274" s="636" t="s">
        <v>408</v>
      </c>
      <c r="G274" s="625" t="s">
        <v>408</v>
      </c>
    </row>
    <row r="275" spans="1:7" x14ac:dyDescent="0.2">
      <c r="A275" s="634" t="s">
        <v>408</v>
      </c>
      <c r="B275" s="624" t="s">
        <v>840</v>
      </c>
      <c r="C275" s="635" t="s">
        <v>408</v>
      </c>
      <c r="D275" s="635"/>
      <c r="E275" s="624" t="s">
        <v>408</v>
      </c>
      <c r="F275" s="636" t="s">
        <v>408</v>
      </c>
      <c r="G275" s="625" t="s">
        <v>408</v>
      </c>
    </row>
    <row r="276" spans="1:7" x14ac:dyDescent="0.2">
      <c r="A276" s="634" t="s">
        <v>408</v>
      </c>
      <c r="B276" s="624" t="s">
        <v>841</v>
      </c>
      <c r="C276" s="635" t="s">
        <v>408</v>
      </c>
      <c r="D276" s="635"/>
      <c r="E276" s="624" t="s">
        <v>408</v>
      </c>
      <c r="F276" s="636" t="s">
        <v>408</v>
      </c>
      <c r="G276" s="625" t="s">
        <v>408</v>
      </c>
    </row>
    <row r="277" spans="1:7" x14ac:dyDescent="0.2">
      <c r="A277" s="634" t="s">
        <v>408</v>
      </c>
      <c r="B277" s="624" t="s">
        <v>794</v>
      </c>
      <c r="C277" s="635" t="s">
        <v>408</v>
      </c>
      <c r="D277" s="635"/>
      <c r="E277" s="624" t="s">
        <v>408</v>
      </c>
      <c r="F277" s="636" t="s">
        <v>408</v>
      </c>
      <c r="G277" s="625" t="s">
        <v>408</v>
      </c>
    </row>
    <row r="278" spans="1:7" x14ac:dyDescent="0.2">
      <c r="A278" s="634" t="s">
        <v>408</v>
      </c>
      <c r="B278" s="624" t="s">
        <v>997</v>
      </c>
      <c r="C278" s="635">
        <v>1</v>
      </c>
      <c r="D278" s="635"/>
      <c r="E278" s="624" t="s">
        <v>408</v>
      </c>
      <c r="F278" s="636" t="s">
        <v>408</v>
      </c>
      <c r="G278" s="625" t="s">
        <v>408</v>
      </c>
    </row>
    <row r="279" spans="1:7" x14ac:dyDescent="0.2">
      <c r="A279" s="634" t="s">
        <v>408</v>
      </c>
      <c r="B279" s="624" t="s">
        <v>844</v>
      </c>
      <c r="C279" s="635">
        <v>1</v>
      </c>
      <c r="D279" s="635"/>
      <c r="E279" s="624" t="s">
        <v>408</v>
      </c>
      <c r="F279" s="636" t="s">
        <v>408</v>
      </c>
      <c r="G279" s="625" t="s">
        <v>408</v>
      </c>
    </row>
    <row r="280" spans="1:7" x14ac:dyDescent="0.2">
      <c r="A280" s="634" t="s">
        <v>408</v>
      </c>
      <c r="B280" s="624" t="s">
        <v>845</v>
      </c>
      <c r="C280" s="635">
        <v>1</v>
      </c>
      <c r="D280" s="635"/>
      <c r="E280" s="624" t="s">
        <v>408</v>
      </c>
      <c r="F280" s="636" t="s">
        <v>408</v>
      </c>
      <c r="G280" s="625" t="s">
        <v>408</v>
      </c>
    </row>
    <row r="281" spans="1:7" x14ac:dyDescent="0.2">
      <c r="A281" s="634" t="s">
        <v>408</v>
      </c>
      <c r="B281" s="624" t="s">
        <v>846</v>
      </c>
      <c r="C281" s="635" t="s">
        <v>408</v>
      </c>
      <c r="D281" s="635"/>
      <c r="E281" s="624" t="s">
        <v>408</v>
      </c>
      <c r="F281" s="636" t="s">
        <v>408</v>
      </c>
      <c r="G281" s="625" t="s">
        <v>408</v>
      </c>
    </row>
    <row r="282" spans="1:7" x14ac:dyDescent="0.2">
      <c r="A282" s="640" t="s">
        <v>408</v>
      </c>
      <c r="B282" s="626" t="s">
        <v>408</v>
      </c>
      <c r="C282" s="642" t="s">
        <v>408</v>
      </c>
      <c r="D282" s="642"/>
      <c r="E282" s="626" t="s">
        <v>408</v>
      </c>
      <c r="F282" s="643" t="s">
        <v>408</v>
      </c>
      <c r="G282" s="627" t="s">
        <v>408</v>
      </c>
    </row>
    <row r="283" spans="1:7" x14ac:dyDescent="0.2">
      <c r="A283" s="631" t="s">
        <v>998</v>
      </c>
      <c r="B283" s="622" t="s">
        <v>746</v>
      </c>
      <c r="C283" s="632" t="s">
        <v>408</v>
      </c>
      <c r="D283" s="632"/>
      <c r="E283" s="622" t="s">
        <v>747</v>
      </c>
      <c r="F283" s="633">
        <v>12</v>
      </c>
      <c r="G283" s="623" t="s">
        <v>1000</v>
      </c>
    </row>
    <row r="284" spans="1:7" x14ac:dyDescent="0.2">
      <c r="A284" s="634" t="s">
        <v>408</v>
      </c>
      <c r="B284" s="624" t="s">
        <v>750</v>
      </c>
      <c r="C284" s="635" t="s">
        <v>408</v>
      </c>
      <c r="D284" s="635"/>
      <c r="E284" s="624" t="s">
        <v>751</v>
      </c>
      <c r="F284" s="636"/>
      <c r="G284" s="625" t="s">
        <v>1002</v>
      </c>
    </row>
    <row r="285" spans="1:7" x14ac:dyDescent="0.2">
      <c r="A285" s="634" t="s">
        <v>408</v>
      </c>
      <c r="B285" s="624" t="s">
        <v>754</v>
      </c>
      <c r="C285" s="635" t="s">
        <v>408</v>
      </c>
      <c r="D285" s="635"/>
      <c r="E285" s="624" t="s">
        <v>896</v>
      </c>
      <c r="F285" s="636" t="s">
        <v>408</v>
      </c>
      <c r="G285" s="625" t="s">
        <v>1004</v>
      </c>
    </row>
    <row r="286" spans="1:7" x14ac:dyDescent="0.2">
      <c r="A286" s="634" t="s">
        <v>408</v>
      </c>
      <c r="B286" s="624" t="s">
        <v>1006</v>
      </c>
      <c r="C286" s="635">
        <v>2</v>
      </c>
      <c r="D286" s="635"/>
      <c r="E286" s="624" t="s">
        <v>1007</v>
      </c>
      <c r="F286" s="636" t="s">
        <v>408</v>
      </c>
      <c r="G286" s="625" t="s">
        <v>760</v>
      </c>
    </row>
    <row r="287" spans="1:7" x14ac:dyDescent="0.2">
      <c r="A287" s="634" t="s">
        <v>408</v>
      </c>
      <c r="B287" s="624" t="s">
        <v>781</v>
      </c>
      <c r="C287" s="635">
        <v>1</v>
      </c>
      <c r="D287" s="635"/>
      <c r="E287" s="624" t="s">
        <v>1010</v>
      </c>
      <c r="F287" s="636" t="s">
        <v>408</v>
      </c>
      <c r="G287" s="625" t="s">
        <v>1011</v>
      </c>
    </row>
    <row r="288" spans="1:7" x14ac:dyDescent="0.2">
      <c r="A288" s="634" t="s">
        <v>408</v>
      </c>
      <c r="B288" s="624" t="s">
        <v>790</v>
      </c>
      <c r="C288" s="635">
        <v>1</v>
      </c>
      <c r="D288" s="635"/>
      <c r="E288" s="624" t="s">
        <v>759</v>
      </c>
      <c r="F288" s="636" t="s">
        <v>408</v>
      </c>
      <c r="G288" s="625" t="s">
        <v>776</v>
      </c>
    </row>
    <row r="289" spans="1:7" x14ac:dyDescent="0.2">
      <c r="A289" s="637" t="s">
        <v>408</v>
      </c>
      <c r="B289" s="638" t="s">
        <v>784</v>
      </c>
      <c r="C289" s="635">
        <v>1</v>
      </c>
      <c r="D289" s="635"/>
      <c r="E289" s="624" t="s">
        <v>767</v>
      </c>
      <c r="F289" s="636" t="s">
        <v>408</v>
      </c>
      <c r="G289" s="625" t="s">
        <v>779</v>
      </c>
    </row>
    <row r="290" spans="1:7" x14ac:dyDescent="0.2">
      <c r="A290" s="634" t="s">
        <v>408</v>
      </c>
      <c r="B290" s="624" t="s">
        <v>787</v>
      </c>
      <c r="C290" s="635">
        <v>1</v>
      </c>
      <c r="D290" s="635"/>
      <c r="E290" s="624" t="s">
        <v>1016</v>
      </c>
      <c r="F290" s="636" t="s">
        <v>408</v>
      </c>
      <c r="G290" s="625" t="s">
        <v>1000</v>
      </c>
    </row>
    <row r="291" spans="1:7" x14ac:dyDescent="0.2">
      <c r="A291" s="634" t="s">
        <v>408</v>
      </c>
      <c r="B291" s="624" t="s">
        <v>793</v>
      </c>
      <c r="C291" s="635">
        <v>4</v>
      </c>
      <c r="D291" s="635"/>
      <c r="E291" s="624" t="s">
        <v>890</v>
      </c>
      <c r="F291" s="636" t="s">
        <v>408</v>
      </c>
      <c r="G291" s="625" t="s">
        <v>1019</v>
      </c>
    </row>
    <row r="292" spans="1:7" x14ac:dyDescent="0.2">
      <c r="A292" s="634" t="s">
        <v>408</v>
      </c>
      <c r="B292" s="624" t="s">
        <v>766</v>
      </c>
      <c r="C292" s="635">
        <v>1</v>
      </c>
      <c r="D292" s="635"/>
      <c r="E292" s="624" t="s">
        <v>408</v>
      </c>
      <c r="F292" s="636" t="s">
        <v>408</v>
      </c>
      <c r="G292" s="625" t="s">
        <v>408</v>
      </c>
    </row>
    <row r="293" spans="1:7" x14ac:dyDescent="0.2">
      <c r="A293" s="634" t="s">
        <v>408</v>
      </c>
      <c r="B293" s="624" t="s">
        <v>956</v>
      </c>
      <c r="C293" s="635">
        <v>1</v>
      </c>
      <c r="D293" s="635"/>
      <c r="E293" s="624" t="s">
        <v>1023</v>
      </c>
      <c r="F293" s="636" t="s">
        <v>408</v>
      </c>
      <c r="G293" s="625" t="s">
        <v>408</v>
      </c>
    </row>
    <row r="294" spans="1:7" x14ac:dyDescent="0.2">
      <c r="A294" s="634" t="s">
        <v>408</v>
      </c>
      <c r="B294" s="624" t="s">
        <v>935</v>
      </c>
      <c r="C294" s="635">
        <v>1</v>
      </c>
      <c r="D294" s="635"/>
      <c r="E294" s="624" t="s">
        <v>751</v>
      </c>
      <c r="F294" s="636" t="s">
        <v>408</v>
      </c>
      <c r="G294" s="625" t="s">
        <v>408</v>
      </c>
    </row>
    <row r="295" spans="1:7" x14ac:dyDescent="0.2">
      <c r="A295" s="634" t="s">
        <v>408</v>
      </c>
      <c r="B295" s="624" t="s">
        <v>805</v>
      </c>
      <c r="C295" s="635">
        <v>1</v>
      </c>
      <c r="D295" s="635"/>
      <c r="E295" s="624" t="s">
        <v>1027</v>
      </c>
      <c r="F295" s="636" t="s">
        <v>408</v>
      </c>
      <c r="G295" s="625" t="s">
        <v>408</v>
      </c>
    </row>
    <row r="296" spans="1:7" x14ac:dyDescent="0.2">
      <c r="A296" s="634" t="s">
        <v>408</v>
      </c>
      <c r="B296" s="624" t="s">
        <v>936</v>
      </c>
      <c r="C296" s="635" t="s">
        <v>408</v>
      </c>
      <c r="D296" s="635"/>
      <c r="E296" s="624" t="s">
        <v>1029</v>
      </c>
      <c r="F296" s="636" t="s">
        <v>408</v>
      </c>
      <c r="G296" s="625" t="s">
        <v>408</v>
      </c>
    </row>
    <row r="297" spans="1:7" x14ac:dyDescent="0.2">
      <c r="A297" s="634" t="s">
        <v>408</v>
      </c>
      <c r="B297" s="624" t="s">
        <v>1031</v>
      </c>
      <c r="C297" s="635" t="s">
        <v>408</v>
      </c>
      <c r="D297" s="635"/>
      <c r="E297" s="624" t="s">
        <v>1032</v>
      </c>
      <c r="F297" s="636" t="s">
        <v>408</v>
      </c>
      <c r="G297" s="625" t="s">
        <v>408</v>
      </c>
    </row>
    <row r="298" spans="1:7" x14ac:dyDescent="0.2">
      <c r="A298" s="634" t="s">
        <v>408</v>
      </c>
      <c r="B298" s="624" t="s">
        <v>1034</v>
      </c>
      <c r="C298" s="635" t="s">
        <v>408</v>
      </c>
      <c r="D298" s="635"/>
      <c r="E298" s="624" t="s">
        <v>1035</v>
      </c>
      <c r="F298" s="636" t="s">
        <v>408</v>
      </c>
      <c r="G298" s="625" t="s">
        <v>408</v>
      </c>
    </row>
    <row r="299" spans="1:7" x14ac:dyDescent="0.2">
      <c r="A299" s="634" t="s">
        <v>408</v>
      </c>
      <c r="B299" s="624" t="s">
        <v>1037</v>
      </c>
      <c r="C299" s="635" t="s">
        <v>408</v>
      </c>
      <c r="D299" s="635"/>
      <c r="E299" s="624" t="s">
        <v>1038</v>
      </c>
      <c r="F299" s="636" t="s">
        <v>408</v>
      </c>
      <c r="G299" s="625" t="s">
        <v>408</v>
      </c>
    </row>
    <row r="300" spans="1:7" x14ac:dyDescent="0.2">
      <c r="A300" s="634" t="s">
        <v>408</v>
      </c>
      <c r="B300" s="624" t="s">
        <v>1040</v>
      </c>
      <c r="C300" s="635" t="s">
        <v>408</v>
      </c>
      <c r="D300" s="635"/>
      <c r="E300" s="624" t="s">
        <v>1041</v>
      </c>
      <c r="F300" s="636" t="s">
        <v>408</v>
      </c>
      <c r="G300" s="625" t="s">
        <v>408</v>
      </c>
    </row>
    <row r="301" spans="1:7" x14ac:dyDescent="0.2">
      <c r="A301" s="634" t="s">
        <v>408</v>
      </c>
      <c r="B301" s="624" t="s">
        <v>1044</v>
      </c>
      <c r="C301" s="635">
        <v>2</v>
      </c>
      <c r="D301" s="635"/>
      <c r="E301" s="624" t="s">
        <v>1045</v>
      </c>
      <c r="F301" s="636" t="s">
        <v>408</v>
      </c>
      <c r="G301" s="625" t="s">
        <v>408</v>
      </c>
    </row>
    <row r="302" spans="1:7" x14ac:dyDescent="0.2">
      <c r="A302" s="634" t="s">
        <v>408</v>
      </c>
      <c r="B302" s="624" t="s">
        <v>1047</v>
      </c>
      <c r="C302" s="635" t="s">
        <v>408</v>
      </c>
      <c r="D302" s="635"/>
      <c r="E302" s="624" t="s">
        <v>1048</v>
      </c>
      <c r="F302" s="636" t="s">
        <v>408</v>
      </c>
      <c r="G302" s="625" t="s">
        <v>408</v>
      </c>
    </row>
    <row r="303" spans="1:7" x14ac:dyDescent="0.2">
      <c r="A303" s="634" t="s">
        <v>408</v>
      </c>
      <c r="B303" s="624" t="s">
        <v>1051</v>
      </c>
      <c r="C303" s="635">
        <v>1</v>
      </c>
      <c r="D303" s="635"/>
      <c r="E303" s="624" t="s">
        <v>1047</v>
      </c>
      <c r="F303" s="636" t="s">
        <v>408</v>
      </c>
      <c r="G303" s="625" t="s">
        <v>408</v>
      </c>
    </row>
    <row r="304" spans="1:7" x14ac:dyDescent="0.2">
      <c r="A304" s="634" t="s">
        <v>408</v>
      </c>
      <c r="B304" s="624" t="s">
        <v>1053</v>
      </c>
      <c r="C304" s="635" t="s">
        <v>408</v>
      </c>
      <c r="D304" s="635"/>
      <c r="E304" s="624" t="s">
        <v>408</v>
      </c>
      <c r="F304" s="636" t="s">
        <v>408</v>
      </c>
      <c r="G304" s="625" t="s">
        <v>408</v>
      </c>
    </row>
    <row r="305" spans="1:7" x14ac:dyDescent="0.2">
      <c r="A305" s="634" t="s">
        <v>408</v>
      </c>
      <c r="B305" s="624" t="s">
        <v>1056</v>
      </c>
      <c r="C305" s="635" t="s">
        <v>408</v>
      </c>
      <c r="D305" s="635"/>
      <c r="E305" s="624" t="s">
        <v>408</v>
      </c>
      <c r="F305" s="636" t="s">
        <v>408</v>
      </c>
      <c r="G305" s="625" t="s">
        <v>408</v>
      </c>
    </row>
    <row r="306" spans="1:7" x14ac:dyDescent="0.2">
      <c r="A306" s="634" t="s">
        <v>408</v>
      </c>
      <c r="B306" s="624" t="s">
        <v>820</v>
      </c>
      <c r="C306" s="635">
        <v>1</v>
      </c>
      <c r="D306" s="635"/>
      <c r="E306" s="624" t="s">
        <v>408</v>
      </c>
      <c r="F306" s="636" t="s">
        <v>408</v>
      </c>
      <c r="G306" s="625" t="s">
        <v>408</v>
      </c>
    </row>
    <row r="307" spans="1:7" x14ac:dyDescent="0.2">
      <c r="A307" s="634" t="s">
        <v>408</v>
      </c>
      <c r="B307" s="624" t="s">
        <v>822</v>
      </c>
      <c r="C307" s="635" t="s">
        <v>408</v>
      </c>
      <c r="D307" s="635"/>
      <c r="E307" s="624" t="s">
        <v>408</v>
      </c>
      <c r="F307" s="636" t="s">
        <v>408</v>
      </c>
      <c r="G307" s="625" t="s">
        <v>408</v>
      </c>
    </row>
    <row r="308" spans="1:7" x14ac:dyDescent="0.2">
      <c r="A308" s="634" t="s">
        <v>408</v>
      </c>
      <c r="B308" s="624" t="s">
        <v>823</v>
      </c>
      <c r="C308" s="635" t="s">
        <v>408</v>
      </c>
      <c r="D308" s="635"/>
      <c r="E308" s="624" t="s">
        <v>408</v>
      </c>
      <c r="F308" s="636" t="s">
        <v>408</v>
      </c>
      <c r="G308" s="625" t="s">
        <v>408</v>
      </c>
    </row>
    <row r="309" spans="1:7" x14ac:dyDescent="0.2">
      <c r="A309" s="634" t="s">
        <v>408</v>
      </c>
      <c r="B309" s="624" t="s">
        <v>824</v>
      </c>
      <c r="C309" s="635" t="s">
        <v>408</v>
      </c>
      <c r="D309" s="635"/>
      <c r="E309" s="624" t="s">
        <v>408</v>
      </c>
      <c r="F309" s="636" t="s">
        <v>408</v>
      </c>
      <c r="G309" s="625" t="s">
        <v>408</v>
      </c>
    </row>
    <row r="310" spans="1:7" x14ac:dyDescent="0.2">
      <c r="A310" s="634" t="s">
        <v>408</v>
      </c>
      <c r="B310" s="624" t="s">
        <v>408</v>
      </c>
      <c r="C310" s="635" t="s">
        <v>408</v>
      </c>
      <c r="D310" s="635"/>
      <c r="E310" s="624" t="s">
        <v>408</v>
      </c>
      <c r="F310" s="636" t="s">
        <v>408</v>
      </c>
      <c r="G310" s="625" t="s">
        <v>408</v>
      </c>
    </row>
    <row r="311" spans="1:7" x14ac:dyDescent="0.2">
      <c r="A311" s="634" t="s">
        <v>408</v>
      </c>
      <c r="B311" s="624" t="s">
        <v>825</v>
      </c>
      <c r="C311" s="635" t="s">
        <v>408</v>
      </c>
      <c r="D311" s="635"/>
      <c r="E311" s="624" t="s">
        <v>408</v>
      </c>
      <c r="F311" s="636" t="s">
        <v>408</v>
      </c>
      <c r="G311" s="625" t="s">
        <v>408</v>
      </c>
    </row>
    <row r="312" spans="1:7" x14ac:dyDescent="0.2">
      <c r="A312" s="634" t="s">
        <v>408</v>
      </c>
      <c r="B312" s="624" t="s">
        <v>750</v>
      </c>
      <c r="C312" s="635" t="s">
        <v>408</v>
      </c>
      <c r="D312" s="635"/>
      <c r="E312" s="624" t="s">
        <v>408</v>
      </c>
      <c r="F312" s="636" t="s">
        <v>408</v>
      </c>
      <c r="G312" s="625" t="s">
        <v>408</v>
      </c>
    </row>
    <row r="313" spans="1:7" x14ac:dyDescent="0.2">
      <c r="A313" s="634" t="s">
        <v>408</v>
      </c>
      <c r="B313" s="624" t="s">
        <v>754</v>
      </c>
      <c r="C313" s="635" t="s">
        <v>408</v>
      </c>
      <c r="D313" s="635"/>
      <c r="E313" s="624" t="s">
        <v>408</v>
      </c>
      <c r="F313" s="636" t="s">
        <v>408</v>
      </c>
      <c r="G313" s="625" t="s">
        <v>408</v>
      </c>
    </row>
    <row r="314" spans="1:7" x14ac:dyDescent="0.2">
      <c r="A314" s="634" t="s">
        <v>408</v>
      </c>
      <c r="B314" s="624" t="s">
        <v>826</v>
      </c>
      <c r="C314" s="635">
        <v>1</v>
      </c>
      <c r="D314" s="635"/>
      <c r="E314" s="624" t="s">
        <v>408</v>
      </c>
      <c r="F314" s="636" t="s">
        <v>408</v>
      </c>
      <c r="G314" s="625" t="s">
        <v>408</v>
      </c>
    </row>
    <row r="315" spans="1:7" x14ac:dyDescent="0.2">
      <c r="A315" s="634" t="s">
        <v>408</v>
      </c>
      <c r="B315" s="624" t="s">
        <v>1058</v>
      </c>
      <c r="C315" s="635">
        <v>1</v>
      </c>
      <c r="D315" s="635"/>
      <c r="E315" s="624" t="s">
        <v>408</v>
      </c>
      <c r="F315" s="636" t="s">
        <v>408</v>
      </c>
      <c r="G315" s="625" t="s">
        <v>408</v>
      </c>
    </row>
    <row r="316" spans="1:7" x14ac:dyDescent="0.2">
      <c r="A316" s="634" t="s">
        <v>408</v>
      </c>
      <c r="B316" s="624" t="s">
        <v>1059</v>
      </c>
      <c r="C316" s="635">
        <v>1</v>
      </c>
      <c r="D316" s="635"/>
      <c r="E316" s="624" t="s">
        <v>408</v>
      </c>
      <c r="F316" s="636" t="s">
        <v>408</v>
      </c>
      <c r="G316" s="625" t="s">
        <v>408</v>
      </c>
    </row>
    <row r="317" spans="1:7" x14ac:dyDescent="0.2">
      <c r="A317" s="634" t="s">
        <v>408</v>
      </c>
      <c r="B317" s="624" t="s">
        <v>861</v>
      </c>
      <c r="C317" s="635">
        <v>1</v>
      </c>
      <c r="D317" s="635"/>
      <c r="E317" s="624" t="s">
        <v>408</v>
      </c>
      <c r="F317" s="636" t="s">
        <v>408</v>
      </c>
      <c r="G317" s="625" t="s">
        <v>408</v>
      </c>
    </row>
    <row r="318" spans="1:7" x14ac:dyDescent="0.2">
      <c r="A318" s="634" t="s">
        <v>408</v>
      </c>
      <c r="B318" s="624" t="s">
        <v>828</v>
      </c>
      <c r="C318" s="635" t="s">
        <v>408</v>
      </c>
      <c r="D318" s="635"/>
      <c r="E318" s="624" t="s">
        <v>408</v>
      </c>
      <c r="F318" s="636" t="s">
        <v>408</v>
      </c>
      <c r="G318" s="625" t="s">
        <v>408</v>
      </c>
    </row>
    <row r="319" spans="1:7" x14ac:dyDescent="0.2">
      <c r="A319" s="634" t="s">
        <v>408</v>
      </c>
      <c r="B319" s="624" t="s">
        <v>1060</v>
      </c>
      <c r="C319" s="635">
        <v>1</v>
      </c>
      <c r="D319" s="635"/>
      <c r="E319" s="624" t="s">
        <v>408</v>
      </c>
      <c r="F319" s="636" t="s">
        <v>408</v>
      </c>
      <c r="G319" s="625" t="s">
        <v>408</v>
      </c>
    </row>
    <row r="320" spans="1:7" x14ac:dyDescent="0.2">
      <c r="A320" s="634" t="s">
        <v>408</v>
      </c>
      <c r="B320" s="624" t="s">
        <v>1061</v>
      </c>
      <c r="C320" s="635" t="s">
        <v>408</v>
      </c>
      <c r="D320" s="635"/>
      <c r="E320" s="624" t="s">
        <v>408</v>
      </c>
      <c r="F320" s="636" t="s">
        <v>408</v>
      </c>
      <c r="G320" s="625" t="s">
        <v>408</v>
      </c>
    </row>
    <row r="321" spans="1:7" x14ac:dyDescent="0.2">
      <c r="A321" s="634" t="s">
        <v>408</v>
      </c>
      <c r="B321" s="624" t="s">
        <v>1062</v>
      </c>
      <c r="C321" s="635">
        <v>1</v>
      </c>
      <c r="D321" s="635"/>
      <c r="E321" s="624" t="s">
        <v>408</v>
      </c>
      <c r="F321" s="636" t="s">
        <v>408</v>
      </c>
      <c r="G321" s="625" t="s">
        <v>408</v>
      </c>
    </row>
    <row r="322" spans="1:7" x14ac:dyDescent="0.2">
      <c r="A322" s="640" t="s">
        <v>408</v>
      </c>
      <c r="B322" s="626" t="s">
        <v>408</v>
      </c>
      <c r="C322" s="642" t="s">
        <v>408</v>
      </c>
      <c r="D322" s="642"/>
      <c r="E322" s="626" t="s">
        <v>408</v>
      </c>
      <c r="F322" s="643" t="s">
        <v>408</v>
      </c>
      <c r="G322" s="627" t="s">
        <v>408</v>
      </c>
    </row>
    <row r="323" spans="1:7" x14ac:dyDescent="0.2">
      <c r="A323" s="631" t="s">
        <v>1063</v>
      </c>
      <c r="B323" s="622" t="s">
        <v>746</v>
      </c>
      <c r="C323" s="632" t="s">
        <v>408</v>
      </c>
      <c r="D323" s="632"/>
      <c r="E323" s="622" t="s">
        <v>747</v>
      </c>
      <c r="F323" s="633">
        <v>10</v>
      </c>
      <c r="G323" s="623" t="s">
        <v>1000</v>
      </c>
    </row>
    <row r="324" spans="1:7" x14ac:dyDescent="0.2">
      <c r="A324" s="634" t="s">
        <v>408</v>
      </c>
      <c r="B324" s="624" t="s">
        <v>750</v>
      </c>
      <c r="C324" s="635" t="s">
        <v>408</v>
      </c>
      <c r="D324" s="635"/>
      <c r="E324" s="624" t="s">
        <v>751</v>
      </c>
      <c r="F324" s="636" t="s">
        <v>408</v>
      </c>
      <c r="G324" s="625" t="s">
        <v>1002</v>
      </c>
    </row>
    <row r="325" spans="1:7" x14ac:dyDescent="0.2">
      <c r="A325" s="634" t="s">
        <v>408</v>
      </c>
      <c r="B325" s="624" t="s">
        <v>754</v>
      </c>
      <c r="C325" s="635" t="s">
        <v>408</v>
      </c>
      <c r="D325" s="635"/>
      <c r="E325" s="624" t="s">
        <v>1068</v>
      </c>
      <c r="F325" s="636" t="s">
        <v>408</v>
      </c>
      <c r="G325" s="625" t="s">
        <v>1004</v>
      </c>
    </row>
    <row r="326" spans="1:7" x14ac:dyDescent="0.2">
      <c r="A326" s="637" t="s">
        <v>408</v>
      </c>
      <c r="B326" s="638" t="s">
        <v>1006</v>
      </c>
      <c r="C326" s="635">
        <v>1</v>
      </c>
      <c r="D326" s="635"/>
      <c r="E326" s="624" t="s">
        <v>1071</v>
      </c>
      <c r="F326" s="636" t="s">
        <v>408</v>
      </c>
      <c r="G326" s="625" t="s">
        <v>760</v>
      </c>
    </row>
    <row r="327" spans="1:7" x14ac:dyDescent="0.2">
      <c r="A327" s="634" t="s">
        <v>408</v>
      </c>
      <c r="B327" s="624" t="s">
        <v>1074</v>
      </c>
      <c r="C327" s="635" t="s">
        <v>408</v>
      </c>
      <c r="D327" s="635"/>
      <c r="E327" s="624" t="s">
        <v>763</v>
      </c>
      <c r="F327" s="636" t="s">
        <v>408</v>
      </c>
      <c r="G327" s="625" t="s">
        <v>1011</v>
      </c>
    </row>
    <row r="328" spans="1:7" x14ac:dyDescent="0.2">
      <c r="A328" s="634" t="s">
        <v>408</v>
      </c>
      <c r="B328" s="624" t="s">
        <v>781</v>
      </c>
      <c r="C328" s="635">
        <v>1</v>
      </c>
      <c r="D328" s="635"/>
      <c r="E328" s="624" t="s">
        <v>767</v>
      </c>
      <c r="F328" s="636" t="s">
        <v>408</v>
      </c>
      <c r="G328" s="625" t="s">
        <v>776</v>
      </c>
    </row>
    <row r="329" spans="1:7" x14ac:dyDescent="0.2">
      <c r="A329" s="634" t="s">
        <v>408</v>
      </c>
      <c r="B329" s="624" t="s">
        <v>793</v>
      </c>
      <c r="C329" s="635">
        <v>2</v>
      </c>
      <c r="D329" s="635"/>
      <c r="E329" s="624" t="s">
        <v>1078</v>
      </c>
      <c r="F329" s="636" t="s">
        <v>408</v>
      </c>
      <c r="G329" s="625" t="s">
        <v>779</v>
      </c>
    </row>
    <row r="330" spans="1:7" x14ac:dyDescent="0.2">
      <c r="A330" s="634" t="s">
        <v>408</v>
      </c>
      <c r="B330" s="624" t="s">
        <v>854</v>
      </c>
      <c r="C330" s="635">
        <v>2</v>
      </c>
      <c r="D330" s="635"/>
      <c r="E330" s="624" t="s">
        <v>759</v>
      </c>
      <c r="F330" s="636" t="s">
        <v>408</v>
      </c>
      <c r="G330" s="625" t="s">
        <v>1000</v>
      </c>
    </row>
    <row r="331" spans="1:7" x14ac:dyDescent="0.2">
      <c r="A331" s="634" t="s">
        <v>408</v>
      </c>
      <c r="B331" s="624" t="s">
        <v>856</v>
      </c>
      <c r="C331" s="635" t="s">
        <v>408</v>
      </c>
      <c r="D331" s="635"/>
      <c r="E331" s="624"/>
      <c r="F331" s="636" t="s">
        <v>408</v>
      </c>
      <c r="G331" s="625" t="s">
        <v>1019</v>
      </c>
    </row>
    <row r="332" spans="1:7" x14ac:dyDescent="0.2">
      <c r="A332" s="634" t="s">
        <v>408</v>
      </c>
      <c r="B332" s="624" t="s">
        <v>766</v>
      </c>
      <c r="C332" s="635">
        <v>1</v>
      </c>
      <c r="D332" s="635"/>
      <c r="E332" s="624" t="s">
        <v>785</v>
      </c>
      <c r="F332" s="636" t="s">
        <v>408</v>
      </c>
      <c r="G332" s="625" t="s">
        <v>408</v>
      </c>
    </row>
    <row r="333" spans="1:7" x14ac:dyDescent="0.2">
      <c r="A333" s="634" t="s">
        <v>408</v>
      </c>
      <c r="B333" s="624" t="s">
        <v>805</v>
      </c>
      <c r="C333" s="635">
        <v>1</v>
      </c>
      <c r="D333" s="635"/>
      <c r="E333" s="624" t="s">
        <v>788</v>
      </c>
      <c r="F333" s="636" t="s">
        <v>408</v>
      </c>
      <c r="G333" s="625" t="s">
        <v>408</v>
      </c>
    </row>
    <row r="334" spans="1:7" x14ac:dyDescent="0.2">
      <c r="A334" s="634" t="s">
        <v>408</v>
      </c>
      <c r="B334" s="624" t="s">
        <v>807</v>
      </c>
      <c r="C334" s="635" t="s">
        <v>408</v>
      </c>
      <c r="D334" s="635"/>
      <c r="E334" s="624" t="s">
        <v>791</v>
      </c>
      <c r="F334" s="636" t="s">
        <v>408</v>
      </c>
      <c r="G334" s="625" t="s">
        <v>408</v>
      </c>
    </row>
    <row r="335" spans="1:7" x14ac:dyDescent="0.2">
      <c r="A335" s="634" t="s">
        <v>408</v>
      </c>
      <c r="B335" s="624" t="s">
        <v>809</v>
      </c>
      <c r="C335" s="635" t="s">
        <v>408</v>
      </c>
      <c r="D335" s="635"/>
      <c r="E335" s="624" t="s">
        <v>794</v>
      </c>
      <c r="F335" s="636" t="s">
        <v>408</v>
      </c>
      <c r="G335" s="625" t="s">
        <v>408</v>
      </c>
    </row>
    <row r="336" spans="1:7" x14ac:dyDescent="0.2">
      <c r="A336" s="634" t="s">
        <v>408</v>
      </c>
      <c r="B336" s="624" t="s">
        <v>811</v>
      </c>
      <c r="C336" s="635" t="s">
        <v>408</v>
      </c>
      <c r="D336" s="635"/>
      <c r="E336" s="624" t="s">
        <v>1090</v>
      </c>
      <c r="F336" s="636" t="s">
        <v>408</v>
      </c>
      <c r="G336" s="625" t="s">
        <v>408</v>
      </c>
    </row>
    <row r="337" spans="1:7" x14ac:dyDescent="0.2">
      <c r="A337" s="634" t="s">
        <v>408</v>
      </c>
      <c r="B337" s="624" t="s">
        <v>812</v>
      </c>
      <c r="C337" s="635" t="s">
        <v>408</v>
      </c>
      <c r="D337" s="635"/>
      <c r="E337" s="624" t="s">
        <v>1091</v>
      </c>
      <c r="F337" s="636" t="s">
        <v>408</v>
      </c>
      <c r="G337" s="625" t="s">
        <v>408</v>
      </c>
    </row>
    <row r="338" spans="1:7" x14ac:dyDescent="0.2">
      <c r="A338" s="634" t="s">
        <v>408</v>
      </c>
      <c r="B338" s="624" t="s">
        <v>1092</v>
      </c>
      <c r="C338" s="635">
        <v>1</v>
      </c>
      <c r="D338" s="635"/>
      <c r="E338" s="624" t="s">
        <v>853</v>
      </c>
      <c r="F338" s="636" t="s">
        <v>408</v>
      </c>
      <c r="G338" s="625" t="s">
        <v>408</v>
      </c>
    </row>
    <row r="339" spans="1:7" x14ac:dyDescent="0.2">
      <c r="A339" s="634" t="s">
        <v>408</v>
      </c>
      <c r="B339" s="624" t="s">
        <v>1093</v>
      </c>
      <c r="C339" s="635" t="s">
        <v>408</v>
      </c>
      <c r="D339" s="635"/>
      <c r="E339" s="624" t="s">
        <v>408</v>
      </c>
      <c r="F339" s="636" t="s">
        <v>408</v>
      </c>
      <c r="G339" s="625" t="s">
        <v>408</v>
      </c>
    </row>
    <row r="340" spans="1:7" x14ac:dyDescent="0.2">
      <c r="A340" s="634" t="s">
        <v>408</v>
      </c>
      <c r="B340" s="624" t="s">
        <v>1094</v>
      </c>
      <c r="C340" s="635">
        <v>1</v>
      </c>
      <c r="D340" s="635"/>
      <c r="E340" s="624" t="s">
        <v>1095</v>
      </c>
      <c r="F340" s="636" t="s">
        <v>408</v>
      </c>
      <c r="G340" s="625" t="s">
        <v>408</v>
      </c>
    </row>
    <row r="341" spans="1:7" x14ac:dyDescent="0.2">
      <c r="A341" s="634" t="s">
        <v>408</v>
      </c>
      <c r="B341" s="624" t="s">
        <v>956</v>
      </c>
      <c r="C341" s="635">
        <v>1</v>
      </c>
      <c r="D341" s="635"/>
      <c r="E341" s="624" t="s">
        <v>1096</v>
      </c>
      <c r="F341" s="636" t="s">
        <v>408</v>
      </c>
      <c r="G341" s="625" t="s">
        <v>408</v>
      </c>
    </row>
    <row r="342" spans="1:7" x14ac:dyDescent="0.2">
      <c r="A342" s="634" t="s">
        <v>408</v>
      </c>
      <c r="B342" s="624" t="s">
        <v>816</v>
      </c>
      <c r="C342" s="635">
        <v>1</v>
      </c>
      <c r="D342" s="635"/>
      <c r="E342" s="624" t="s">
        <v>890</v>
      </c>
      <c r="F342" s="636" t="s">
        <v>408</v>
      </c>
      <c r="G342" s="625" t="s">
        <v>408</v>
      </c>
    </row>
    <row r="343" spans="1:7" x14ac:dyDescent="0.2">
      <c r="A343" s="634" t="s">
        <v>408</v>
      </c>
      <c r="B343" s="624" t="s">
        <v>1097</v>
      </c>
      <c r="C343" s="635">
        <v>1</v>
      </c>
      <c r="D343" s="635"/>
      <c r="E343" s="624" t="s">
        <v>408</v>
      </c>
      <c r="F343" s="636" t="s">
        <v>408</v>
      </c>
      <c r="G343" s="625" t="s">
        <v>408</v>
      </c>
    </row>
    <row r="344" spans="1:7" x14ac:dyDescent="0.2">
      <c r="A344" s="634" t="s">
        <v>408</v>
      </c>
      <c r="B344" s="624" t="s">
        <v>1098</v>
      </c>
      <c r="C344" s="635">
        <v>1</v>
      </c>
      <c r="D344" s="635"/>
      <c r="E344" s="624" t="s">
        <v>408</v>
      </c>
      <c r="F344" s="636" t="s">
        <v>408</v>
      </c>
      <c r="G344" s="625" t="s">
        <v>408</v>
      </c>
    </row>
    <row r="345" spans="1:7" x14ac:dyDescent="0.2">
      <c r="A345" s="634" t="s">
        <v>408</v>
      </c>
      <c r="B345" s="624" t="s">
        <v>408</v>
      </c>
      <c r="C345" s="635" t="s">
        <v>408</v>
      </c>
      <c r="D345" s="635"/>
      <c r="E345" s="624" t="s">
        <v>408</v>
      </c>
      <c r="F345" s="636" t="s">
        <v>408</v>
      </c>
      <c r="G345" s="625" t="s">
        <v>408</v>
      </c>
    </row>
    <row r="346" spans="1:7" x14ac:dyDescent="0.2">
      <c r="A346" s="634" t="s">
        <v>408</v>
      </c>
      <c r="B346" s="624" t="s">
        <v>825</v>
      </c>
      <c r="C346" s="635" t="s">
        <v>408</v>
      </c>
      <c r="D346" s="635"/>
      <c r="E346" s="624" t="s">
        <v>408</v>
      </c>
      <c r="F346" s="636" t="s">
        <v>408</v>
      </c>
      <c r="G346" s="625" t="s">
        <v>408</v>
      </c>
    </row>
    <row r="347" spans="1:7" x14ac:dyDescent="0.2">
      <c r="A347" s="634" t="s">
        <v>408</v>
      </c>
      <c r="B347" s="624" t="s">
        <v>750</v>
      </c>
      <c r="C347" s="635" t="s">
        <v>408</v>
      </c>
      <c r="D347" s="635"/>
      <c r="E347" s="624" t="s">
        <v>408</v>
      </c>
      <c r="F347" s="636" t="s">
        <v>408</v>
      </c>
      <c r="G347" s="625" t="s">
        <v>408</v>
      </c>
    </row>
    <row r="348" spans="1:7" x14ac:dyDescent="0.2">
      <c r="A348" s="634" t="s">
        <v>408</v>
      </c>
      <c r="B348" s="624" t="s">
        <v>754</v>
      </c>
      <c r="C348" s="635" t="s">
        <v>408</v>
      </c>
      <c r="D348" s="635"/>
      <c r="E348" s="624" t="s">
        <v>408</v>
      </c>
      <c r="F348" s="636" t="s">
        <v>408</v>
      </c>
      <c r="G348" s="625" t="s">
        <v>408</v>
      </c>
    </row>
    <row r="349" spans="1:7" x14ac:dyDescent="0.2">
      <c r="A349" s="634" t="s">
        <v>408</v>
      </c>
      <c r="B349" s="624" t="s">
        <v>826</v>
      </c>
      <c r="C349" s="635">
        <v>1</v>
      </c>
      <c r="D349" s="635"/>
      <c r="E349" s="624" t="s">
        <v>408</v>
      </c>
      <c r="F349" s="636" t="s">
        <v>408</v>
      </c>
      <c r="G349" s="625" t="s">
        <v>408</v>
      </c>
    </row>
    <row r="350" spans="1:7" x14ac:dyDescent="0.2">
      <c r="A350" s="634" t="s">
        <v>408</v>
      </c>
      <c r="B350" s="624" t="s">
        <v>903</v>
      </c>
      <c r="C350" s="635">
        <v>1</v>
      </c>
      <c r="D350" s="635"/>
      <c r="E350" s="624" t="s">
        <v>408</v>
      </c>
      <c r="F350" s="636" t="s">
        <v>408</v>
      </c>
      <c r="G350" s="625" t="s">
        <v>408</v>
      </c>
    </row>
    <row r="351" spans="1:7" x14ac:dyDescent="0.2">
      <c r="A351" s="634" t="s">
        <v>408</v>
      </c>
      <c r="B351" s="624" t="s">
        <v>833</v>
      </c>
      <c r="C351" s="635" t="s">
        <v>408</v>
      </c>
      <c r="D351" s="635"/>
      <c r="E351" s="624" t="s">
        <v>408</v>
      </c>
      <c r="F351" s="636" t="s">
        <v>408</v>
      </c>
      <c r="G351" s="625" t="s">
        <v>408</v>
      </c>
    </row>
    <row r="352" spans="1:7" x14ac:dyDescent="0.2">
      <c r="A352" s="634" t="s">
        <v>408</v>
      </c>
      <c r="B352" s="624" t="s">
        <v>1099</v>
      </c>
      <c r="C352" s="635">
        <v>1</v>
      </c>
      <c r="D352" s="635"/>
      <c r="E352" s="624" t="s">
        <v>408</v>
      </c>
      <c r="F352" s="636" t="s">
        <v>408</v>
      </c>
      <c r="G352" s="625" t="s">
        <v>408</v>
      </c>
    </row>
    <row r="353" spans="1:7" x14ac:dyDescent="0.2">
      <c r="A353" s="634" t="s">
        <v>408</v>
      </c>
      <c r="B353" s="624" t="s">
        <v>1100</v>
      </c>
      <c r="C353" s="635" t="s">
        <v>408</v>
      </c>
      <c r="D353" s="635"/>
      <c r="E353" s="624" t="s">
        <v>408</v>
      </c>
      <c r="F353" s="636" t="s">
        <v>408</v>
      </c>
      <c r="G353" s="625" t="s">
        <v>408</v>
      </c>
    </row>
    <row r="354" spans="1:7" x14ac:dyDescent="0.2">
      <c r="A354" s="634" t="s">
        <v>408</v>
      </c>
      <c r="B354" s="624" t="s">
        <v>862</v>
      </c>
      <c r="C354" s="635">
        <v>1</v>
      </c>
      <c r="D354" s="635"/>
      <c r="E354" s="624" t="s">
        <v>408</v>
      </c>
      <c r="F354" s="636" t="s">
        <v>408</v>
      </c>
      <c r="G354" s="625" t="s">
        <v>408</v>
      </c>
    </row>
    <row r="355" spans="1:7" x14ac:dyDescent="0.2">
      <c r="A355" s="634" t="s">
        <v>408</v>
      </c>
      <c r="B355" s="624" t="s">
        <v>831</v>
      </c>
      <c r="C355" s="635" t="s">
        <v>408</v>
      </c>
      <c r="D355" s="635"/>
      <c r="E355" s="624" t="s">
        <v>408</v>
      </c>
      <c r="F355" s="636" t="s">
        <v>408</v>
      </c>
      <c r="G355" s="625" t="s">
        <v>408</v>
      </c>
    </row>
    <row r="356" spans="1:7" x14ac:dyDescent="0.2">
      <c r="A356" s="634" t="s">
        <v>408</v>
      </c>
      <c r="B356" s="624" t="s">
        <v>827</v>
      </c>
      <c r="C356" s="635">
        <v>1</v>
      </c>
      <c r="D356" s="635"/>
      <c r="E356" s="624" t="s">
        <v>408</v>
      </c>
      <c r="F356" s="636" t="s">
        <v>408</v>
      </c>
      <c r="G356" s="625" t="s">
        <v>408</v>
      </c>
    </row>
    <row r="357" spans="1:7" x14ac:dyDescent="0.2">
      <c r="A357" s="634" t="s">
        <v>408</v>
      </c>
      <c r="B357" s="624" t="s">
        <v>828</v>
      </c>
      <c r="C357" s="635" t="s">
        <v>408</v>
      </c>
      <c r="D357" s="635"/>
      <c r="E357" s="624" t="s">
        <v>408</v>
      </c>
      <c r="F357" s="636" t="s">
        <v>408</v>
      </c>
      <c r="G357" s="625" t="s">
        <v>408</v>
      </c>
    </row>
    <row r="358" spans="1:7" x14ac:dyDescent="0.2">
      <c r="A358" s="634" t="s">
        <v>408</v>
      </c>
      <c r="B358" s="624" t="s">
        <v>408</v>
      </c>
      <c r="C358" s="635" t="s">
        <v>408</v>
      </c>
      <c r="D358" s="635"/>
      <c r="E358" s="624" t="s">
        <v>408</v>
      </c>
      <c r="F358" s="636" t="s">
        <v>408</v>
      </c>
      <c r="G358" s="625" t="s">
        <v>408</v>
      </c>
    </row>
    <row r="359" spans="1:7" x14ac:dyDescent="0.2">
      <c r="A359" s="634" t="s">
        <v>408</v>
      </c>
      <c r="B359" s="624" t="s">
        <v>840</v>
      </c>
      <c r="C359" s="635" t="s">
        <v>408</v>
      </c>
      <c r="D359" s="635"/>
      <c r="E359" s="624" t="s">
        <v>408</v>
      </c>
      <c r="F359" s="636" t="s">
        <v>408</v>
      </c>
      <c r="G359" s="625" t="s">
        <v>408</v>
      </c>
    </row>
    <row r="360" spans="1:7" x14ac:dyDescent="0.2">
      <c r="A360" s="634" t="s">
        <v>408</v>
      </c>
      <c r="B360" s="624" t="s">
        <v>841</v>
      </c>
      <c r="C360" s="635" t="s">
        <v>408</v>
      </c>
      <c r="D360" s="635"/>
      <c r="E360" s="624" t="s">
        <v>408</v>
      </c>
      <c r="F360" s="636" t="s">
        <v>408</v>
      </c>
      <c r="G360" s="625" t="s">
        <v>408</v>
      </c>
    </row>
    <row r="361" spans="1:7" x14ac:dyDescent="0.2">
      <c r="A361" s="634" t="s">
        <v>408</v>
      </c>
      <c r="B361" s="624" t="s">
        <v>794</v>
      </c>
      <c r="C361" s="635" t="s">
        <v>408</v>
      </c>
      <c r="D361" s="635"/>
      <c r="E361" s="624" t="s">
        <v>408</v>
      </c>
      <c r="F361" s="636" t="s">
        <v>408</v>
      </c>
      <c r="G361" s="625" t="s">
        <v>408</v>
      </c>
    </row>
    <row r="362" spans="1:7" x14ac:dyDescent="0.2">
      <c r="A362" s="634" t="s">
        <v>408</v>
      </c>
      <c r="B362" s="624" t="s">
        <v>997</v>
      </c>
      <c r="C362" s="635">
        <v>1</v>
      </c>
      <c r="D362" s="635"/>
      <c r="E362" s="624" t="s">
        <v>408</v>
      </c>
      <c r="F362" s="636" t="s">
        <v>408</v>
      </c>
      <c r="G362" s="625" t="s">
        <v>408</v>
      </c>
    </row>
    <row r="363" spans="1:7" x14ac:dyDescent="0.2">
      <c r="A363" s="634" t="s">
        <v>408</v>
      </c>
      <c r="B363" s="624" t="s">
        <v>844</v>
      </c>
      <c r="C363" s="635">
        <v>1</v>
      </c>
      <c r="D363" s="635"/>
      <c r="E363" s="624" t="s">
        <v>408</v>
      </c>
      <c r="F363" s="636" t="s">
        <v>408</v>
      </c>
      <c r="G363" s="625" t="s">
        <v>408</v>
      </c>
    </row>
    <row r="364" spans="1:7" x14ac:dyDescent="0.2">
      <c r="A364" s="634" t="s">
        <v>408</v>
      </c>
      <c r="B364" s="624" t="s">
        <v>845</v>
      </c>
      <c r="C364" s="635">
        <v>1</v>
      </c>
      <c r="D364" s="635"/>
      <c r="E364" s="624" t="s">
        <v>408</v>
      </c>
      <c r="F364" s="636" t="s">
        <v>408</v>
      </c>
      <c r="G364" s="625" t="s">
        <v>408</v>
      </c>
    </row>
    <row r="365" spans="1:7" x14ac:dyDescent="0.2">
      <c r="A365" s="634" t="s">
        <v>408</v>
      </c>
      <c r="B365" s="624" t="s">
        <v>846</v>
      </c>
      <c r="C365" s="635" t="s">
        <v>408</v>
      </c>
      <c r="D365" s="635"/>
      <c r="E365" s="624" t="s">
        <v>408</v>
      </c>
      <c r="F365" s="636" t="s">
        <v>408</v>
      </c>
      <c r="G365" s="625" t="s">
        <v>408</v>
      </c>
    </row>
    <row r="366" spans="1:7" x14ac:dyDescent="0.2">
      <c r="A366" s="634"/>
      <c r="B366" s="624"/>
      <c r="C366" s="635"/>
      <c r="D366" s="635"/>
      <c r="E366" s="624"/>
      <c r="F366" s="636"/>
      <c r="G366" s="625"/>
    </row>
    <row r="367" spans="1:7" x14ac:dyDescent="0.2">
      <c r="A367" s="634" t="s">
        <v>408</v>
      </c>
      <c r="B367" s="624" t="s">
        <v>1095</v>
      </c>
      <c r="C367" s="635" t="s">
        <v>408</v>
      </c>
      <c r="D367" s="635"/>
      <c r="E367" s="624" t="s">
        <v>408</v>
      </c>
      <c r="F367" s="636" t="s">
        <v>408</v>
      </c>
      <c r="G367" s="625" t="s">
        <v>408</v>
      </c>
    </row>
    <row r="368" spans="1:7" x14ac:dyDescent="0.2">
      <c r="A368" s="634" t="s">
        <v>408</v>
      </c>
      <c r="B368" s="624" t="s">
        <v>1101</v>
      </c>
      <c r="C368" s="635">
        <v>1</v>
      </c>
      <c r="D368" s="635"/>
      <c r="E368" s="624" t="s">
        <v>408</v>
      </c>
      <c r="F368" s="636" t="s">
        <v>408</v>
      </c>
      <c r="G368" s="625" t="s">
        <v>408</v>
      </c>
    </row>
    <row r="369" spans="1:7" x14ac:dyDescent="0.2">
      <c r="A369" s="640" t="s">
        <v>408</v>
      </c>
      <c r="B369" s="626" t="s">
        <v>408</v>
      </c>
      <c r="C369" s="642" t="s">
        <v>408</v>
      </c>
      <c r="D369" s="642"/>
      <c r="E369" s="626" t="s">
        <v>408</v>
      </c>
      <c r="F369" s="643" t="s">
        <v>408</v>
      </c>
      <c r="G369" s="627" t="s">
        <v>408</v>
      </c>
    </row>
    <row r="370" spans="1:7" x14ac:dyDescent="0.2">
      <c r="A370" s="631" t="s">
        <v>1102</v>
      </c>
      <c r="B370" s="622" t="s">
        <v>746</v>
      </c>
      <c r="C370" s="632" t="s">
        <v>408</v>
      </c>
      <c r="D370" s="632"/>
      <c r="E370" s="622" t="s">
        <v>747</v>
      </c>
      <c r="F370" s="633">
        <v>13</v>
      </c>
      <c r="G370" s="623" t="s">
        <v>760</v>
      </c>
    </row>
    <row r="371" spans="1:7" x14ac:dyDescent="0.2">
      <c r="A371" s="634" t="s">
        <v>408</v>
      </c>
      <c r="B371" s="624" t="s">
        <v>750</v>
      </c>
      <c r="C371" s="635" t="s">
        <v>408</v>
      </c>
      <c r="D371" s="635"/>
      <c r="E371" s="624" t="s">
        <v>751</v>
      </c>
      <c r="F371" s="636"/>
      <c r="G371" s="625" t="s">
        <v>764</v>
      </c>
    </row>
    <row r="372" spans="1:7" x14ac:dyDescent="0.2">
      <c r="A372" s="634" t="s">
        <v>408</v>
      </c>
      <c r="B372" s="624" t="s">
        <v>754</v>
      </c>
      <c r="C372" s="635" t="s">
        <v>408</v>
      </c>
      <c r="D372" s="635"/>
      <c r="E372" s="624" t="s">
        <v>1106</v>
      </c>
      <c r="F372" s="636" t="s">
        <v>408</v>
      </c>
      <c r="G372" s="625" t="s">
        <v>876</v>
      </c>
    </row>
    <row r="373" spans="1:7" x14ac:dyDescent="0.2">
      <c r="A373" s="634" t="s">
        <v>408</v>
      </c>
      <c r="B373" s="624" t="s">
        <v>758</v>
      </c>
      <c r="C373" s="635">
        <v>2</v>
      </c>
      <c r="D373" s="635"/>
      <c r="E373" s="624" t="s">
        <v>1107</v>
      </c>
      <c r="F373" s="636" t="s">
        <v>408</v>
      </c>
      <c r="G373" s="625" t="s">
        <v>1011</v>
      </c>
    </row>
    <row r="374" spans="1:7" x14ac:dyDescent="0.2">
      <c r="A374" s="634" t="s">
        <v>408</v>
      </c>
      <c r="B374" s="624" t="s">
        <v>762</v>
      </c>
      <c r="C374" s="635">
        <v>1</v>
      </c>
      <c r="D374" s="635"/>
      <c r="E374" s="624" t="s">
        <v>1108</v>
      </c>
      <c r="F374" s="636" t="s">
        <v>408</v>
      </c>
      <c r="G374" s="625" t="s">
        <v>776</v>
      </c>
    </row>
    <row r="375" spans="1:7" x14ac:dyDescent="0.2">
      <c r="A375" s="634" t="s">
        <v>408</v>
      </c>
      <c r="B375" s="624" t="s">
        <v>766</v>
      </c>
      <c r="C375" s="635">
        <v>1</v>
      </c>
      <c r="D375" s="635"/>
      <c r="E375" s="624" t="s">
        <v>1111</v>
      </c>
      <c r="F375" s="636" t="s">
        <v>408</v>
      </c>
      <c r="G375" s="625" t="s">
        <v>779</v>
      </c>
    </row>
    <row r="376" spans="1:7" x14ac:dyDescent="0.2">
      <c r="A376" s="634" t="s">
        <v>408</v>
      </c>
      <c r="B376" s="624" t="s">
        <v>956</v>
      </c>
      <c r="C376" s="635">
        <v>1</v>
      </c>
      <c r="D376" s="635"/>
      <c r="E376" s="624" t="s">
        <v>771</v>
      </c>
      <c r="F376" s="636" t="s">
        <v>408</v>
      </c>
      <c r="G376" s="625" t="s">
        <v>408</v>
      </c>
    </row>
    <row r="377" spans="1:7" x14ac:dyDescent="0.2">
      <c r="A377" s="634" t="s">
        <v>408</v>
      </c>
      <c r="B377" s="624" t="s">
        <v>1094</v>
      </c>
      <c r="C377" s="635">
        <v>1</v>
      </c>
      <c r="D377" s="635"/>
      <c r="E377" s="624" t="s">
        <v>767</v>
      </c>
      <c r="F377" s="636" t="s">
        <v>408</v>
      </c>
      <c r="G377" s="625" t="s">
        <v>408</v>
      </c>
    </row>
    <row r="378" spans="1:7" x14ac:dyDescent="0.2">
      <c r="A378" s="634" t="s">
        <v>408</v>
      </c>
      <c r="B378" s="624" t="s">
        <v>1114</v>
      </c>
      <c r="C378" s="635" t="s">
        <v>408</v>
      </c>
      <c r="D378" s="635"/>
      <c r="E378" s="624"/>
      <c r="F378" s="636" t="s">
        <v>408</v>
      </c>
      <c r="G378" s="625" t="s">
        <v>408</v>
      </c>
    </row>
    <row r="379" spans="1:7" x14ac:dyDescent="0.2">
      <c r="A379" s="637" t="s">
        <v>408</v>
      </c>
      <c r="B379" s="638" t="s">
        <v>781</v>
      </c>
      <c r="C379" s="635">
        <v>1</v>
      </c>
      <c r="D379" s="635"/>
      <c r="E379" s="624" t="s">
        <v>785</v>
      </c>
      <c r="F379" s="636" t="s">
        <v>408</v>
      </c>
      <c r="G379" s="625" t="s">
        <v>408</v>
      </c>
    </row>
    <row r="380" spans="1:7" x14ac:dyDescent="0.2">
      <c r="A380" s="634" t="s">
        <v>408</v>
      </c>
      <c r="B380" s="624" t="s">
        <v>790</v>
      </c>
      <c r="C380" s="635">
        <v>1</v>
      </c>
      <c r="D380" s="635"/>
      <c r="E380" s="624" t="s">
        <v>788</v>
      </c>
      <c r="F380" s="636" t="s">
        <v>408</v>
      </c>
      <c r="G380" s="625" t="s">
        <v>408</v>
      </c>
    </row>
    <row r="381" spans="1:7" x14ac:dyDescent="0.2">
      <c r="A381" s="634" t="s">
        <v>408</v>
      </c>
      <c r="B381" s="624" t="s">
        <v>784</v>
      </c>
      <c r="C381" s="635">
        <v>1</v>
      </c>
      <c r="D381" s="635"/>
      <c r="E381" s="624" t="s">
        <v>791</v>
      </c>
      <c r="F381" s="636" t="s">
        <v>408</v>
      </c>
      <c r="G381" s="625" t="s">
        <v>408</v>
      </c>
    </row>
    <row r="382" spans="1:7" x14ac:dyDescent="0.2">
      <c r="A382" s="634" t="s">
        <v>408</v>
      </c>
      <c r="B382" s="624" t="s">
        <v>787</v>
      </c>
      <c r="C382" s="635">
        <v>1</v>
      </c>
      <c r="D382" s="635"/>
      <c r="E382" s="624" t="s">
        <v>794</v>
      </c>
      <c r="F382" s="636" t="s">
        <v>408</v>
      </c>
      <c r="G382" s="625" t="s">
        <v>408</v>
      </c>
    </row>
    <row r="383" spans="1:7" x14ac:dyDescent="0.2">
      <c r="A383" s="634" t="s">
        <v>408</v>
      </c>
      <c r="B383" s="624" t="s">
        <v>793</v>
      </c>
      <c r="C383" s="635">
        <v>2</v>
      </c>
      <c r="D383" s="635"/>
      <c r="E383" s="624" t="s">
        <v>853</v>
      </c>
      <c r="F383" s="636" t="s">
        <v>408</v>
      </c>
      <c r="G383" s="625" t="s">
        <v>408</v>
      </c>
    </row>
    <row r="384" spans="1:7" x14ac:dyDescent="0.2">
      <c r="A384" s="634" t="s">
        <v>408</v>
      </c>
      <c r="B384" s="624" t="s">
        <v>1092</v>
      </c>
      <c r="C384" s="635">
        <v>1</v>
      </c>
      <c r="D384" s="635"/>
      <c r="E384" s="624"/>
      <c r="F384" s="636" t="s">
        <v>408</v>
      </c>
      <c r="G384" s="625" t="s">
        <v>408</v>
      </c>
    </row>
    <row r="385" spans="1:7" x14ac:dyDescent="0.2">
      <c r="A385" s="634" t="s">
        <v>408</v>
      </c>
      <c r="B385" s="624" t="s">
        <v>1093</v>
      </c>
      <c r="C385" s="635" t="s">
        <v>408</v>
      </c>
      <c r="D385" s="635"/>
      <c r="E385" s="624" t="s">
        <v>813</v>
      </c>
      <c r="F385" s="636" t="s">
        <v>408</v>
      </c>
      <c r="G385" s="625" t="s">
        <v>408</v>
      </c>
    </row>
    <row r="386" spans="1:7" x14ac:dyDescent="0.2">
      <c r="A386" s="634" t="s">
        <v>408</v>
      </c>
      <c r="B386" s="624" t="s">
        <v>1092</v>
      </c>
      <c r="C386" s="635">
        <v>1</v>
      </c>
      <c r="D386" s="635"/>
      <c r="E386" s="624" t="s">
        <v>815</v>
      </c>
      <c r="F386" s="636" t="s">
        <v>408</v>
      </c>
      <c r="G386" s="625" t="s">
        <v>408</v>
      </c>
    </row>
    <row r="387" spans="1:7" x14ac:dyDescent="0.2">
      <c r="A387" s="634" t="s">
        <v>408</v>
      </c>
      <c r="B387" s="624" t="s">
        <v>823</v>
      </c>
      <c r="C387" s="635" t="s">
        <v>408</v>
      </c>
      <c r="D387" s="635"/>
      <c r="E387" s="624" t="s">
        <v>817</v>
      </c>
      <c r="F387" s="636" t="s">
        <v>408</v>
      </c>
      <c r="G387" s="625" t="s">
        <v>408</v>
      </c>
    </row>
    <row r="388" spans="1:7" x14ac:dyDescent="0.2">
      <c r="A388" s="634" t="s">
        <v>408</v>
      </c>
      <c r="B388" s="624" t="s">
        <v>824</v>
      </c>
      <c r="C388" s="635" t="s">
        <v>408</v>
      </c>
      <c r="D388" s="635"/>
      <c r="E388" s="624" t="s">
        <v>819</v>
      </c>
      <c r="F388" s="636" t="s">
        <v>408</v>
      </c>
      <c r="G388" s="625" t="s">
        <v>408</v>
      </c>
    </row>
    <row r="389" spans="1:7" x14ac:dyDescent="0.2">
      <c r="A389" s="634" t="s">
        <v>408</v>
      </c>
      <c r="B389" s="624" t="s">
        <v>408</v>
      </c>
      <c r="C389" s="635" t="s">
        <v>408</v>
      </c>
      <c r="D389" s="635"/>
      <c r="E389" s="624" t="s">
        <v>821</v>
      </c>
      <c r="F389" s="636" t="s">
        <v>408</v>
      </c>
      <c r="G389" s="625" t="s">
        <v>408</v>
      </c>
    </row>
    <row r="390" spans="1:7" x14ac:dyDescent="0.2">
      <c r="A390" s="634" t="s">
        <v>408</v>
      </c>
      <c r="B390" s="624" t="s">
        <v>825</v>
      </c>
      <c r="C390" s="635" t="s">
        <v>408</v>
      </c>
      <c r="D390" s="635"/>
      <c r="E390" s="624" t="s">
        <v>890</v>
      </c>
      <c r="F390" s="636" t="s">
        <v>408</v>
      </c>
      <c r="G390" s="625" t="s">
        <v>408</v>
      </c>
    </row>
    <row r="391" spans="1:7" x14ac:dyDescent="0.2">
      <c r="A391" s="634" t="s">
        <v>408</v>
      </c>
      <c r="B391" s="624" t="s">
        <v>1126</v>
      </c>
      <c r="C391" s="635" t="s">
        <v>408</v>
      </c>
      <c r="D391" s="635"/>
      <c r="E391" s="624" t="s">
        <v>408</v>
      </c>
      <c r="F391" s="636" t="s">
        <v>408</v>
      </c>
      <c r="G391" s="625" t="s">
        <v>408</v>
      </c>
    </row>
    <row r="392" spans="1:7" x14ac:dyDescent="0.2">
      <c r="A392" s="634" t="s">
        <v>408</v>
      </c>
      <c r="B392" s="624" t="s">
        <v>754</v>
      </c>
      <c r="C392" s="635" t="s">
        <v>408</v>
      </c>
      <c r="D392" s="635"/>
      <c r="E392" s="624" t="s">
        <v>408</v>
      </c>
      <c r="F392" s="636" t="s">
        <v>408</v>
      </c>
      <c r="G392" s="625" t="s">
        <v>408</v>
      </c>
    </row>
    <row r="393" spans="1:7" x14ac:dyDescent="0.2">
      <c r="A393" s="634" t="s">
        <v>408</v>
      </c>
      <c r="B393" s="624" t="s">
        <v>826</v>
      </c>
      <c r="C393" s="635">
        <v>1</v>
      </c>
      <c r="D393" s="635"/>
      <c r="E393" s="624" t="s">
        <v>408</v>
      </c>
      <c r="F393" s="636" t="s">
        <v>408</v>
      </c>
      <c r="G393" s="625" t="s">
        <v>408</v>
      </c>
    </row>
    <row r="394" spans="1:7" x14ac:dyDescent="0.2">
      <c r="A394" s="634" t="s">
        <v>408</v>
      </c>
      <c r="B394" s="624" t="s">
        <v>1130</v>
      </c>
      <c r="C394" s="635">
        <v>1</v>
      </c>
      <c r="D394" s="635"/>
      <c r="E394" s="624" t="s">
        <v>408</v>
      </c>
      <c r="F394" s="636" t="s">
        <v>408</v>
      </c>
      <c r="G394" s="625" t="s">
        <v>408</v>
      </c>
    </row>
    <row r="395" spans="1:7" x14ac:dyDescent="0.2">
      <c r="A395" s="634" t="s">
        <v>408</v>
      </c>
      <c r="B395" s="624" t="s">
        <v>1132</v>
      </c>
      <c r="C395" s="635" t="s">
        <v>408</v>
      </c>
      <c r="D395" s="635"/>
      <c r="E395" s="624" t="s">
        <v>408</v>
      </c>
      <c r="F395" s="636" t="s">
        <v>408</v>
      </c>
      <c r="G395" s="625" t="s">
        <v>408</v>
      </c>
    </row>
    <row r="396" spans="1:7" x14ac:dyDescent="0.2">
      <c r="A396" s="634" t="s">
        <v>408</v>
      </c>
      <c r="B396" s="624" t="s">
        <v>1133</v>
      </c>
      <c r="C396" s="635">
        <v>1</v>
      </c>
      <c r="D396" s="635"/>
      <c r="E396" s="624" t="s">
        <v>408</v>
      </c>
      <c r="F396" s="636" t="s">
        <v>408</v>
      </c>
      <c r="G396" s="625" t="s">
        <v>408</v>
      </c>
    </row>
    <row r="397" spans="1:7" x14ac:dyDescent="0.2">
      <c r="A397" s="634" t="s">
        <v>408</v>
      </c>
      <c r="B397" s="624" t="s">
        <v>1134</v>
      </c>
      <c r="C397" s="635" t="s">
        <v>408</v>
      </c>
      <c r="D397" s="635"/>
      <c r="E397" s="624" t="s">
        <v>408</v>
      </c>
      <c r="F397" s="636" t="s">
        <v>408</v>
      </c>
      <c r="G397" s="625" t="s">
        <v>408</v>
      </c>
    </row>
    <row r="398" spans="1:7" x14ac:dyDescent="0.2">
      <c r="A398" s="634" t="s">
        <v>408</v>
      </c>
      <c r="B398" s="624" t="s">
        <v>912</v>
      </c>
      <c r="C398" s="635">
        <v>1</v>
      </c>
      <c r="D398" s="635"/>
      <c r="E398" s="624" t="s">
        <v>408</v>
      </c>
      <c r="F398" s="636" t="s">
        <v>408</v>
      </c>
      <c r="G398" s="625" t="s">
        <v>408</v>
      </c>
    </row>
    <row r="399" spans="1:7" x14ac:dyDescent="0.2">
      <c r="A399" s="634" t="s">
        <v>408</v>
      </c>
      <c r="B399" s="624" t="s">
        <v>1136</v>
      </c>
      <c r="C399" s="635" t="s">
        <v>408</v>
      </c>
      <c r="D399" s="635"/>
      <c r="E399" s="624" t="s">
        <v>408</v>
      </c>
      <c r="F399" s="636" t="s">
        <v>408</v>
      </c>
      <c r="G399" s="625" t="s">
        <v>408</v>
      </c>
    </row>
    <row r="400" spans="1:7" x14ac:dyDescent="0.2">
      <c r="A400" s="634" t="s">
        <v>408</v>
      </c>
      <c r="B400" s="624" t="s">
        <v>832</v>
      </c>
      <c r="C400" s="635">
        <v>1</v>
      </c>
      <c r="D400" s="635"/>
      <c r="E400" s="624" t="s">
        <v>408</v>
      </c>
      <c r="F400" s="636" t="s">
        <v>408</v>
      </c>
      <c r="G400" s="625" t="s">
        <v>408</v>
      </c>
    </row>
    <row r="401" spans="1:7" x14ac:dyDescent="0.2">
      <c r="A401" s="634" t="s">
        <v>408</v>
      </c>
      <c r="B401" s="624" t="s">
        <v>833</v>
      </c>
      <c r="C401" s="635" t="s">
        <v>408</v>
      </c>
      <c r="D401" s="635"/>
      <c r="E401" s="624" t="s">
        <v>408</v>
      </c>
      <c r="F401" s="636" t="s">
        <v>408</v>
      </c>
      <c r="G401" s="625" t="s">
        <v>408</v>
      </c>
    </row>
    <row r="402" spans="1:7" x14ac:dyDescent="0.2">
      <c r="A402" s="634" t="s">
        <v>408</v>
      </c>
      <c r="B402" s="624" t="s">
        <v>861</v>
      </c>
      <c r="C402" s="635">
        <v>1</v>
      </c>
      <c r="D402" s="635"/>
      <c r="E402" s="624" t="s">
        <v>408</v>
      </c>
      <c r="F402" s="636" t="s">
        <v>408</v>
      </c>
      <c r="G402" s="625" t="s">
        <v>408</v>
      </c>
    </row>
    <row r="403" spans="1:7" x14ac:dyDescent="0.2">
      <c r="A403" s="634" t="s">
        <v>408</v>
      </c>
      <c r="B403" s="624" t="s">
        <v>828</v>
      </c>
      <c r="C403" s="635" t="s">
        <v>408</v>
      </c>
      <c r="D403" s="635"/>
      <c r="E403" s="624" t="s">
        <v>408</v>
      </c>
      <c r="F403" s="636" t="s">
        <v>408</v>
      </c>
      <c r="G403" s="625" t="s">
        <v>408</v>
      </c>
    </row>
    <row r="404" spans="1:7" x14ac:dyDescent="0.2">
      <c r="A404" s="634" t="s">
        <v>408</v>
      </c>
      <c r="B404" s="624" t="s">
        <v>1137</v>
      </c>
      <c r="C404" s="635">
        <v>1</v>
      </c>
      <c r="D404" s="635"/>
      <c r="E404" s="624" t="s">
        <v>408</v>
      </c>
      <c r="F404" s="636" t="s">
        <v>408</v>
      </c>
      <c r="G404" s="625" t="s">
        <v>408</v>
      </c>
    </row>
    <row r="405" spans="1:7" x14ac:dyDescent="0.2">
      <c r="A405" s="634" t="s">
        <v>408</v>
      </c>
      <c r="B405" s="624" t="s">
        <v>904</v>
      </c>
      <c r="C405" s="635">
        <v>1</v>
      </c>
      <c r="D405" s="635"/>
      <c r="E405" s="624" t="s">
        <v>408</v>
      </c>
      <c r="F405" s="636" t="s">
        <v>408</v>
      </c>
      <c r="G405" s="625" t="s">
        <v>408</v>
      </c>
    </row>
    <row r="406" spans="1:7" x14ac:dyDescent="0.2">
      <c r="A406" s="634" t="s">
        <v>408</v>
      </c>
      <c r="B406" s="624" t="s">
        <v>408</v>
      </c>
      <c r="C406" s="635" t="s">
        <v>408</v>
      </c>
      <c r="D406" s="635"/>
      <c r="E406" s="624" t="s">
        <v>408</v>
      </c>
      <c r="F406" s="636" t="s">
        <v>408</v>
      </c>
      <c r="G406" s="625" t="s">
        <v>408</v>
      </c>
    </row>
    <row r="407" spans="1:7" x14ac:dyDescent="0.2">
      <c r="A407" s="634" t="s">
        <v>408</v>
      </c>
      <c r="B407" s="624" t="s">
        <v>840</v>
      </c>
      <c r="C407" s="635" t="s">
        <v>408</v>
      </c>
      <c r="D407" s="635"/>
      <c r="E407" s="624" t="s">
        <v>408</v>
      </c>
      <c r="F407" s="636" t="s">
        <v>408</v>
      </c>
      <c r="G407" s="625" t="s">
        <v>408</v>
      </c>
    </row>
    <row r="408" spans="1:7" x14ac:dyDescent="0.2">
      <c r="A408" s="634" t="s">
        <v>408</v>
      </c>
      <c r="B408" s="624" t="s">
        <v>841</v>
      </c>
      <c r="C408" s="635" t="s">
        <v>408</v>
      </c>
      <c r="D408" s="635"/>
      <c r="E408" s="624" t="s">
        <v>408</v>
      </c>
      <c r="F408" s="636" t="s">
        <v>408</v>
      </c>
      <c r="G408" s="625" t="s">
        <v>408</v>
      </c>
    </row>
    <row r="409" spans="1:7" x14ac:dyDescent="0.2">
      <c r="A409" s="634" t="s">
        <v>408</v>
      </c>
      <c r="B409" s="624" t="s">
        <v>794</v>
      </c>
      <c r="C409" s="635" t="s">
        <v>408</v>
      </c>
      <c r="D409" s="635"/>
      <c r="E409" s="624" t="s">
        <v>408</v>
      </c>
      <c r="F409" s="636" t="s">
        <v>408</v>
      </c>
      <c r="G409" s="625" t="s">
        <v>408</v>
      </c>
    </row>
    <row r="410" spans="1:7" x14ac:dyDescent="0.2">
      <c r="A410" s="634" t="s">
        <v>408</v>
      </c>
      <c r="B410" s="624" t="s">
        <v>844</v>
      </c>
      <c r="C410" s="635">
        <v>1</v>
      </c>
      <c r="D410" s="635"/>
      <c r="E410" s="624" t="s">
        <v>408</v>
      </c>
      <c r="F410" s="636" t="s">
        <v>408</v>
      </c>
      <c r="G410" s="625" t="s">
        <v>408</v>
      </c>
    </row>
    <row r="411" spans="1:7" x14ac:dyDescent="0.2">
      <c r="A411" s="634" t="s">
        <v>408</v>
      </c>
      <c r="B411" s="624" t="s">
        <v>845</v>
      </c>
      <c r="C411" s="635">
        <v>1</v>
      </c>
      <c r="D411" s="635"/>
      <c r="E411" s="624" t="s">
        <v>408</v>
      </c>
      <c r="F411" s="636" t="s">
        <v>408</v>
      </c>
      <c r="G411" s="625" t="s">
        <v>408</v>
      </c>
    </row>
    <row r="412" spans="1:7" x14ac:dyDescent="0.2">
      <c r="A412" s="634" t="s">
        <v>408</v>
      </c>
      <c r="B412" s="624" t="s">
        <v>846</v>
      </c>
      <c r="C412" s="635" t="s">
        <v>408</v>
      </c>
      <c r="D412" s="635"/>
      <c r="E412" s="624" t="s">
        <v>408</v>
      </c>
      <c r="F412" s="636" t="s">
        <v>408</v>
      </c>
      <c r="G412" s="625" t="s">
        <v>408</v>
      </c>
    </row>
    <row r="413" spans="1:7" x14ac:dyDescent="0.2">
      <c r="A413" s="634"/>
      <c r="B413" s="624"/>
      <c r="C413" s="635"/>
      <c r="D413" s="635"/>
      <c r="E413" s="624"/>
      <c r="F413" s="636"/>
      <c r="G413" s="625"/>
    </row>
    <row r="414" spans="1:7" x14ac:dyDescent="0.2">
      <c r="A414" s="634" t="s">
        <v>408</v>
      </c>
      <c r="B414" s="624" t="s">
        <v>834</v>
      </c>
      <c r="C414" s="635" t="s">
        <v>408</v>
      </c>
      <c r="D414" s="635"/>
      <c r="E414" s="624" t="s">
        <v>408</v>
      </c>
      <c r="F414" s="636" t="s">
        <v>408</v>
      </c>
      <c r="G414" s="625" t="s">
        <v>408</v>
      </c>
    </row>
    <row r="415" spans="1:7" x14ac:dyDescent="0.2">
      <c r="A415" s="634" t="s">
        <v>408</v>
      </c>
      <c r="B415" s="624" t="s">
        <v>1138</v>
      </c>
      <c r="C415" s="635">
        <v>1</v>
      </c>
      <c r="D415" s="635"/>
      <c r="E415" s="624" t="s">
        <v>408</v>
      </c>
      <c r="F415" s="636" t="s">
        <v>408</v>
      </c>
      <c r="G415" s="625" t="s">
        <v>408</v>
      </c>
    </row>
    <row r="416" spans="1:7" x14ac:dyDescent="0.2">
      <c r="A416" s="634" t="s">
        <v>408</v>
      </c>
      <c r="B416" s="624" t="s">
        <v>1139</v>
      </c>
      <c r="C416" s="635">
        <v>1</v>
      </c>
      <c r="D416" s="635"/>
      <c r="E416" s="624" t="s">
        <v>408</v>
      </c>
      <c r="F416" s="636" t="s">
        <v>408</v>
      </c>
      <c r="G416" s="625" t="s">
        <v>408</v>
      </c>
    </row>
    <row r="417" spans="1:7" x14ac:dyDescent="0.2">
      <c r="A417" s="634" t="s">
        <v>408</v>
      </c>
      <c r="B417" s="624" t="s">
        <v>1140</v>
      </c>
      <c r="C417" s="635">
        <v>1</v>
      </c>
      <c r="D417" s="635"/>
      <c r="E417" s="624" t="s">
        <v>408</v>
      </c>
      <c r="F417" s="636" t="s">
        <v>408</v>
      </c>
      <c r="G417" s="625" t="s">
        <v>408</v>
      </c>
    </row>
    <row r="418" spans="1:7" x14ac:dyDescent="0.2">
      <c r="A418" s="640" t="s">
        <v>408</v>
      </c>
      <c r="B418" s="626" t="s">
        <v>408</v>
      </c>
      <c r="C418" s="642" t="s">
        <v>408</v>
      </c>
      <c r="D418" s="642"/>
      <c r="E418" s="626" t="s">
        <v>408</v>
      </c>
      <c r="F418" s="643" t="s">
        <v>408</v>
      </c>
      <c r="G418" s="627" t="s">
        <v>408</v>
      </c>
    </row>
    <row r="419" spans="1:7" x14ac:dyDescent="0.2">
      <c r="A419" s="631" t="s">
        <v>1141</v>
      </c>
      <c r="B419" s="622" t="s">
        <v>746</v>
      </c>
      <c r="C419" s="632" t="s">
        <v>408</v>
      </c>
      <c r="D419" s="632"/>
      <c r="E419" s="622" t="s">
        <v>747</v>
      </c>
      <c r="F419" s="633">
        <v>10</v>
      </c>
      <c r="G419" s="623" t="s">
        <v>1143</v>
      </c>
    </row>
    <row r="420" spans="1:7" x14ac:dyDescent="0.2">
      <c r="A420" s="634" t="s">
        <v>408</v>
      </c>
      <c r="B420" s="624" t="s">
        <v>750</v>
      </c>
      <c r="C420" s="635" t="s">
        <v>408</v>
      </c>
      <c r="D420" s="635"/>
      <c r="E420" s="624" t="s">
        <v>751</v>
      </c>
      <c r="F420" s="636" t="s">
        <v>408</v>
      </c>
      <c r="G420" s="625" t="s">
        <v>1145</v>
      </c>
    </row>
    <row r="421" spans="1:7" x14ac:dyDescent="0.2">
      <c r="A421" s="634" t="s">
        <v>408</v>
      </c>
      <c r="B421" s="624" t="s">
        <v>754</v>
      </c>
      <c r="C421" s="635" t="s">
        <v>408</v>
      </c>
      <c r="D421" s="635"/>
      <c r="E421" s="624" t="s">
        <v>767</v>
      </c>
      <c r="F421" s="636" t="s">
        <v>408</v>
      </c>
      <c r="G421" s="625" t="s">
        <v>1147</v>
      </c>
    </row>
    <row r="422" spans="1:7" x14ac:dyDescent="0.2">
      <c r="A422" s="634" t="s">
        <v>408</v>
      </c>
      <c r="B422" s="624" t="s">
        <v>758</v>
      </c>
      <c r="C422" s="635">
        <v>1</v>
      </c>
      <c r="D422" s="635"/>
      <c r="E422" s="624"/>
      <c r="F422" s="636" t="s">
        <v>408</v>
      </c>
      <c r="G422" s="625" t="s">
        <v>1149</v>
      </c>
    </row>
    <row r="423" spans="1:7" x14ac:dyDescent="0.2">
      <c r="A423" s="634" t="s">
        <v>408</v>
      </c>
      <c r="B423" s="624" t="s">
        <v>766</v>
      </c>
      <c r="C423" s="635">
        <v>1</v>
      </c>
      <c r="D423" s="635"/>
      <c r="E423" s="624" t="s">
        <v>785</v>
      </c>
      <c r="F423" s="636" t="s">
        <v>408</v>
      </c>
      <c r="G423" s="625" t="s">
        <v>1152</v>
      </c>
    </row>
    <row r="424" spans="1:7" x14ac:dyDescent="0.2">
      <c r="A424" s="634" t="s">
        <v>408</v>
      </c>
      <c r="B424" s="624" t="s">
        <v>762</v>
      </c>
      <c r="C424" s="635">
        <v>1</v>
      </c>
      <c r="D424" s="635"/>
      <c r="E424" s="624" t="s">
        <v>788</v>
      </c>
      <c r="F424" s="636" t="s">
        <v>408</v>
      </c>
      <c r="G424" s="625" t="s">
        <v>408</v>
      </c>
    </row>
    <row r="425" spans="1:7" x14ac:dyDescent="0.2">
      <c r="A425" s="634" t="s">
        <v>408</v>
      </c>
      <c r="B425" s="624" t="s">
        <v>781</v>
      </c>
      <c r="C425" s="635">
        <v>1</v>
      </c>
      <c r="D425" s="635"/>
      <c r="E425" s="624" t="s">
        <v>791</v>
      </c>
      <c r="F425" s="636" t="s">
        <v>408</v>
      </c>
      <c r="G425" s="625" t="s">
        <v>408</v>
      </c>
    </row>
    <row r="426" spans="1:7" x14ac:dyDescent="0.2">
      <c r="A426" s="634" t="s">
        <v>408</v>
      </c>
      <c r="B426" s="624" t="s">
        <v>784</v>
      </c>
      <c r="C426" s="635">
        <v>1</v>
      </c>
      <c r="D426" s="635"/>
      <c r="E426" s="624" t="s">
        <v>794</v>
      </c>
      <c r="F426" s="636" t="s">
        <v>408</v>
      </c>
      <c r="G426" s="625" t="s">
        <v>408</v>
      </c>
    </row>
    <row r="427" spans="1:7" x14ac:dyDescent="0.2">
      <c r="A427" s="634" t="s">
        <v>408</v>
      </c>
      <c r="B427" s="624" t="s">
        <v>787</v>
      </c>
      <c r="C427" s="635">
        <v>1</v>
      </c>
      <c r="D427" s="635"/>
      <c r="E427" s="624" t="s">
        <v>853</v>
      </c>
      <c r="F427" s="636" t="s">
        <v>408</v>
      </c>
      <c r="G427" s="625" t="s">
        <v>408</v>
      </c>
    </row>
    <row r="428" spans="1:7" x14ac:dyDescent="0.2">
      <c r="A428" s="634" t="s">
        <v>408</v>
      </c>
      <c r="B428" s="624" t="s">
        <v>1161</v>
      </c>
      <c r="C428" s="635">
        <v>1</v>
      </c>
      <c r="D428" s="635"/>
      <c r="E428" s="624"/>
      <c r="F428" s="636" t="s">
        <v>408</v>
      </c>
      <c r="G428" s="625" t="s">
        <v>408</v>
      </c>
    </row>
    <row r="429" spans="1:7" x14ac:dyDescent="0.2">
      <c r="A429" s="634" t="s">
        <v>408</v>
      </c>
      <c r="B429" s="624" t="s">
        <v>1163</v>
      </c>
      <c r="C429" s="635">
        <v>1</v>
      </c>
      <c r="D429" s="635"/>
      <c r="E429" s="624" t="s">
        <v>813</v>
      </c>
      <c r="F429" s="636" t="s">
        <v>408</v>
      </c>
      <c r="G429" s="625" t="s">
        <v>408</v>
      </c>
    </row>
    <row r="430" spans="1:7" x14ac:dyDescent="0.2">
      <c r="A430" s="634" t="s">
        <v>408</v>
      </c>
      <c r="B430" s="624" t="s">
        <v>1166</v>
      </c>
      <c r="C430" s="635" t="s">
        <v>408</v>
      </c>
      <c r="D430" s="635"/>
      <c r="E430" s="624" t="s">
        <v>815</v>
      </c>
      <c r="F430" s="636" t="s">
        <v>408</v>
      </c>
      <c r="G430" s="625" t="s">
        <v>408</v>
      </c>
    </row>
    <row r="431" spans="1:7" x14ac:dyDescent="0.2">
      <c r="A431" s="634" t="s">
        <v>408</v>
      </c>
      <c r="B431" s="624" t="s">
        <v>1167</v>
      </c>
      <c r="C431" s="635">
        <v>1</v>
      </c>
      <c r="D431" s="635"/>
      <c r="E431" s="624" t="s">
        <v>817</v>
      </c>
      <c r="F431" s="636" t="s">
        <v>408</v>
      </c>
      <c r="G431" s="625" t="s">
        <v>408</v>
      </c>
    </row>
    <row r="432" spans="1:7" x14ac:dyDescent="0.2">
      <c r="A432" s="634" t="s">
        <v>408</v>
      </c>
      <c r="B432" s="624" t="s">
        <v>816</v>
      </c>
      <c r="C432" s="635" t="s">
        <v>408</v>
      </c>
      <c r="D432" s="635"/>
      <c r="E432" s="624" t="s">
        <v>1170</v>
      </c>
      <c r="F432" s="636" t="s">
        <v>408</v>
      </c>
      <c r="G432" s="625" t="s">
        <v>408</v>
      </c>
    </row>
    <row r="433" spans="1:7" x14ac:dyDescent="0.2">
      <c r="A433" s="634" t="s">
        <v>408</v>
      </c>
      <c r="B433" s="624" t="s">
        <v>852</v>
      </c>
      <c r="C433" s="635">
        <v>1</v>
      </c>
      <c r="D433" s="635"/>
      <c r="E433" s="624" t="s">
        <v>821</v>
      </c>
      <c r="F433" s="636" t="s">
        <v>408</v>
      </c>
      <c r="G433" s="625" t="s">
        <v>408</v>
      </c>
    </row>
    <row r="434" spans="1:7" x14ac:dyDescent="0.2">
      <c r="A434" s="634" t="s">
        <v>408</v>
      </c>
      <c r="B434" s="624" t="s">
        <v>790</v>
      </c>
      <c r="C434" s="635">
        <v>1</v>
      </c>
      <c r="D434" s="635"/>
      <c r="E434" s="624" t="s">
        <v>408</v>
      </c>
      <c r="F434" s="636" t="s">
        <v>408</v>
      </c>
      <c r="G434" s="625" t="s">
        <v>408</v>
      </c>
    </row>
    <row r="435" spans="1:7" x14ac:dyDescent="0.2">
      <c r="A435" s="634" t="s">
        <v>408</v>
      </c>
      <c r="B435" s="624" t="s">
        <v>1044</v>
      </c>
      <c r="C435" s="635">
        <v>1</v>
      </c>
      <c r="D435" s="635"/>
      <c r="E435" s="624" t="s">
        <v>408</v>
      </c>
      <c r="F435" s="636" t="s">
        <v>408</v>
      </c>
      <c r="G435" s="625" t="s">
        <v>408</v>
      </c>
    </row>
    <row r="436" spans="1:7" x14ac:dyDescent="0.2">
      <c r="A436" s="634" t="s">
        <v>408</v>
      </c>
      <c r="B436" s="624" t="s">
        <v>1047</v>
      </c>
      <c r="C436" s="635" t="s">
        <v>408</v>
      </c>
      <c r="D436" s="635"/>
      <c r="E436" s="624" t="s">
        <v>408</v>
      </c>
      <c r="F436" s="636" t="s">
        <v>408</v>
      </c>
      <c r="G436" s="625" t="s">
        <v>408</v>
      </c>
    </row>
    <row r="437" spans="1:7" x14ac:dyDescent="0.2">
      <c r="A437" s="634" t="s">
        <v>408</v>
      </c>
      <c r="B437" s="624" t="s">
        <v>408</v>
      </c>
      <c r="C437" s="635"/>
      <c r="D437" s="635"/>
      <c r="E437" s="624"/>
      <c r="F437" s="636" t="s">
        <v>408</v>
      </c>
      <c r="G437" s="625" t="s">
        <v>408</v>
      </c>
    </row>
    <row r="438" spans="1:7" x14ac:dyDescent="0.2">
      <c r="A438" s="634" t="s">
        <v>408</v>
      </c>
      <c r="B438" s="624" t="s">
        <v>825</v>
      </c>
      <c r="C438" s="635"/>
      <c r="D438" s="635"/>
      <c r="E438" s="624"/>
      <c r="F438" s="636" t="s">
        <v>408</v>
      </c>
      <c r="G438" s="625" t="s">
        <v>408</v>
      </c>
    </row>
    <row r="439" spans="1:7" x14ac:dyDescent="0.2">
      <c r="A439" s="634" t="s">
        <v>408</v>
      </c>
      <c r="B439" s="624" t="s">
        <v>1126</v>
      </c>
      <c r="C439" s="635"/>
      <c r="D439" s="635"/>
      <c r="E439" s="624"/>
      <c r="F439" s="636" t="s">
        <v>408</v>
      </c>
      <c r="G439" s="625" t="s">
        <v>408</v>
      </c>
    </row>
    <row r="440" spans="1:7" x14ac:dyDescent="0.2">
      <c r="A440" s="634" t="s">
        <v>408</v>
      </c>
      <c r="B440" s="624" t="s">
        <v>754</v>
      </c>
      <c r="C440" s="635"/>
      <c r="D440" s="635"/>
      <c r="E440" s="624"/>
      <c r="F440" s="636" t="s">
        <v>408</v>
      </c>
      <c r="G440" s="625" t="s">
        <v>408</v>
      </c>
    </row>
    <row r="441" spans="1:7" x14ac:dyDescent="0.2">
      <c r="A441" s="634" t="s">
        <v>408</v>
      </c>
      <c r="B441" s="624" t="s">
        <v>826</v>
      </c>
      <c r="C441" s="635">
        <v>1</v>
      </c>
      <c r="D441" s="635"/>
      <c r="E441" s="624" t="s">
        <v>408</v>
      </c>
      <c r="F441" s="636" t="s">
        <v>408</v>
      </c>
      <c r="G441" s="625" t="s">
        <v>408</v>
      </c>
    </row>
    <row r="442" spans="1:7" x14ac:dyDescent="0.2">
      <c r="A442" s="634" t="s">
        <v>408</v>
      </c>
      <c r="B442" s="624" t="s">
        <v>1186</v>
      </c>
      <c r="C442" s="635">
        <v>1</v>
      </c>
      <c r="D442" s="635"/>
      <c r="E442" s="624" t="s">
        <v>408</v>
      </c>
      <c r="F442" s="636" t="s">
        <v>408</v>
      </c>
      <c r="G442" s="625" t="s">
        <v>408</v>
      </c>
    </row>
    <row r="443" spans="1:7" x14ac:dyDescent="0.2">
      <c r="A443" s="634" t="s">
        <v>408</v>
      </c>
      <c r="B443" s="624" t="s">
        <v>1188</v>
      </c>
      <c r="C443" s="635" t="s">
        <v>408</v>
      </c>
      <c r="D443" s="635"/>
      <c r="E443" s="624" t="s">
        <v>408</v>
      </c>
      <c r="F443" s="636" t="s">
        <v>408</v>
      </c>
      <c r="G443" s="625" t="s">
        <v>408</v>
      </c>
    </row>
    <row r="444" spans="1:7" x14ac:dyDescent="0.2">
      <c r="A444" s="634" t="s">
        <v>408</v>
      </c>
      <c r="B444" s="624" t="s">
        <v>832</v>
      </c>
      <c r="C444" s="635">
        <v>1</v>
      </c>
      <c r="D444" s="635"/>
      <c r="E444" s="624" t="s">
        <v>408</v>
      </c>
      <c r="F444" s="636" t="s">
        <v>408</v>
      </c>
      <c r="G444" s="625" t="s">
        <v>408</v>
      </c>
    </row>
    <row r="445" spans="1:7" x14ac:dyDescent="0.2">
      <c r="A445" s="634" t="s">
        <v>408</v>
      </c>
      <c r="B445" s="624" t="s">
        <v>833</v>
      </c>
      <c r="C445" s="635" t="s">
        <v>408</v>
      </c>
      <c r="D445" s="635"/>
      <c r="E445" s="624" t="s">
        <v>408</v>
      </c>
      <c r="F445" s="636" t="s">
        <v>408</v>
      </c>
      <c r="G445" s="625" t="s">
        <v>408</v>
      </c>
    </row>
    <row r="446" spans="1:7" x14ac:dyDescent="0.2">
      <c r="A446" s="634" t="s">
        <v>408</v>
      </c>
      <c r="B446" s="624" t="s">
        <v>1192</v>
      </c>
      <c r="C446" s="635">
        <v>1</v>
      </c>
      <c r="D446" s="635"/>
      <c r="E446" s="624" t="s">
        <v>408</v>
      </c>
      <c r="F446" s="636" t="s">
        <v>408</v>
      </c>
      <c r="G446" s="625" t="s">
        <v>408</v>
      </c>
    </row>
    <row r="447" spans="1:7" x14ac:dyDescent="0.2">
      <c r="A447" s="634" t="s">
        <v>408</v>
      </c>
      <c r="B447" s="624" t="s">
        <v>1195</v>
      </c>
      <c r="C447" s="635" t="s">
        <v>408</v>
      </c>
      <c r="D447" s="635"/>
      <c r="E447" s="624" t="s">
        <v>408</v>
      </c>
      <c r="F447" s="636" t="s">
        <v>408</v>
      </c>
      <c r="G447" s="625" t="s">
        <v>408</v>
      </c>
    </row>
    <row r="448" spans="1:7" x14ac:dyDescent="0.2">
      <c r="A448" s="634" t="s">
        <v>408</v>
      </c>
      <c r="B448" s="624" t="s">
        <v>408</v>
      </c>
      <c r="C448" s="635" t="s">
        <v>408</v>
      </c>
      <c r="D448" s="635"/>
      <c r="E448" s="624" t="s">
        <v>408</v>
      </c>
      <c r="F448" s="636" t="s">
        <v>408</v>
      </c>
      <c r="G448" s="625" t="s">
        <v>408</v>
      </c>
    </row>
    <row r="449" spans="1:7" x14ac:dyDescent="0.2">
      <c r="A449" s="634" t="s">
        <v>408</v>
      </c>
      <c r="B449" s="624" t="s">
        <v>834</v>
      </c>
      <c r="C449" s="635" t="s">
        <v>408</v>
      </c>
      <c r="D449" s="635"/>
      <c r="E449" s="624" t="s">
        <v>408</v>
      </c>
      <c r="F449" s="636" t="s">
        <v>408</v>
      </c>
      <c r="G449" s="625" t="s">
        <v>408</v>
      </c>
    </row>
    <row r="450" spans="1:7" x14ac:dyDescent="0.2">
      <c r="A450" s="634" t="s">
        <v>408</v>
      </c>
      <c r="B450" s="624" t="s">
        <v>1201</v>
      </c>
      <c r="C450" s="635">
        <v>1</v>
      </c>
      <c r="D450" s="635"/>
      <c r="E450" s="624" t="s">
        <v>408</v>
      </c>
      <c r="F450" s="636" t="s">
        <v>408</v>
      </c>
      <c r="G450" s="625" t="s">
        <v>408</v>
      </c>
    </row>
    <row r="451" spans="1:7" x14ac:dyDescent="0.2">
      <c r="A451" s="634" t="s">
        <v>408</v>
      </c>
      <c r="B451" s="624" t="s">
        <v>862</v>
      </c>
      <c r="C451" s="635">
        <v>1</v>
      </c>
      <c r="D451" s="635"/>
      <c r="E451" s="624" t="s">
        <v>408</v>
      </c>
      <c r="F451" s="636" t="s">
        <v>408</v>
      </c>
      <c r="G451" s="625" t="s">
        <v>408</v>
      </c>
    </row>
    <row r="452" spans="1:7" x14ac:dyDescent="0.2">
      <c r="A452" s="634" t="s">
        <v>408</v>
      </c>
      <c r="B452" s="624" t="s">
        <v>831</v>
      </c>
      <c r="C452" s="635" t="s">
        <v>408</v>
      </c>
      <c r="D452" s="635"/>
      <c r="E452" s="624" t="s">
        <v>408</v>
      </c>
      <c r="F452" s="636" t="s">
        <v>408</v>
      </c>
      <c r="G452" s="625" t="s">
        <v>408</v>
      </c>
    </row>
    <row r="453" spans="1:7" x14ac:dyDescent="0.2">
      <c r="A453" s="634" t="s">
        <v>408</v>
      </c>
      <c r="B453" s="624" t="s">
        <v>408</v>
      </c>
      <c r="C453" s="645"/>
      <c r="D453" s="645"/>
      <c r="E453" s="624"/>
      <c r="F453" s="636" t="s">
        <v>408</v>
      </c>
      <c r="G453" s="625" t="s">
        <v>408</v>
      </c>
    </row>
    <row r="454" spans="1:7" x14ac:dyDescent="0.2">
      <c r="A454" s="634" t="s">
        <v>408</v>
      </c>
      <c r="B454" s="624" t="s">
        <v>840</v>
      </c>
      <c r="C454" s="645"/>
      <c r="D454" s="645"/>
      <c r="E454" s="624"/>
      <c r="F454" s="636" t="s">
        <v>408</v>
      </c>
      <c r="G454" s="625" t="s">
        <v>408</v>
      </c>
    </row>
    <row r="455" spans="1:7" x14ac:dyDescent="0.2">
      <c r="A455" s="634" t="s">
        <v>408</v>
      </c>
      <c r="B455" s="624" t="s">
        <v>841</v>
      </c>
      <c r="C455" s="645"/>
      <c r="D455" s="645"/>
      <c r="E455" s="624"/>
      <c r="F455" s="636" t="s">
        <v>408</v>
      </c>
      <c r="G455" s="625" t="s">
        <v>408</v>
      </c>
    </row>
    <row r="456" spans="1:7" x14ac:dyDescent="0.2">
      <c r="A456" s="634" t="s">
        <v>408</v>
      </c>
      <c r="B456" s="624" t="s">
        <v>794</v>
      </c>
      <c r="C456" s="645"/>
      <c r="D456" s="645"/>
      <c r="E456" s="624"/>
      <c r="F456" s="636" t="s">
        <v>408</v>
      </c>
      <c r="G456" s="625" t="s">
        <v>408</v>
      </c>
    </row>
    <row r="457" spans="1:7" x14ac:dyDescent="0.2">
      <c r="A457" s="634" t="s">
        <v>408</v>
      </c>
      <c r="B457" s="624" t="s">
        <v>844</v>
      </c>
      <c r="C457" s="635">
        <v>1</v>
      </c>
      <c r="D457" s="635"/>
      <c r="E457" s="624" t="s">
        <v>408</v>
      </c>
      <c r="F457" s="636" t="s">
        <v>408</v>
      </c>
      <c r="G457" s="625" t="s">
        <v>408</v>
      </c>
    </row>
    <row r="458" spans="1:7" x14ac:dyDescent="0.2">
      <c r="A458" s="634" t="s">
        <v>408</v>
      </c>
      <c r="B458" s="624" t="s">
        <v>845</v>
      </c>
      <c r="C458" s="635">
        <v>1</v>
      </c>
      <c r="D458" s="635"/>
      <c r="E458" s="624" t="s">
        <v>408</v>
      </c>
      <c r="F458" s="636" t="s">
        <v>408</v>
      </c>
      <c r="G458" s="625" t="s">
        <v>408</v>
      </c>
    </row>
    <row r="459" spans="1:7" x14ac:dyDescent="0.2">
      <c r="A459" s="634" t="s">
        <v>408</v>
      </c>
      <c r="B459" s="624" t="s">
        <v>846</v>
      </c>
      <c r="C459" s="635" t="s">
        <v>408</v>
      </c>
      <c r="D459" s="635"/>
      <c r="E459" s="624" t="s">
        <v>408</v>
      </c>
      <c r="F459" s="636" t="s">
        <v>408</v>
      </c>
      <c r="G459" s="625" t="s">
        <v>408</v>
      </c>
    </row>
    <row r="460" spans="1:7" x14ac:dyDescent="0.2">
      <c r="A460" s="640" t="s">
        <v>408</v>
      </c>
      <c r="B460" s="626" t="s">
        <v>408</v>
      </c>
      <c r="C460" s="642" t="s">
        <v>408</v>
      </c>
      <c r="D460" s="642"/>
      <c r="E460" s="626" t="s">
        <v>408</v>
      </c>
      <c r="F460" s="643" t="s">
        <v>408</v>
      </c>
      <c r="G460" s="627" t="s">
        <v>408</v>
      </c>
    </row>
    <row r="461" spans="1:7" x14ac:dyDescent="0.2">
      <c r="A461" s="631" t="s">
        <v>1209</v>
      </c>
      <c r="B461" s="622" t="s">
        <v>746</v>
      </c>
      <c r="C461" s="632" t="s">
        <v>408</v>
      </c>
      <c r="D461" s="632"/>
      <c r="E461" s="622" t="s">
        <v>747</v>
      </c>
      <c r="F461" s="633">
        <v>7</v>
      </c>
      <c r="G461" s="623" t="s">
        <v>1211</v>
      </c>
    </row>
    <row r="462" spans="1:7" x14ac:dyDescent="0.2">
      <c r="A462" s="634" t="s">
        <v>408</v>
      </c>
      <c r="B462" s="624" t="s">
        <v>750</v>
      </c>
      <c r="C462" s="635" t="s">
        <v>408</v>
      </c>
      <c r="D462" s="635"/>
      <c r="E462" s="624" t="s">
        <v>751</v>
      </c>
      <c r="F462" s="646" t="s">
        <v>408</v>
      </c>
      <c r="G462" s="625" t="s">
        <v>1213</v>
      </c>
    </row>
    <row r="463" spans="1:7" x14ac:dyDescent="0.2">
      <c r="A463" s="634" t="s">
        <v>408</v>
      </c>
      <c r="B463" s="624" t="s">
        <v>754</v>
      </c>
      <c r="C463" s="635" t="s">
        <v>408</v>
      </c>
      <c r="D463" s="635"/>
      <c r="E463" s="624" t="s">
        <v>767</v>
      </c>
      <c r="F463" s="636" t="s">
        <v>408</v>
      </c>
      <c r="G463" s="625" t="s">
        <v>1216</v>
      </c>
    </row>
    <row r="464" spans="1:7" x14ac:dyDescent="0.2">
      <c r="A464" s="634" t="s">
        <v>408</v>
      </c>
      <c r="B464" s="624" t="s">
        <v>766</v>
      </c>
      <c r="C464" s="635">
        <v>1</v>
      </c>
      <c r="D464" s="635"/>
      <c r="E464" s="624" t="s">
        <v>763</v>
      </c>
      <c r="F464" s="636" t="s">
        <v>408</v>
      </c>
      <c r="G464" s="625" t="s">
        <v>1218</v>
      </c>
    </row>
    <row r="465" spans="1:7" x14ac:dyDescent="0.2">
      <c r="A465" s="634" t="s">
        <v>408</v>
      </c>
      <c r="B465" s="624" t="s">
        <v>762</v>
      </c>
      <c r="C465" s="635">
        <v>1</v>
      </c>
      <c r="D465" s="635"/>
      <c r="E465" s="624" t="s">
        <v>408</v>
      </c>
      <c r="F465" s="636" t="s">
        <v>408</v>
      </c>
      <c r="G465" s="625" t="s">
        <v>408</v>
      </c>
    </row>
    <row r="466" spans="1:7" x14ac:dyDescent="0.2">
      <c r="A466" s="634" t="s">
        <v>408</v>
      </c>
      <c r="B466" s="624" t="s">
        <v>781</v>
      </c>
      <c r="C466" s="635">
        <v>1</v>
      </c>
      <c r="D466" s="635"/>
      <c r="E466" s="624" t="s">
        <v>785</v>
      </c>
      <c r="F466" s="636" t="s">
        <v>408</v>
      </c>
      <c r="G466" s="625" t="s">
        <v>408</v>
      </c>
    </row>
    <row r="467" spans="1:7" x14ac:dyDescent="0.2">
      <c r="A467" s="634" t="s">
        <v>408</v>
      </c>
      <c r="B467" s="624" t="s">
        <v>818</v>
      </c>
      <c r="C467" s="635">
        <v>1</v>
      </c>
      <c r="D467" s="635"/>
      <c r="E467" s="624" t="s">
        <v>788</v>
      </c>
      <c r="F467" s="636" t="s">
        <v>408</v>
      </c>
      <c r="G467" s="625" t="s">
        <v>408</v>
      </c>
    </row>
    <row r="468" spans="1:7" x14ac:dyDescent="0.2">
      <c r="A468" s="634" t="s">
        <v>408</v>
      </c>
      <c r="B468" s="624" t="s">
        <v>1114</v>
      </c>
      <c r="C468" s="635" t="s">
        <v>408</v>
      </c>
      <c r="D468" s="635"/>
      <c r="E468" s="624" t="s">
        <v>791</v>
      </c>
      <c r="F468" s="636" t="s">
        <v>408</v>
      </c>
      <c r="G468" s="625" t="s">
        <v>408</v>
      </c>
    </row>
    <row r="469" spans="1:7" x14ac:dyDescent="0.2">
      <c r="A469" s="634" t="s">
        <v>408</v>
      </c>
      <c r="B469" s="624" t="s">
        <v>956</v>
      </c>
      <c r="C469" s="635">
        <v>1</v>
      </c>
      <c r="D469" s="635"/>
      <c r="E469" s="624" t="s">
        <v>794</v>
      </c>
      <c r="F469" s="636" t="s">
        <v>408</v>
      </c>
      <c r="G469" s="625" t="s">
        <v>408</v>
      </c>
    </row>
    <row r="470" spans="1:7" x14ac:dyDescent="0.2">
      <c r="A470" s="634" t="s">
        <v>408</v>
      </c>
      <c r="B470" s="624" t="s">
        <v>799</v>
      </c>
      <c r="C470" s="635">
        <v>1</v>
      </c>
      <c r="D470" s="635"/>
      <c r="E470" s="624" t="s">
        <v>853</v>
      </c>
      <c r="F470" s="636" t="s">
        <v>408</v>
      </c>
      <c r="G470" s="625" t="s">
        <v>408</v>
      </c>
    </row>
    <row r="471" spans="1:7" x14ac:dyDescent="0.2">
      <c r="A471" s="634" t="s">
        <v>408</v>
      </c>
      <c r="B471" s="624" t="s">
        <v>784</v>
      </c>
      <c r="C471" s="635">
        <v>1</v>
      </c>
      <c r="D471" s="635"/>
      <c r="E471" s="624"/>
      <c r="F471" s="636" t="s">
        <v>408</v>
      </c>
      <c r="G471" s="625" t="s">
        <v>408</v>
      </c>
    </row>
    <row r="472" spans="1:7" x14ac:dyDescent="0.2">
      <c r="A472" s="634" t="s">
        <v>408</v>
      </c>
      <c r="B472" s="624" t="s">
        <v>787</v>
      </c>
      <c r="C472" s="635">
        <v>1</v>
      </c>
      <c r="D472" s="635"/>
      <c r="E472" s="624" t="s">
        <v>813</v>
      </c>
      <c r="F472" s="636" t="s">
        <v>408</v>
      </c>
      <c r="G472" s="625" t="s">
        <v>408</v>
      </c>
    </row>
    <row r="473" spans="1:7" x14ac:dyDescent="0.2">
      <c r="A473" s="634" t="s">
        <v>408</v>
      </c>
      <c r="B473" s="624" t="s">
        <v>1225</v>
      </c>
      <c r="C473" s="635">
        <v>1</v>
      </c>
      <c r="D473" s="635"/>
      <c r="E473" s="624" t="s">
        <v>815</v>
      </c>
      <c r="F473" s="636" t="s">
        <v>408</v>
      </c>
      <c r="G473" s="625" t="s">
        <v>408</v>
      </c>
    </row>
    <row r="474" spans="1:7" x14ac:dyDescent="0.2">
      <c r="A474" s="637" t="s">
        <v>408</v>
      </c>
      <c r="B474" s="624" t="s">
        <v>1226</v>
      </c>
      <c r="C474" s="635" t="s">
        <v>408</v>
      </c>
      <c r="D474" s="635"/>
      <c r="E474" s="624" t="s">
        <v>817</v>
      </c>
      <c r="F474" s="636" t="s">
        <v>408</v>
      </c>
      <c r="G474" s="625" t="s">
        <v>408</v>
      </c>
    </row>
    <row r="475" spans="1:7" x14ac:dyDescent="0.2">
      <c r="A475" s="634" t="s">
        <v>408</v>
      </c>
      <c r="B475" s="624" t="s">
        <v>822</v>
      </c>
      <c r="C475" s="635" t="s">
        <v>408</v>
      </c>
      <c r="D475" s="635"/>
      <c r="E475" s="624" t="s">
        <v>819</v>
      </c>
      <c r="F475" s="636" t="s">
        <v>408</v>
      </c>
      <c r="G475" s="625" t="s">
        <v>408</v>
      </c>
    </row>
    <row r="476" spans="1:7" x14ac:dyDescent="0.2">
      <c r="A476" s="634" t="s">
        <v>408</v>
      </c>
      <c r="B476" s="624" t="s">
        <v>823</v>
      </c>
      <c r="C476" s="635" t="s">
        <v>408</v>
      </c>
      <c r="D476" s="635"/>
      <c r="E476" s="624" t="s">
        <v>821</v>
      </c>
      <c r="F476" s="636" t="s">
        <v>408</v>
      </c>
      <c r="G476" s="625" t="s">
        <v>408</v>
      </c>
    </row>
    <row r="477" spans="1:7" x14ac:dyDescent="0.2">
      <c r="A477" s="634" t="s">
        <v>408</v>
      </c>
      <c r="B477" s="624" t="s">
        <v>824</v>
      </c>
      <c r="C477" s="635" t="s">
        <v>408</v>
      </c>
      <c r="D477" s="635"/>
      <c r="E477" s="624" t="s">
        <v>408</v>
      </c>
      <c r="F477" s="636" t="s">
        <v>408</v>
      </c>
      <c r="G477" s="625" t="s">
        <v>408</v>
      </c>
    </row>
    <row r="478" spans="1:7" x14ac:dyDescent="0.2">
      <c r="A478" s="634" t="s">
        <v>408</v>
      </c>
      <c r="B478" s="624" t="s">
        <v>1092</v>
      </c>
      <c r="C478" s="635">
        <v>1</v>
      </c>
      <c r="D478" s="635"/>
      <c r="E478" s="624" t="s">
        <v>408</v>
      </c>
      <c r="F478" s="636" t="s">
        <v>408</v>
      </c>
      <c r="G478" s="625" t="s">
        <v>408</v>
      </c>
    </row>
    <row r="479" spans="1:7" x14ac:dyDescent="0.2">
      <c r="A479" s="634" t="s">
        <v>408</v>
      </c>
      <c r="B479" s="624" t="s">
        <v>1093</v>
      </c>
      <c r="C479" s="635" t="s">
        <v>408</v>
      </c>
      <c r="D479" s="635"/>
      <c r="E479" s="624" t="s">
        <v>408</v>
      </c>
      <c r="F479" s="636" t="s">
        <v>408</v>
      </c>
      <c r="G479" s="625" t="s">
        <v>408</v>
      </c>
    </row>
    <row r="480" spans="1:7" x14ac:dyDescent="0.2">
      <c r="A480" s="634" t="s">
        <v>408</v>
      </c>
      <c r="B480" s="647" t="s">
        <v>978</v>
      </c>
      <c r="C480" s="648">
        <v>1</v>
      </c>
      <c r="D480" s="648"/>
      <c r="E480" s="624" t="s">
        <v>408</v>
      </c>
      <c r="F480" s="649" t="s">
        <v>408</v>
      </c>
      <c r="G480" s="625" t="s">
        <v>408</v>
      </c>
    </row>
    <row r="481" spans="1:7" x14ac:dyDescent="0.2">
      <c r="A481" s="634" t="s">
        <v>408</v>
      </c>
      <c r="B481" s="624" t="s">
        <v>807</v>
      </c>
      <c r="C481" s="645"/>
      <c r="D481" s="645"/>
      <c r="E481" s="624"/>
      <c r="F481" s="636" t="s">
        <v>408</v>
      </c>
      <c r="G481" s="625" t="s">
        <v>408</v>
      </c>
    </row>
    <row r="482" spans="1:7" x14ac:dyDescent="0.2">
      <c r="A482" s="634" t="s">
        <v>408</v>
      </c>
      <c r="B482" s="624" t="s">
        <v>809</v>
      </c>
      <c r="C482" s="645"/>
      <c r="D482" s="645"/>
      <c r="E482" s="624"/>
      <c r="F482" s="636" t="s">
        <v>408</v>
      </c>
      <c r="G482" s="625" t="s">
        <v>408</v>
      </c>
    </row>
    <row r="483" spans="1:7" x14ac:dyDescent="0.2">
      <c r="A483" s="634" t="s">
        <v>408</v>
      </c>
      <c r="B483" s="624" t="s">
        <v>811</v>
      </c>
      <c r="C483" s="645"/>
      <c r="D483" s="645"/>
      <c r="E483" s="624"/>
      <c r="F483" s="636" t="s">
        <v>408</v>
      </c>
      <c r="G483" s="625" t="s">
        <v>408</v>
      </c>
    </row>
    <row r="484" spans="1:7" x14ac:dyDescent="0.2">
      <c r="A484" s="634" t="s">
        <v>408</v>
      </c>
      <c r="B484" s="624" t="s">
        <v>812</v>
      </c>
      <c r="C484" s="635"/>
      <c r="D484" s="635"/>
      <c r="E484" s="624"/>
      <c r="F484" s="636" t="s">
        <v>408</v>
      </c>
      <c r="G484" s="625" t="s">
        <v>408</v>
      </c>
    </row>
    <row r="485" spans="1:7" x14ac:dyDescent="0.2">
      <c r="A485" s="634" t="s">
        <v>408</v>
      </c>
      <c r="B485" s="624" t="s">
        <v>408</v>
      </c>
      <c r="C485" s="635"/>
      <c r="D485" s="635"/>
      <c r="E485" s="624"/>
      <c r="F485" s="636" t="s">
        <v>408</v>
      </c>
      <c r="G485" s="625" t="s">
        <v>408</v>
      </c>
    </row>
    <row r="486" spans="1:7" x14ac:dyDescent="0.2">
      <c r="A486" s="634" t="s">
        <v>408</v>
      </c>
      <c r="B486" s="624" t="s">
        <v>825</v>
      </c>
      <c r="C486" s="635"/>
      <c r="D486" s="635"/>
      <c r="E486" s="624"/>
      <c r="F486" s="636" t="s">
        <v>408</v>
      </c>
      <c r="G486" s="625" t="s">
        <v>408</v>
      </c>
    </row>
    <row r="487" spans="1:7" x14ac:dyDescent="0.2">
      <c r="A487" s="634" t="s">
        <v>408</v>
      </c>
      <c r="B487" s="624" t="s">
        <v>750</v>
      </c>
      <c r="C487" s="635"/>
      <c r="D487" s="635"/>
      <c r="E487" s="624"/>
      <c r="F487" s="636" t="s">
        <v>408</v>
      </c>
      <c r="G487" s="625" t="s">
        <v>408</v>
      </c>
    </row>
    <row r="488" spans="1:7" x14ac:dyDescent="0.2">
      <c r="A488" s="634" t="s">
        <v>408</v>
      </c>
      <c r="B488" s="624" t="s">
        <v>754</v>
      </c>
      <c r="C488" s="635" t="s">
        <v>408</v>
      </c>
      <c r="D488" s="635"/>
      <c r="E488" s="624" t="s">
        <v>408</v>
      </c>
      <c r="F488" s="636" t="s">
        <v>408</v>
      </c>
      <c r="G488" s="625" t="s">
        <v>408</v>
      </c>
    </row>
    <row r="489" spans="1:7" x14ac:dyDescent="0.2">
      <c r="A489" s="634" t="s">
        <v>408</v>
      </c>
      <c r="B489" s="624" t="s">
        <v>826</v>
      </c>
      <c r="C489" s="635">
        <v>1</v>
      </c>
      <c r="D489" s="635"/>
      <c r="E489" s="624" t="s">
        <v>408</v>
      </c>
      <c r="F489" s="636" t="s">
        <v>408</v>
      </c>
      <c r="G489" s="625" t="s">
        <v>408</v>
      </c>
    </row>
    <row r="490" spans="1:7" x14ac:dyDescent="0.2">
      <c r="A490" s="634" t="s">
        <v>408</v>
      </c>
      <c r="B490" s="624" t="s">
        <v>832</v>
      </c>
      <c r="C490" s="635">
        <v>1</v>
      </c>
      <c r="D490" s="635"/>
      <c r="E490" s="624" t="s">
        <v>408</v>
      </c>
      <c r="F490" s="636" t="s">
        <v>408</v>
      </c>
      <c r="G490" s="625" t="s">
        <v>408</v>
      </c>
    </row>
    <row r="491" spans="1:7" x14ac:dyDescent="0.2">
      <c r="A491" s="634" t="s">
        <v>408</v>
      </c>
      <c r="B491" s="624" t="s">
        <v>833</v>
      </c>
      <c r="C491" s="635" t="s">
        <v>408</v>
      </c>
      <c r="D491" s="635"/>
      <c r="E491" s="624" t="s">
        <v>408</v>
      </c>
      <c r="F491" s="636" t="s">
        <v>408</v>
      </c>
      <c r="G491" s="625" t="s">
        <v>408</v>
      </c>
    </row>
    <row r="492" spans="1:7" x14ac:dyDescent="0.2">
      <c r="A492" s="634" t="s">
        <v>408</v>
      </c>
      <c r="B492" s="624" t="s">
        <v>1232</v>
      </c>
      <c r="C492" s="635">
        <v>1</v>
      </c>
      <c r="D492" s="635"/>
      <c r="E492" s="624" t="s">
        <v>408</v>
      </c>
      <c r="F492" s="636" t="s">
        <v>408</v>
      </c>
      <c r="G492" s="625" t="s">
        <v>408</v>
      </c>
    </row>
    <row r="493" spans="1:7" x14ac:dyDescent="0.2">
      <c r="A493" s="634" t="s">
        <v>408</v>
      </c>
      <c r="B493" s="624" t="s">
        <v>1233</v>
      </c>
      <c r="C493" s="635" t="s">
        <v>408</v>
      </c>
      <c r="D493" s="635"/>
      <c r="E493" s="624" t="s">
        <v>408</v>
      </c>
      <c r="F493" s="636" t="s">
        <v>408</v>
      </c>
      <c r="G493" s="625" t="s">
        <v>408</v>
      </c>
    </row>
    <row r="494" spans="1:7" x14ac:dyDescent="0.2">
      <c r="A494" s="634" t="s">
        <v>408</v>
      </c>
      <c r="B494" s="624" t="s">
        <v>940</v>
      </c>
      <c r="C494" s="635">
        <v>1</v>
      </c>
      <c r="D494" s="635"/>
      <c r="E494" s="624" t="s">
        <v>408</v>
      </c>
      <c r="F494" s="636" t="s">
        <v>408</v>
      </c>
      <c r="G494" s="625" t="s">
        <v>408</v>
      </c>
    </row>
    <row r="495" spans="1:7" x14ac:dyDescent="0.2">
      <c r="A495" s="634" t="s">
        <v>408</v>
      </c>
      <c r="B495" s="624" t="s">
        <v>408</v>
      </c>
      <c r="C495" s="635" t="s">
        <v>408</v>
      </c>
      <c r="D495" s="635"/>
      <c r="E495" s="624" t="s">
        <v>408</v>
      </c>
      <c r="F495" s="636" t="s">
        <v>408</v>
      </c>
      <c r="G495" s="625" t="s">
        <v>408</v>
      </c>
    </row>
    <row r="496" spans="1:7" x14ac:dyDescent="0.2">
      <c r="A496" s="634" t="s">
        <v>408</v>
      </c>
      <c r="B496" s="624" t="s">
        <v>840</v>
      </c>
      <c r="C496" s="635" t="s">
        <v>408</v>
      </c>
      <c r="D496" s="635"/>
      <c r="E496" s="624" t="s">
        <v>408</v>
      </c>
      <c r="F496" s="636" t="s">
        <v>408</v>
      </c>
      <c r="G496" s="625" t="s">
        <v>408</v>
      </c>
    </row>
    <row r="497" spans="1:7" x14ac:dyDescent="0.2">
      <c r="A497" s="634" t="s">
        <v>408</v>
      </c>
      <c r="B497" s="624" t="s">
        <v>841</v>
      </c>
      <c r="C497" s="635" t="s">
        <v>408</v>
      </c>
      <c r="D497" s="635"/>
      <c r="E497" s="624" t="s">
        <v>408</v>
      </c>
      <c r="F497" s="636" t="s">
        <v>408</v>
      </c>
      <c r="G497" s="625" t="s">
        <v>408</v>
      </c>
    </row>
    <row r="498" spans="1:7" x14ac:dyDescent="0.2">
      <c r="A498" s="634" t="s">
        <v>408</v>
      </c>
      <c r="B498" s="624" t="s">
        <v>794</v>
      </c>
      <c r="C498" s="635" t="s">
        <v>408</v>
      </c>
      <c r="D498" s="635"/>
      <c r="E498" s="624" t="s">
        <v>408</v>
      </c>
      <c r="F498" s="636" t="s">
        <v>408</v>
      </c>
      <c r="G498" s="625" t="s">
        <v>408</v>
      </c>
    </row>
    <row r="499" spans="1:7" x14ac:dyDescent="0.2">
      <c r="A499" s="634" t="s">
        <v>408</v>
      </c>
      <c r="B499" s="624" t="s">
        <v>844</v>
      </c>
      <c r="C499" s="635">
        <v>1</v>
      </c>
      <c r="D499" s="635"/>
      <c r="E499" s="624" t="s">
        <v>408</v>
      </c>
      <c r="F499" s="636" t="s">
        <v>408</v>
      </c>
      <c r="G499" s="625" t="s">
        <v>408</v>
      </c>
    </row>
    <row r="500" spans="1:7" x14ac:dyDescent="0.2">
      <c r="A500" s="634" t="s">
        <v>408</v>
      </c>
      <c r="B500" s="624" t="s">
        <v>845</v>
      </c>
      <c r="C500" s="635">
        <v>1</v>
      </c>
      <c r="D500" s="635"/>
      <c r="E500" s="624" t="s">
        <v>408</v>
      </c>
      <c r="F500" s="636" t="s">
        <v>408</v>
      </c>
      <c r="G500" s="625" t="s">
        <v>408</v>
      </c>
    </row>
    <row r="501" spans="1:7" x14ac:dyDescent="0.2">
      <c r="A501" s="634" t="s">
        <v>408</v>
      </c>
      <c r="B501" s="624" t="s">
        <v>846</v>
      </c>
      <c r="C501" s="635" t="s">
        <v>408</v>
      </c>
      <c r="D501" s="635"/>
      <c r="E501" s="624" t="s">
        <v>408</v>
      </c>
      <c r="F501" s="636" t="s">
        <v>408</v>
      </c>
      <c r="G501" s="625" t="s">
        <v>408</v>
      </c>
    </row>
    <row r="502" spans="1:7" x14ac:dyDescent="0.2">
      <c r="A502" s="640" t="s">
        <v>408</v>
      </c>
      <c r="B502" s="626" t="s">
        <v>408</v>
      </c>
      <c r="C502" s="642" t="s">
        <v>408</v>
      </c>
      <c r="D502" s="642"/>
      <c r="E502" s="626" t="s">
        <v>408</v>
      </c>
      <c r="F502" s="643" t="s">
        <v>408</v>
      </c>
      <c r="G502" s="627" t="s">
        <v>408</v>
      </c>
    </row>
    <row r="503" spans="1:7" x14ac:dyDescent="0.2">
      <c r="A503" s="631" t="s">
        <v>1234</v>
      </c>
      <c r="B503" s="622" t="s">
        <v>746</v>
      </c>
      <c r="C503" s="632" t="s">
        <v>408</v>
      </c>
      <c r="D503" s="632"/>
      <c r="E503" s="622" t="s">
        <v>747</v>
      </c>
      <c r="F503" s="633">
        <v>16</v>
      </c>
      <c r="G503" s="623" t="s">
        <v>1236</v>
      </c>
    </row>
    <row r="504" spans="1:7" x14ac:dyDescent="0.2">
      <c r="A504" s="634" t="s">
        <v>408</v>
      </c>
      <c r="B504" s="624" t="s">
        <v>750</v>
      </c>
      <c r="C504" s="635" t="s">
        <v>408</v>
      </c>
      <c r="D504" s="635"/>
      <c r="E504" s="624" t="s">
        <v>751</v>
      </c>
      <c r="F504" s="636" t="s">
        <v>408</v>
      </c>
      <c r="G504" s="625" t="s">
        <v>1238</v>
      </c>
    </row>
    <row r="505" spans="1:7" x14ac:dyDescent="0.2">
      <c r="A505" s="634" t="s">
        <v>408</v>
      </c>
      <c r="B505" s="624" t="s">
        <v>754</v>
      </c>
      <c r="C505" s="635" t="s">
        <v>408</v>
      </c>
      <c r="D505" s="635"/>
      <c r="E505" s="624" t="s">
        <v>1068</v>
      </c>
      <c r="F505" s="636" t="s">
        <v>408</v>
      </c>
      <c r="G505" s="625" t="s">
        <v>1241</v>
      </c>
    </row>
    <row r="506" spans="1:7" x14ac:dyDescent="0.2">
      <c r="A506" s="634" t="s">
        <v>408</v>
      </c>
      <c r="B506" s="624" t="s">
        <v>1006</v>
      </c>
      <c r="C506" s="635">
        <v>2</v>
      </c>
      <c r="D506" s="635"/>
      <c r="E506" s="624" t="s">
        <v>1071</v>
      </c>
      <c r="F506" s="636" t="s">
        <v>408</v>
      </c>
      <c r="G506" s="625" t="s">
        <v>760</v>
      </c>
    </row>
    <row r="507" spans="1:7" x14ac:dyDescent="0.2">
      <c r="A507" s="634" t="s">
        <v>408</v>
      </c>
      <c r="B507" s="624" t="s">
        <v>1074</v>
      </c>
      <c r="C507" s="635" t="s">
        <v>408</v>
      </c>
      <c r="D507" s="635"/>
      <c r="E507" s="624" t="s">
        <v>763</v>
      </c>
      <c r="F507" s="636" t="s">
        <v>408</v>
      </c>
      <c r="G507" s="625" t="s">
        <v>1011</v>
      </c>
    </row>
    <row r="508" spans="1:7" x14ac:dyDescent="0.2">
      <c r="A508" s="634" t="s">
        <v>408</v>
      </c>
      <c r="B508" s="624" t="s">
        <v>781</v>
      </c>
      <c r="C508" s="635">
        <v>1</v>
      </c>
      <c r="D508" s="635"/>
      <c r="E508" s="624" t="s">
        <v>767</v>
      </c>
      <c r="F508" s="636" t="s">
        <v>408</v>
      </c>
      <c r="G508" s="625" t="s">
        <v>776</v>
      </c>
    </row>
    <row r="509" spans="1:7" x14ac:dyDescent="0.2">
      <c r="A509" s="634" t="s">
        <v>408</v>
      </c>
      <c r="B509" s="624" t="s">
        <v>793</v>
      </c>
      <c r="C509" s="635">
        <v>1</v>
      </c>
      <c r="D509" s="635"/>
      <c r="E509" s="624" t="s">
        <v>771</v>
      </c>
      <c r="F509" s="636" t="s">
        <v>408</v>
      </c>
      <c r="G509" s="625" t="s">
        <v>779</v>
      </c>
    </row>
    <row r="510" spans="1:7" x14ac:dyDescent="0.2">
      <c r="A510" s="634" t="s">
        <v>408</v>
      </c>
      <c r="B510" s="624" t="s">
        <v>766</v>
      </c>
      <c r="C510" s="635">
        <v>1</v>
      </c>
      <c r="D510" s="635"/>
      <c r="E510" s="624" t="s">
        <v>1246</v>
      </c>
      <c r="F510" s="636" t="s">
        <v>408</v>
      </c>
      <c r="G510" s="625" t="s">
        <v>1000</v>
      </c>
    </row>
    <row r="511" spans="1:7" x14ac:dyDescent="0.2">
      <c r="A511" s="634" t="s">
        <v>408</v>
      </c>
      <c r="B511" s="624" t="s">
        <v>805</v>
      </c>
      <c r="C511" s="635">
        <v>1</v>
      </c>
      <c r="D511" s="635"/>
      <c r="E511" s="624" t="s">
        <v>759</v>
      </c>
      <c r="F511" s="636" t="s">
        <v>408</v>
      </c>
      <c r="G511" s="625" t="s">
        <v>1019</v>
      </c>
    </row>
    <row r="512" spans="1:7" x14ac:dyDescent="0.2">
      <c r="A512" s="634" t="s">
        <v>408</v>
      </c>
      <c r="B512" s="624" t="s">
        <v>807</v>
      </c>
      <c r="C512" s="635" t="s">
        <v>408</v>
      </c>
      <c r="D512" s="635"/>
      <c r="E512" s="624" t="s">
        <v>1248</v>
      </c>
      <c r="F512" s="636" t="s">
        <v>408</v>
      </c>
      <c r="G512" s="625" t="s">
        <v>408</v>
      </c>
    </row>
    <row r="513" spans="1:7" x14ac:dyDescent="0.2">
      <c r="A513" s="634" t="s">
        <v>408</v>
      </c>
      <c r="B513" s="624" t="s">
        <v>809</v>
      </c>
      <c r="C513" s="635" t="s">
        <v>408</v>
      </c>
      <c r="D513" s="635"/>
      <c r="E513" s="624"/>
      <c r="F513" s="636" t="s">
        <v>408</v>
      </c>
      <c r="G513" s="625" t="s">
        <v>408</v>
      </c>
    </row>
    <row r="514" spans="1:7" x14ac:dyDescent="0.2">
      <c r="A514" s="634" t="s">
        <v>408</v>
      </c>
      <c r="B514" s="624" t="s">
        <v>811</v>
      </c>
      <c r="C514" s="635" t="s">
        <v>408</v>
      </c>
      <c r="D514" s="635"/>
      <c r="E514" s="624" t="s">
        <v>785</v>
      </c>
      <c r="F514" s="636" t="s">
        <v>408</v>
      </c>
      <c r="G514" s="625" t="s">
        <v>408</v>
      </c>
    </row>
    <row r="515" spans="1:7" x14ac:dyDescent="0.2">
      <c r="A515" s="634" t="s">
        <v>408</v>
      </c>
      <c r="B515" s="624" t="s">
        <v>812</v>
      </c>
      <c r="C515" s="635" t="s">
        <v>408</v>
      </c>
      <c r="D515" s="635"/>
      <c r="E515" s="624" t="s">
        <v>788</v>
      </c>
      <c r="F515" s="636" t="s">
        <v>408</v>
      </c>
      <c r="G515" s="625" t="s">
        <v>408</v>
      </c>
    </row>
    <row r="516" spans="1:7" x14ac:dyDescent="0.2">
      <c r="A516" s="637" t="s">
        <v>408</v>
      </c>
      <c r="B516" s="638" t="s">
        <v>1092</v>
      </c>
      <c r="C516" s="635">
        <v>1</v>
      </c>
      <c r="D516" s="635"/>
      <c r="E516" s="624" t="s">
        <v>791</v>
      </c>
      <c r="F516" s="636" t="s">
        <v>408</v>
      </c>
      <c r="G516" s="625" t="s">
        <v>408</v>
      </c>
    </row>
    <row r="517" spans="1:7" x14ac:dyDescent="0.2">
      <c r="A517" s="634" t="s">
        <v>408</v>
      </c>
      <c r="B517" s="624" t="s">
        <v>1093</v>
      </c>
      <c r="C517" s="635" t="s">
        <v>408</v>
      </c>
      <c r="D517" s="635"/>
      <c r="E517" s="624" t="s">
        <v>794</v>
      </c>
      <c r="F517" s="636" t="s">
        <v>408</v>
      </c>
      <c r="G517" s="625" t="s">
        <v>408</v>
      </c>
    </row>
    <row r="518" spans="1:7" x14ac:dyDescent="0.2">
      <c r="A518" s="634" t="s">
        <v>408</v>
      </c>
      <c r="B518" s="624" t="s">
        <v>1094</v>
      </c>
      <c r="C518" s="635">
        <v>1</v>
      </c>
      <c r="D518" s="635"/>
      <c r="E518" s="624" t="s">
        <v>853</v>
      </c>
      <c r="F518" s="636" t="s">
        <v>408</v>
      </c>
      <c r="G518" s="625" t="s">
        <v>408</v>
      </c>
    </row>
    <row r="519" spans="1:7" x14ac:dyDescent="0.2">
      <c r="A519" s="634" t="s">
        <v>408</v>
      </c>
      <c r="B519" s="624" t="s">
        <v>956</v>
      </c>
      <c r="C519" s="635">
        <v>1</v>
      </c>
      <c r="D519" s="635"/>
      <c r="E519" s="624"/>
      <c r="F519" s="636" t="s">
        <v>408</v>
      </c>
      <c r="G519" s="625" t="s">
        <v>408</v>
      </c>
    </row>
    <row r="520" spans="1:7" x14ac:dyDescent="0.2">
      <c r="A520" s="634" t="s">
        <v>408</v>
      </c>
      <c r="B520" s="624" t="s">
        <v>816</v>
      </c>
      <c r="C520" s="635">
        <v>1</v>
      </c>
      <c r="D520" s="635"/>
      <c r="E520" s="624" t="s">
        <v>813</v>
      </c>
      <c r="F520" s="636" t="s">
        <v>408</v>
      </c>
      <c r="G520" s="625" t="s">
        <v>408</v>
      </c>
    </row>
    <row r="521" spans="1:7" x14ac:dyDescent="0.2">
      <c r="A521" s="634" t="s">
        <v>408</v>
      </c>
      <c r="B521" s="624" t="s">
        <v>1254</v>
      </c>
      <c r="C521" s="635">
        <v>1</v>
      </c>
      <c r="D521" s="635"/>
      <c r="E521" s="624" t="s">
        <v>815</v>
      </c>
      <c r="F521" s="636" t="s">
        <v>408</v>
      </c>
      <c r="G521" s="625" t="s">
        <v>408</v>
      </c>
    </row>
    <row r="522" spans="1:7" x14ac:dyDescent="0.2">
      <c r="A522" s="634" t="s">
        <v>408</v>
      </c>
      <c r="B522" s="624" t="s">
        <v>1092</v>
      </c>
      <c r="C522" s="635">
        <v>1</v>
      </c>
      <c r="D522" s="635"/>
      <c r="E522" s="624" t="s">
        <v>817</v>
      </c>
      <c r="F522" s="636" t="s">
        <v>408</v>
      </c>
      <c r="G522" s="625" t="s">
        <v>408</v>
      </c>
    </row>
    <row r="523" spans="1:7" x14ac:dyDescent="0.2">
      <c r="A523" s="634" t="s">
        <v>408</v>
      </c>
      <c r="B523" s="624" t="s">
        <v>823</v>
      </c>
      <c r="C523" s="635" t="s">
        <v>408</v>
      </c>
      <c r="D523" s="635"/>
      <c r="E523" s="624" t="s">
        <v>1255</v>
      </c>
      <c r="F523" s="636" t="s">
        <v>408</v>
      </c>
      <c r="G523" s="625" t="s">
        <v>408</v>
      </c>
    </row>
    <row r="524" spans="1:7" x14ac:dyDescent="0.2">
      <c r="A524" s="634" t="s">
        <v>408</v>
      </c>
      <c r="B524" s="624" t="s">
        <v>824</v>
      </c>
      <c r="C524" s="635" t="s">
        <v>408</v>
      </c>
      <c r="D524" s="635"/>
      <c r="E524" s="624" t="s">
        <v>821</v>
      </c>
      <c r="F524" s="636" t="s">
        <v>408</v>
      </c>
      <c r="G524" s="625" t="s">
        <v>408</v>
      </c>
    </row>
    <row r="525" spans="1:7" x14ac:dyDescent="0.2">
      <c r="A525" s="634" t="s">
        <v>408</v>
      </c>
      <c r="B525" s="624" t="s">
        <v>408</v>
      </c>
      <c r="C525" s="635" t="s">
        <v>408</v>
      </c>
      <c r="D525" s="635"/>
      <c r="E525" s="624" t="s">
        <v>408</v>
      </c>
      <c r="F525" s="636" t="s">
        <v>408</v>
      </c>
      <c r="G525" s="625" t="s">
        <v>408</v>
      </c>
    </row>
    <row r="526" spans="1:7" x14ac:dyDescent="0.2">
      <c r="A526" s="634" t="s">
        <v>408</v>
      </c>
      <c r="B526" s="624" t="s">
        <v>825</v>
      </c>
      <c r="C526" s="635" t="s">
        <v>408</v>
      </c>
      <c r="D526" s="635"/>
      <c r="E526" s="624" t="s">
        <v>408</v>
      </c>
      <c r="F526" s="636" t="s">
        <v>408</v>
      </c>
      <c r="G526" s="625" t="s">
        <v>408</v>
      </c>
    </row>
    <row r="527" spans="1:7" x14ac:dyDescent="0.2">
      <c r="A527" s="634" t="s">
        <v>408</v>
      </c>
      <c r="B527" s="624" t="s">
        <v>750</v>
      </c>
      <c r="C527" s="635" t="s">
        <v>408</v>
      </c>
      <c r="D527" s="635"/>
      <c r="E527" s="624" t="s">
        <v>408</v>
      </c>
      <c r="F527" s="636" t="s">
        <v>408</v>
      </c>
      <c r="G527" s="625" t="s">
        <v>408</v>
      </c>
    </row>
    <row r="528" spans="1:7" x14ac:dyDescent="0.2">
      <c r="A528" s="634" t="s">
        <v>408</v>
      </c>
      <c r="B528" s="624" t="s">
        <v>754</v>
      </c>
      <c r="C528" s="635" t="s">
        <v>408</v>
      </c>
      <c r="D528" s="635"/>
      <c r="E528" s="624" t="s">
        <v>408</v>
      </c>
      <c r="F528" s="636" t="s">
        <v>408</v>
      </c>
      <c r="G528" s="625" t="s">
        <v>408</v>
      </c>
    </row>
    <row r="529" spans="1:7" x14ac:dyDescent="0.2">
      <c r="A529" s="634" t="s">
        <v>408</v>
      </c>
      <c r="B529" s="624" t="s">
        <v>826</v>
      </c>
      <c r="C529" s="635">
        <v>1</v>
      </c>
      <c r="D529" s="635"/>
      <c r="E529" s="624" t="s">
        <v>408</v>
      </c>
      <c r="F529" s="636" t="s">
        <v>408</v>
      </c>
      <c r="G529" s="625" t="s">
        <v>408</v>
      </c>
    </row>
    <row r="530" spans="1:7" x14ac:dyDescent="0.2">
      <c r="A530" s="634" t="s">
        <v>408</v>
      </c>
      <c r="B530" s="624" t="s">
        <v>903</v>
      </c>
      <c r="C530" s="635">
        <v>1</v>
      </c>
      <c r="D530" s="635"/>
      <c r="E530" s="624" t="s">
        <v>408</v>
      </c>
      <c r="F530" s="636" t="s">
        <v>408</v>
      </c>
      <c r="G530" s="625" t="s">
        <v>408</v>
      </c>
    </row>
    <row r="531" spans="1:7" x14ac:dyDescent="0.2">
      <c r="A531" s="634" t="s">
        <v>408</v>
      </c>
      <c r="B531" s="624" t="s">
        <v>833</v>
      </c>
      <c r="C531" s="635" t="s">
        <v>408</v>
      </c>
      <c r="D531" s="635"/>
      <c r="E531" s="624" t="s">
        <v>408</v>
      </c>
      <c r="F531" s="636" t="s">
        <v>408</v>
      </c>
      <c r="G531" s="625" t="s">
        <v>408</v>
      </c>
    </row>
    <row r="532" spans="1:7" x14ac:dyDescent="0.2">
      <c r="A532" s="634" t="s">
        <v>408</v>
      </c>
      <c r="B532" s="624" t="s">
        <v>1256</v>
      </c>
      <c r="C532" s="635">
        <v>1</v>
      </c>
      <c r="D532" s="635"/>
      <c r="E532" s="624" t="s">
        <v>408</v>
      </c>
      <c r="F532" s="636" t="s">
        <v>408</v>
      </c>
      <c r="G532" s="625" t="s">
        <v>408</v>
      </c>
    </row>
    <row r="533" spans="1:7" x14ac:dyDescent="0.2">
      <c r="A533" s="634" t="s">
        <v>408</v>
      </c>
      <c r="B533" s="624" t="s">
        <v>987</v>
      </c>
      <c r="C533" s="635" t="s">
        <v>408</v>
      </c>
      <c r="D533" s="635"/>
      <c r="E533" s="624" t="s">
        <v>408</v>
      </c>
      <c r="F533" s="636" t="s">
        <v>408</v>
      </c>
      <c r="G533" s="625" t="s">
        <v>408</v>
      </c>
    </row>
    <row r="534" spans="1:7" x14ac:dyDescent="0.2">
      <c r="A534" s="634" t="s">
        <v>408</v>
      </c>
      <c r="B534" s="624" t="s">
        <v>988</v>
      </c>
      <c r="C534" s="635" t="s">
        <v>408</v>
      </c>
      <c r="D534" s="635"/>
      <c r="E534" s="624" t="s">
        <v>408</v>
      </c>
      <c r="F534" s="636" t="s">
        <v>408</v>
      </c>
      <c r="G534" s="625" t="s">
        <v>408</v>
      </c>
    </row>
    <row r="535" spans="1:7" x14ac:dyDescent="0.2">
      <c r="A535" s="634" t="s">
        <v>408</v>
      </c>
      <c r="B535" s="624" t="s">
        <v>862</v>
      </c>
      <c r="C535" s="635">
        <v>1</v>
      </c>
      <c r="D535" s="635"/>
      <c r="E535" s="624" t="s">
        <v>408</v>
      </c>
      <c r="F535" s="636" t="s">
        <v>408</v>
      </c>
      <c r="G535" s="625" t="s">
        <v>408</v>
      </c>
    </row>
    <row r="536" spans="1:7" x14ac:dyDescent="0.2">
      <c r="A536" s="634" t="s">
        <v>408</v>
      </c>
      <c r="B536" s="624" t="s">
        <v>831</v>
      </c>
      <c r="C536" s="635" t="s">
        <v>408</v>
      </c>
      <c r="D536" s="635"/>
      <c r="E536" s="624" t="s">
        <v>408</v>
      </c>
      <c r="F536" s="636" t="s">
        <v>408</v>
      </c>
      <c r="G536" s="625" t="s">
        <v>408</v>
      </c>
    </row>
    <row r="537" spans="1:7" x14ac:dyDescent="0.2">
      <c r="A537" s="634" t="s">
        <v>408</v>
      </c>
      <c r="B537" s="624" t="s">
        <v>827</v>
      </c>
      <c r="C537" s="635">
        <v>1</v>
      </c>
      <c r="D537" s="635"/>
      <c r="E537" s="624" t="s">
        <v>408</v>
      </c>
      <c r="F537" s="636" t="s">
        <v>408</v>
      </c>
      <c r="G537" s="625" t="s">
        <v>408</v>
      </c>
    </row>
    <row r="538" spans="1:7" x14ac:dyDescent="0.2">
      <c r="A538" s="634" t="s">
        <v>408</v>
      </c>
      <c r="B538" s="624" t="s">
        <v>828</v>
      </c>
      <c r="C538" s="635" t="s">
        <v>408</v>
      </c>
      <c r="D538" s="635"/>
      <c r="E538" s="624" t="s">
        <v>408</v>
      </c>
      <c r="F538" s="636" t="s">
        <v>408</v>
      </c>
      <c r="G538" s="625" t="s">
        <v>408</v>
      </c>
    </row>
    <row r="539" spans="1:7" x14ac:dyDescent="0.2">
      <c r="A539" s="634" t="s">
        <v>408</v>
      </c>
      <c r="B539" s="624" t="s">
        <v>408</v>
      </c>
      <c r="C539" s="635" t="s">
        <v>408</v>
      </c>
      <c r="D539" s="635"/>
      <c r="E539" s="624" t="s">
        <v>408</v>
      </c>
      <c r="F539" s="636" t="s">
        <v>408</v>
      </c>
      <c r="G539" s="625" t="s">
        <v>408</v>
      </c>
    </row>
    <row r="540" spans="1:7" x14ac:dyDescent="0.2">
      <c r="A540" s="634" t="s">
        <v>408</v>
      </c>
      <c r="B540" s="624" t="s">
        <v>1257</v>
      </c>
      <c r="C540" s="635" t="s">
        <v>408</v>
      </c>
      <c r="D540" s="635"/>
      <c r="E540" s="624" t="s">
        <v>408</v>
      </c>
      <c r="F540" s="636" t="s">
        <v>408</v>
      </c>
      <c r="G540" s="625" t="s">
        <v>408</v>
      </c>
    </row>
    <row r="541" spans="1:7" x14ac:dyDescent="0.2">
      <c r="A541" s="634" t="s">
        <v>408</v>
      </c>
      <c r="B541" s="624" t="s">
        <v>1130</v>
      </c>
      <c r="C541" s="635">
        <v>0.3</v>
      </c>
      <c r="D541" s="635"/>
      <c r="E541" s="624" t="s">
        <v>408</v>
      </c>
      <c r="F541" s="636" t="s">
        <v>408</v>
      </c>
      <c r="G541" s="625" t="s">
        <v>408</v>
      </c>
    </row>
    <row r="542" spans="1:7" x14ac:dyDescent="0.2">
      <c r="A542" s="634" t="s">
        <v>408</v>
      </c>
      <c r="B542" s="624" t="s">
        <v>1132</v>
      </c>
      <c r="C542" s="635" t="s">
        <v>408</v>
      </c>
      <c r="D542" s="635"/>
      <c r="E542" s="624" t="s">
        <v>408</v>
      </c>
      <c r="F542" s="636" t="s">
        <v>408</v>
      </c>
      <c r="G542" s="625" t="s">
        <v>408</v>
      </c>
    </row>
    <row r="543" spans="1:7" x14ac:dyDescent="0.2">
      <c r="A543" s="634" t="s">
        <v>408</v>
      </c>
      <c r="B543" s="624" t="s">
        <v>1258</v>
      </c>
      <c r="C543" s="635" t="s">
        <v>408</v>
      </c>
      <c r="D543" s="635"/>
      <c r="E543" s="624" t="s">
        <v>408</v>
      </c>
      <c r="F543" s="636" t="s">
        <v>408</v>
      </c>
      <c r="G543" s="625" t="s">
        <v>408</v>
      </c>
    </row>
    <row r="544" spans="1:7" x14ac:dyDescent="0.2">
      <c r="A544" s="634" t="s">
        <v>408</v>
      </c>
      <c r="B544" s="624" t="s">
        <v>1259</v>
      </c>
      <c r="C544" s="635" t="s">
        <v>408</v>
      </c>
      <c r="D544" s="635"/>
      <c r="E544" s="624" t="s">
        <v>408</v>
      </c>
      <c r="F544" s="636" t="s">
        <v>408</v>
      </c>
      <c r="G544" s="625" t="s">
        <v>408</v>
      </c>
    </row>
    <row r="545" spans="1:7" x14ac:dyDescent="0.2">
      <c r="A545" s="634" t="s">
        <v>408</v>
      </c>
      <c r="B545" s="624" t="s">
        <v>1260</v>
      </c>
      <c r="C545" s="635">
        <v>1</v>
      </c>
      <c r="D545" s="635"/>
      <c r="E545" s="624" t="s">
        <v>408</v>
      </c>
      <c r="F545" s="636" t="s">
        <v>408</v>
      </c>
      <c r="G545" s="625" t="s">
        <v>408</v>
      </c>
    </row>
    <row r="546" spans="1:7" x14ac:dyDescent="0.2">
      <c r="A546" s="634" t="s">
        <v>408</v>
      </c>
      <c r="B546" s="624" t="s">
        <v>1261</v>
      </c>
      <c r="C546" s="635" t="s">
        <v>408</v>
      </c>
      <c r="D546" s="635"/>
      <c r="E546" s="624" t="s">
        <v>408</v>
      </c>
      <c r="F546" s="636" t="s">
        <v>408</v>
      </c>
      <c r="G546" s="625" t="s">
        <v>408</v>
      </c>
    </row>
    <row r="547" spans="1:7" x14ac:dyDescent="0.2">
      <c r="A547" s="634" t="s">
        <v>408</v>
      </c>
      <c r="B547" s="624" t="s">
        <v>408</v>
      </c>
      <c r="C547" s="635" t="s">
        <v>408</v>
      </c>
      <c r="D547" s="635"/>
      <c r="E547" s="624" t="s">
        <v>408</v>
      </c>
      <c r="F547" s="636" t="s">
        <v>408</v>
      </c>
      <c r="G547" s="625" t="s">
        <v>408</v>
      </c>
    </row>
    <row r="548" spans="1:7" x14ac:dyDescent="0.2">
      <c r="A548" s="634" t="s">
        <v>408</v>
      </c>
      <c r="B548" s="624" t="s">
        <v>840</v>
      </c>
      <c r="C548" s="635" t="s">
        <v>408</v>
      </c>
      <c r="D548" s="635"/>
      <c r="E548" s="624" t="s">
        <v>408</v>
      </c>
      <c r="F548" s="636" t="s">
        <v>408</v>
      </c>
      <c r="G548" s="625" t="s">
        <v>408</v>
      </c>
    </row>
    <row r="549" spans="1:7" x14ac:dyDescent="0.2">
      <c r="A549" s="634" t="s">
        <v>408</v>
      </c>
      <c r="B549" s="624" t="s">
        <v>841</v>
      </c>
      <c r="C549" s="635" t="s">
        <v>408</v>
      </c>
      <c r="D549" s="635"/>
      <c r="E549" s="624" t="s">
        <v>408</v>
      </c>
      <c r="F549" s="636" t="s">
        <v>408</v>
      </c>
      <c r="G549" s="625" t="s">
        <v>408</v>
      </c>
    </row>
    <row r="550" spans="1:7" x14ac:dyDescent="0.2">
      <c r="A550" s="634" t="s">
        <v>408</v>
      </c>
      <c r="B550" s="624" t="s">
        <v>794</v>
      </c>
      <c r="C550" s="635" t="s">
        <v>408</v>
      </c>
      <c r="D550" s="635"/>
      <c r="E550" s="624" t="s">
        <v>408</v>
      </c>
      <c r="F550" s="636" t="s">
        <v>408</v>
      </c>
      <c r="G550" s="625" t="s">
        <v>408</v>
      </c>
    </row>
    <row r="551" spans="1:7" x14ac:dyDescent="0.2">
      <c r="A551" s="634" t="s">
        <v>408</v>
      </c>
      <c r="B551" s="624" t="s">
        <v>1262</v>
      </c>
      <c r="C551" s="635">
        <v>1</v>
      </c>
      <c r="D551" s="635"/>
      <c r="E551" s="624" t="s">
        <v>408</v>
      </c>
      <c r="F551" s="636" t="s">
        <v>408</v>
      </c>
      <c r="G551" s="625" t="s">
        <v>408</v>
      </c>
    </row>
    <row r="552" spans="1:7" x14ac:dyDescent="0.2">
      <c r="A552" s="634" t="s">
        <v>408</v>
      </c>
      <c r="B552" s="624" t="s">
        <v>844</v>
      </c>
      <c r="C552" s="635">
        <v>1</v>
      </c>
      <c r="D552" s="635"/>
      <c r="E552" s="624" t="s">
        <v>408</v>
      </c>
      <c r="F552" s="636" t="s">
        <v>408</v>
      </c>
      <c r="G552" s="625" t="s">
        <v>408</v>
      </c>
    </row>
    <row r="553" spans="1:7" x14ac:dyDescent="0.2">
      <c r="A553" s="634" t="s">
        <v>408</v>
      </c>
      <c r="B553" s="624" t="s">
        <v>845</v>
      </c>
      <c r="C553" s="635">
        <v>1</v>
      </c>
      <c r="D553" s="635"/>
      <c r="E553" s="624" t="s">
        <v>408</v>
      </c>
      <c r="F553" s="636" t="s">
        <v>408</v>
      </c>
      <c r="G553" s="625" t="s">
        <v>408</v>
      </c>
    </row>
    <row r="554" spans="1:7" x14ac:dyDescent="0.2">
      <c r="A554" s="634" t="s">
        <v>408</v>
      </c>
      <c r="B554" s="624" t="s">
        <v>846</v>
      </c>
      <c r="C554" s="635" t="s">
        <v>408</v>
      </c>
      <c r="D554" s="635"/>
      <c r="E554" s="624" t="s">
        <v>408</v>
      </c>
      <c r="F554" s="636" t="s">
        <v>408</v>
      </c>
      <c r="G554" s="625" t="s">
        <v>408</v>
      </c>
    </row>
    <row r="555" spans="1:7" x14ac:dyDescent="0.2">
      <c r="A555" s="640" t="s">
        <v>408</v>
      </c>
      <c r="B555" s="626" t="s">
        <v>408</v>
      </c>
      <c r="C555" s="642" t="s">
        <v>408</v>
      </c>
      <c r="D555" s="642"/>
      <c r="E555" s="626" t="s">
        <v>408</v>
      </c>
      <c r="F555" s="643" t="s">
        <v>408</v>
      </c>
      <c r="G555" s="627" t="s">
        <v>408</v>
      </c>
    </row>
    <row r="556" spans="1:7" x14ac:dyDescent="0.2">
      <c r="A556" s="631" t="s">
        <v>1263</v>
      </c>
      <c r="B556" s="622" t="s">
        <v>746</v>
      </c>
      <c r="C556" s="632" t="s">
        <v>408</v>
      </c>
      <c r="D556" s="632"/>
      <c r="E556" s="622" t="s">
        <v>747</v>
      </c>
      <c r="F556" s="633">
        <v>18</v>
      </c>
      <c r="G556" s="623" t="s">
        <v>1265</v>
      </c>
    </row>
    <row r="557" spans="1:7" x14ac:dyDescent="0.2">
      <c r="A557" s="634" t="s">
        <v>408</v>
      </c>
      <c r="B557" s="624" t="s">
        <v>750</v>
      </c>
      <c r="C557" s="635" t="s">
        <v>408</v>
      </c>
      <c r="D557" s="635"/>
      <c r="E557" s="624" t="s">
        <v>751</v>
      </c>
      <c r="F557" s="636" t="s">
        <v>408</v>
      </c>
      <c r="G557" s="625" t="s">
        <v>760</v>
      </c>
    </row>
    <row r="558" spans="1:7" x14ac:dyDescent="0.2">
      <c r="A558" s="634" t="s">
        <v>408</v>
      </c>
      <c r="B558" s="624" t="s">
        <v>754</v>
      </c>
      <c r="C558" s="635" t="s">
        <v>408</v>
      </c>
      <c r="D558" s="635"/>
      <c r="E558" s="624" t="s">
        <v>1068</v>
      </c>
      <c r="F558" s="636" t="s">
        <v>408</v>
      </c>
      <c r="G558" s="625" t="s">
        <v>1011</v>
      </c>
    </row>
    <row r="559" spans="1:7" x14ac:dyDescent="0.2">
      <c r="A559" s="634" t="s">
        <v>408</v>
      </c>
      <c r="B559" s="624" t="s">
        <v>1006</v>
      </c>
      <c r="C559" s="635">
        <v>3</v>
      </c>
      <c r="D559" s="635"/>
      <c r="E559" s="624" t="s">
        <v>1071</v>
      </c>
      <c r="F559" s="636" t="s">
        <v>408</v>
      </c>
      <c r="G559" s="625" t="s">
        <v>776</v>
      </c>
    </row>
    <row r="560" spans="1:7" x14ac:dyDescent="0.2">
      <c r="A560" s="634" t="s">
        <v>408</v>
      </c>
      <c r="B560" s="624" t="s">
        <v>1074</v>
      </c>
      <c r="C560" s="635" t="s">
        <v>408</v>
      </c>
      <c r="D560" s="635"/>
      <c r="E560" s="624" t="s">
        <v>763</v>
      </c>
      <c r="F560" s="636" t="s">
        <v>408</v>
      </c>
      <c r="G560" s="625" t="s">
        <v>779</v>
      </c>
    </row>
    <row r="561" spans="1:7" x14ac:dyDescent="0.2">
      <c r="A561" s="634" t="s">
        <v>408</v>
      </c>
      <c r="B561" s="624" t="s">
        <v>781</v>
      </c>
      <c r="C561" s="635">
        <v>1</v>
      </c>
      <c r="D561" s="635"/>
      <c r="E561" s="624" t="s">
        <v>767</v>
      </c>
      <c r="F561" s="636" t="s">
        <v>408</v>
      </c>
      <c r="G561" s="625" t="s">
        <v>869</v>
      </c>
    </row>
    <row r="562" spans="1:7" x14ac:dyDescent="0.2">
      <c r="A562" s="634" t="s">
        <v>408</v>
      </c>
      <c r="B562" s="624" t="s">
        <v>793</v>
      </c>
      <c r="C562" s="635">
        <v>3</v>
      </c>
      <c r="D562" s="635"/>
      <c r="E562" s="624" t="s">
        <v>771</v>
      </c>
      <c r="F562" s="636" t="s">
        <v>408</v>
      </c>
      <c r="G562" s="625" t="s">
        <v>1269</v>
      </c>
    </row>
    <row r="563" spans="1:7" x14ac:dyDescent="0.2">
      <c r="A563" s="634" t="s">
        <v>408</v>
      </c>
      <c r="B563" s="624" t="s">
        <v>854</v>
      </c>
      <c r="C563" s="635">
        <v>1</v>
      </c>
      <c r="D563" s="635"/>
      <c r="E563" s="624" t="s">
        <v>1010</v>
      </c>
      <c r="F563" s="636" t="s">
        <v>408</v>
      </c>
      <c r="G563" s="625" t="s">
        <v>408</v>
      </c>
    </row>
    <row r="564" spans="1:7" x14ac:dyDescent="0.2">
      <c r="A564" s="634" t="s">
        <v>408</v>
      </c>
      <c r="B564" s="624" t="s">
        <v>856</v>
      </c>
      <c r="C564" s="635" t="s">
        <v>408</v>
      </c>
      <c r="D564" s="635"/>
      <c r="E564" s="624" t="s">
        <v>1071</v>
      </c>
      <c r="F564" s="636" t="s">
        <v>408</v>
      </c>
      <c r="G564" s="625" t="s">
        <v>408</v>
      </c>
    </row>
    <row r="565" spans="1:7" x14ac:dyDescent="0.2">
      <c r="A565" s="634" t="s">
        <v>408</v>
      </c>
      <c r="B565" s="624" t="s">
        <v>766</v>
      </c>
      <c r="C565" s="635">
        <v>1</v>
      </c>
      <c r="D565" s="635"/>
      <c r="E565" s="624"/>
      <c r="F565" s="636" t="s">
        <v>408</v>
      </c>
      <c r="G565" s="625" t="s">
        <v>408</v>
      </c>
    </row>
    <row r="566" spans="1:7" x14ac:dyDescent="0.2">
      <c r="A566" s="634" t="s">
        <v>408</v>
      </c>
      <c r="B566" s="624" t="s">
        <v>978</v>
      </c>
      <c r="C566" s="635">
        <v>1</v>
      </c>
      <c r="D566" s="635"/>
      <c r="E566" s="624" t="s">
        <v>1272</v>
      </c>
      <c r="F566" s="636" t="s">
        <v>408</v>
      </c>
      <c r="G566" s="625" t="s">
        <v>408</v>
      </c>
    </row>
    <row r="567" spans="1:7" x14ac:dyDescent="0.2">
      <c r="A567" s="634" t="s">
        <v>408</v>
      </c>
      <c r="B567" s="624" t="s">
        <v>807</v>
      </c>
      <c r="C567" s="635" t="s">
        <v>408</v>
      </c>
      <c r="D567" s="635"/>
      <c r="E567" s="624" t="s">
        <v>1274</v>
      </c>
      <c r="F567" s="636" t="s">
        <v>408</v>
      </c>
      <c r="G567" s="625" t="s">
        <v>408</v>
      </c>
    </row>
    <row r="568" spans="1:7" x14ac:dyDescent="0.2">
      <c r="A568" s="634" t="s">
        <v>408</v>
      </c>
      <c r="B568" s="624" t="s">
        <v>809</v>
      </c>
      <c r="C568" s="635" t="s">
        <v>408</v>
      </c>
      <c r="D568" s="635"/>
      <c r="E568" s="624" t="s">
        <v>791</v>
      </c>
      <c r="F568" s="636" t="s">
        <v>408</v>
      </c>
      <c r="G568" s="625" t="s">
        <v>408</v>
      </c>
    </row>
    <row r="569" spans="1:7" x14ac:dyDescent="0.2">
      <c r="A569" s="634" t="s">
        <v>408</v>
      </c>
      <c r="B569" s="624" t="s">
        <v>811</v>
      </c>
      <c r="C569" s="635" t="s">
        <v>408</v>
      </c>
      <c r="D569" s="635"/>
      <c r="E569" s="624" t="s">
        <v>794</v>
      </c>
      <c r="F569" s="636" t="s">
        <v>408</v>
      </c>
      <c r="G569" s="625" t="s">
        <v>408</v>
      </c>
    </row>
    <row r="570" spans="1:7" x14ac:dyDescent="0.2">
      <c r="A570" s="634" t="s">
        <v>408</v>
      </c>
      <c r="B570" s="624" t="s">
        <v>812</v>
      </c>
      <c r="C570" s="635" t="s">
        <v>408</v>
      </c>
      <c r="D570" s="635"/>
      <c r="E570" s="624" t="s">
        <v>853</v>
      </c>
      <c r="F570" s="636" t="s">
        <v>408</v>
      </c>
      <c r="G570" s="625" t="s">
        <v>408</v>
      </c>
    </row>
    <row r="571" spans="1:7" x14ac:dyDescent="0.2">
      <c r="A571" s="634" t="s">
        <v>408</v>
      </c>
      <c r="B571" s="624" t="s">
        <v>1254</v>
      </c>
      <c r="C571" s="635">
        <v>1</v>
      </c>
      <c r="D571" s="635"/>
      <c r="E571" s="624"/>
      <c r="F571" s="636" t="s">
        <v>408</v>
      </c>
      <c r="G571" s="625" t="s">
        <v>408</v>
      </c>
    </row>
    <row r="572" spans="1:7" x14ac:dyDescent="0.2">
      <c r="A572" s="634" t="s">
        <v>408</v>
      </c>
      <c r="B572" s="624" t="s">
        <v>1094</v>
      </c>
      <c r="C572" s="635">
        <v>1</v>
      </c>
      <c r="D572" s="635"/>
      <c r="E572" s="624" t="s">
        <v>1023</v>
      </c>
      <c r="F572" s="636" t="s">
        <v>408</v>
      </c>
      <c r="G572" s="625" t="s">
        <v>408</v>
      </c>
    </row>
    <row r="573" spans="1:7" x14ac:dyDescent="0.2">
      <c r="A573" s="634" t="s">
        <v>408</v>
      </c>
      <c r="B573" s="624" t="s">
        <v>956</v>
      </c>
      <c r="C573" s="635">
        <v>1</v>
      </c>
      <c r="D573" s="635"/>
      <c r="E573" s="624" t="s">
        <v>815</v>
      </c>
      <c r="F573" s="636" t="s">
        <v>408</v>
      </c>
      <c r="G573" s="625" t="s">
        <v>408</v>
      </c>
    </row>
    <row r="574" spans="1:7" x14ac:dyDescent="0.2">
      <c r="A574" s="634" t="s">
        <v>408</v>
      </c>
      <c r="B574" s="624" t="s">
        <v>816</v>
      </c>
      <c r="C574" s="635">
        <v>1</v>
      </c>
      <c r="D574" s="635"/>
      <c r="E574" s="624" t="s">
        <v>817</v>
      </c>
      <c r="F574" s="636" t="s">
        <v>408</v>
      </c>
      <c r="G574" s="625" t="s">
        <v>408</v>
      </c>
    </row>
    <row r="575" spans="1:7" x14ac:dyDescent="0.2">
      <c r="A575" s="634" t="s">
        <v>408</v>
      </c>
      <c r="B575" s="624" t="s">
        <v>774</v>
      </c>
      <c r="C575" s="635">
        <v>1</v>
      </c>
      <c r="D575" s="635"/>
      <c r="E575" s="624" t="s">
        <v>1255</v>
      </c>
      <c r="F575" s="636" t="s">
        <v>408</v>
      </c>
      <c r="G575" s="625" t="s">
        <v>408</v>
      </c>
    </row>
    <row r="576" spans="1:7" x14ac:dyDescent="0.2">
      <c r="A576" s="634" t="s">
        <v>408</v>
      </c>
      <c r="B576" s="624" t="s">
        <v>1279</v>
      </c>
      <c r="C576" s="635">
        <v>1</v>
      </c>
      <c r="D576" s="635"/>
      <c r="E576" s="624" t="s">
        <v>821</v>
      </c>
      <c r="F576" s="636" t="s">
        <v>408</v>
      </c>
      <c r="G576" s="625" t="s">
        <v>408</v>
      </c>
    </row>
    <row r="577" spans="1:7" x14ac:dyDescent="0.2">
      <c r="A577" s="634" t="s">
        <v>408</v>
      </c>
      <c r="B577" s="624" t="s">
        <v>408</v>
      </c>
      <c r="C577" s="635" t="s">
        <v>408</v>
      </c>
      <c r="D577" s="635"/>
      <c r="E577" s="624"/>
      <c r="F577" s="636" t="s">
        <v>408</v>
      </c>
      <c r="G577" s="625" t="s">
        <v>408</v>
      </c>
    </row>
    <row r="578" spans="1:7" x14ac:dyDescent="0.2">
      <c r="A578" s="634" t="s">
        <v>408</v>
      </c>
      <c r="B578" s="624" t="s">
        <v>825</v>
      </c>
      <c r="C578" s="635" t="s">
        <v>408</v>
      </c>
      <c r="D578" s="635"/>
      <c r="E578" s="624" t="s">
        <v>408</v>
      </c>
      <c r="F578" s="636" t="s">
        <v>408</v>
      </c>
      <c r="G578" s="625" t="s">
        <v>408</v>
      </c>
    </row>
    <row r="579" spans="1:7" x14ac:dyDescent="0.2">
      <c r="A579" s="634" t="s">
        <v>408</v>
      </c>
      <c r="B579" s="624" t="s">
        <v>750</v>
      </c>
      <c r="C579" s="635" t="s">
        <v>408</v>
      </c>
      <c r="D579" s="635"/>
      <c r="E579" s="624" t="s">
        <v>408</v>
      </c>
      <c r="F579" s="636" t="s">
        <v>408</v>
      </c>
      <c r="G579" s="625" t="s">
        <v>408</v>
      </c>
    </row>
    <row r="580" spans="1:7" x14ac:dyDescent="0.2">
      <c r="A580" s="634" t="s">
        <v>408</v>
      </c>
      <c r="B580" s="624" t="s">
        <v>754</v>
      </c>
      <c r="C580" s="635" t="s">
        <v>408</v>
      </c>
      <c r="D580" s="635"/>
      <c r="E580" s="624" t="s">
        <v>408</v>
      </c>
      <c r="F580" s="636" t="s">
        <v>408</v>
      </c>
      <c r="G580" s="625" t="s">
        <v>408</v>
      </c>
    </row>
    <row r="581" spans="1:7" x14ac:dyDescent="0.2">
      <c r="A581" s="634" t="s">
        <v>408</v>
      </c>
      <c r="B581" s="624" t="s">
        <v>826</v>
      </c>
      <c r="C581" s="635">
        <v>1</v>
      </c>
      <c r="D581" s="635"/>
      <c r="E581" s="624" t="s">
        <v>408</v>
      </c>
      <c r="F581" s="636" t="s">
        <v>408</v>
      </c>
      <c r="G581" s="625" t="s">
        <v>408</v>
      </c>
    </row>
    <row r="582" spans="1:7" x14ac:dyDescent="0.2">
      <c r="A582" s="634" t="s">
        <v>408</v>
      </c>
      <c r="B582" s="624" t="s">
        <v>903</v>
      </c>
      <c r="C582" s="635">
        <v>1</v>
      </c>
      <c r="D582" s="635"/>
      <c r="E582" s="624" t="s">
        <v>408</v>
      </c>
      <c r="F582" s="636" t="s">
        <v>408</v>
      </c>
      <c r="G582" s="625" t="s">
        <v>408</v>
      </c>
    </row>
    <row r="583" spans="1:7" x14ac:dyDescent="0.2">
      <c r="A583" s="634" t="s">
        <v>408</v>
      </c>
      <c r="B583" s="624" t="s">
        <v>833</v>
      </c>
      <c r="C583" s="635" t="s">
        <v>408</v>
      </c>
      <c r="D583" s="635"/>
      <c r="E583" s="624" t="s">
        <v>408</v>
      </c>
      <c r="F583" s="636" t="s">
        <v>408</v>
      </c>
      <c r="G583" s="625" t="s">
        <v>408</v>
      </c>
    </row>
    <row r="584" spans="1:7" x14ac:dyDescent="0.2">
      <c r="A584" s="634" t="s">
        <v>408</v>
      </c>
      <c r="B584" s="624" t="s">
        <v>1099</v>
      </c>
      <c r="C584" s="635">
        <v>1</v>
      </c>
      <c r="D584" s="635"/>
      <c r="E584" s="624" t="s">
        <v>408</v>
      </c>
      <c r="F584" s="636" t="s">
        <v>408</v>
      </c>
      <c r="G584" s="625" t="s">
        <v>408</v>
      </c>
    </row>
    <row r="585" spans="1:7" x14ac:dyDescent="0.2">
      <c r="A585" s="634" t="s">
        <v>408</v>
      </c>
      <c r="B585" s="624" t="s">
        <v>1100</v>
      </c>
      <c r="C585" s="635" t="s">
        <v>408</v>
      </c>
      <c r="D585" s="635"/>
      <c r="E585" s="624" t="s">
        <v>408</v>
      </c>
      <c r="F585" s="636" t="s">
        <v>408</v>
      </c>
      <c r="G585" s="625" t="s">
        <v>408</v>
      </c>
    </row>
    <row r="586" spans="1:7" x14ac:dyDescent="0.2">
      <c r="A586" s="634" t="s">
        <v>408</v>
      </c>
      <c r="B586" s="624" t="s">
        <v>862</v>
      </c>
      <c r="C586" s="635">
        <v>1</v>
      </c>
      <c r="D586" s="635"/>
      <c r="E586" s="624" t="s">
        <v>408</v>
      </c>
      <c r="F586" s="636" t="s">
        <v>408</v>
      </c>
      <c r="G586" s="625" t="s">
        <v>408</v>
      </c>
    </row>
    <row r="587" spans="1:7" x14ac:dyDescent="0.2">
      <c r="A587" s="634" t="s">
        <v>408</v>
      </c>
      <c r="B587" s="624" t="s">
        <v>831</v>
      </c>
      <c r="C587" s="635" t="s">
        <v>408</v>
      </c>
      <c r="D587" s="635"/>
      <c r="E587" s="624" t="s">
        <v>408</v>
      </c>
      <c r="F587" s="636" t="s">
        <v>408</v>
      </c>
      <c r="G587" s="625" t="s">
        <v>408</v>
      </c>
    </row>
    <row r="588" spans="1:7" x14ac:dyDescent="0.2">
      <c r="A588" s="634" t="s">
        <v>408</v>
      </c>
      <c r="B588" s="624" t="s">
        <v>827</v>
      </c>
      <c r="C588" s="635">
        <v>1</v>
      </c>
      <c r="D588" s="635"/>
      <c r="E588" s="624" t="s">
        <v>408</v>
      </c>
      <c r="F588" s="636" t="s">
        <v>408</v>
      </c>
      <c r="G588" s="625" t="s">
        <v>408</v>
      </c>
    </row>
    <row r="589" spans="1:7" x14ac:dyDescent="0.2">
      <c r="A589" s="634" t="s">
        <v>408</v>
      </c>
      <c r="B589" s="624" t="s">
        <v>828</v>
      </c>
      <c r="C589" s="635" t="s">
        <v>408</v>
      </c>
      <c r="D589" s="635"/>
      <c r="E589" s="624" t="s">
        <v>408</v>
      </c>
      <c r="F589" s="636" t="s">
        <v>408</v>
      </c>
      <c r="G589" s="625" t="s">
        <v>408</v>
      </c>
    </row>
    <row r="590" spans="1:7" x14ac:dyDescent="0.2">
      <c r="A590" s="634" t="s">
        <v>408</v>
      </c>
      <c r="B590" s="624" t="s">
        <v>408</v>
      </c>
      <c r="C590" s="635" t="s">
        <v>408</v>
      </c>
      <c r="D590" s="635"/>
      <c r="E590" s="624" t="s">
        <v>408</v>
      </c>
      <c r="F590" s="636" t="s">
        <v>408</v>
      </c>
      <c r="G590" s="625" t="s">
        <v>408</v>
      </c>
    </row>
    <row r="591" spans="1:7" x14ac:dyDescent="0.2">
      <c r="A591" s="634" t="s">
        <v>408</v>
      </c>
      <c r="B591" s="624" t="s">
        <v>840</v>
      </c>
      <c r="C591" s="635" t="s">
        <v>408</v>
      </c>
      <c r="D591" s="635"/>
      <c r="E591" s="624" t="s">
        <v>408</v>
      </c>
      <c r="F591" s="636" t="s">
        <v>408</v>
      </c>
      <c r="G591" s="625" t="s">
        <v>408</v>
      </c>
    </row>
    <row r="592" spans="1:7" x14ac:dyDescent="0.2">
      <c r="A592" s="634" t="s">
        <v>408</v>
      </c>
      <c r="B592" s="624" t="s">
        <v>841</v>
      </c>
      <c r="C592" s="635" t="s">
        <v>408</v>
      </c>
      <c r="D592" s="635"/>
      <c r="E592" s="624" t="s">
        <v>408</v>
      </c>
      <c r="F592" s="636" t="s">
        <v>408</v>
      </c>
      <c r="G592" s="625" t="s">
        <v>408</v>
      </c>
    </row>
    <row r="593" spans="1:7" x14ac:dyDescent="0.2">
      <c r="A593" s="634" t="s">
        <v>408</v>
      </c>
      <c r="B593" s="624" t="s">
        <v>794</v>
      </c>
      <c r="C593" s="635" t="s">
        <v>408</v>
      </c>
      <c r="D593" s="635"/>
      <c r="E593" s="624" t="s">
        <v>408</v>
      </c>
      <c r="F593" s="636" t="s">
        <v>408</v>
      </c>
      <c r="G593" s="625" t="s">
        <v>408</v>
      </c>
    </row>
    <row r="594" spans="1:7" x14ac:dyDescent="0.2">
      <c r="A594" s="634" t="s">
        <v>408</v>
      </c>
      <c r="B594" s="624" t="s">
        <v>997</v>
      </c>
      <c r="C594" s="635">
        <v>1</v>
      </c>
      <c r="D594" s="635"/>
      <c r="E594" s="624" t="s">
        <v>408</v>
      </c>
      <c r="F594" s="636" t="s">
        <v>408</v>
      </c>
      <c r="G594" s="625" t="s">
        <v>408</v>
      </c>
    </row>
    <row r="595" spans="1:7" x14ac:dyDescent="0.2">
      <c r="A595" s="634" t="s">
        <v>408</v>
      </c>
      <c r="B595" s="624" t="s">
        <v>844</v>
      </c>
      <c r="C595" s="635">
        <v>1</v>
      </c>
      <c r="D595" s="635"/>
      <c r="E595" s="624" t="s">
        <v>408</v>
      </c>
      <c r="F595" s="636" t="s">
        <v>408</v>
      </c>
      <c r="G595" s="625" t="s">
        <v>408</v>
      </c>
    </row>
    <row r="596" spans="1:7" x14ac:dyDescent="0.2">
      <c r="A596" s="634" t="s">
        <v>408</v>
      </c>
      <c r="B596" s="624" t="s">
        <v>845</v>
      </c>
      <c r="C596" s="635">
        <v>1</v>
      </c>
      <c r="D596" s="635"/>
      <c r="E596" s="624" t="s">
        <v>408</v>
      </c>
      <c r="F596" s="636" t="s">
        <v>408</v>
      </c>
      <c r="G596" s="625" t="s">
        <v>408</v>
      </c>
    </row>
    <row r="597" spans="1:7" x14ac:dyDescent="0.2">
      <c r="A597" s="634" t="s">
        <v>408</v>
      </c>
      <c r="B597" s="624" t="s">
        <v>846</v>
      </c>
      <c r="C597" s="635" t="s">
        <v>408</v>
      </c>
      <c r="D597" s="635"/>
      <c r="E597" s="624" t="s">
        <v>408</v>
      </c>
      <c r="F597" s="636" t="s">
        <v>408</v>
      </c>
      <c r="G597" s="625" t="s">
        <v>408</v>
      </c>
    </row>
    <row r="598" spans="1:7" x14ac:dyDescent="0.2">
      <c r="A598" s="634"/>
      <c r="B598" s="624"/>
      <c r="C598" s="635"/>
      <c r="D598" s="635"/>
      <c r="E598" s="624"/>
      <c r="F598" s="636"/>
      <c r="G598" s="625"/>
    </row>
    <row r="599" spans="1:7" x14ac:dyDescent="0.2">
      <c r="A599" s="634" t="s">
        <v>408</v>
      </c>
      <c r="B599" s="624" t="s">
        <v>1095</v>
      </c>
      <c r="C599" s="635" t="s">
        <v>408</v>
      </c>
      <c r="D599" s="635"/>
      <c r="E599" s="624" t="s">
        <v>408</v>
      </c>
      <c r="F599" s="636" t="s">
        <v>408</v>
      </c>
      <c r="G599" s="625" t="s">
        <v>408</v>
      </c>
    </row>
    <row r="600" spans="1:7" x14ac:dyDescent="0.2">
      <c r="A600" s="634" t="s">
        <v>408</v>
      </c>
      <c r="B600" s="624" t="s">
        <v>1101</v>
      </c>
      <c r="C600" s="635">
        <v>1</v>
      </c>
      <c r="D600" s="635"/>
      <c r="E600" s="624" t="s">
        <v>408</v>
      </c>
      <c r="F600" s="636" t="s">
        <v>408</v>
      </c>
      <c r="G600" s="625" t="s">
        <v>408</v>
      </c>
    </row>
    <row r="601" spans="1:7" x14ac:dyDescent="0.2">
      <c r="A601" s="640" t="s">
        <v>408</v>
      </c>
      <c r="B601" s="626" t="s">
        <v>408</v>
      </c>
      <c r="C601" s="642" t="s">
        <v>408</v>
      </c>
      <c r="D601" s="642"/>
      <c r="E601" s="626" t="s">
        <v>408</v>
      </c>
      <c r="F601" s="643" t="s">
        <v>408</v>
      </c>
      <c r="G601" s="627" t="s">
        <v>408</v>
      </c>
    </row>
    <row r="602" spans="1:7" x14ac:dyDescent="0.2">
      <c r="A602" s="631" t="s">
        <v>1296</v>
      </c>
      <c r="B602" s="622" t="s">
        <v>746</v>
      </c>
      <c r="C602" s="632" t="s">
        <v>408</v>
      </c>
      <c r="D602" s="632"/>
      <c r="E602" s="622" t="s">
        <v>747</v>
      </c>
      <c r="F602" s="633">
        <v>18</v>
      </c>
      <c r="G602" s="623" t="s">
        <v>1265</v>
      </c>
    </row>
    <row r="603" spans="1:7" x14ac:dyDescent="0.2">
      <c r="A603" s="634" t="s">
        <v>408</v>
      </c>
      <c r="B603" s="624" t="s">
        <v>750</v>
      </c>
      <c r="C603" s="635" t="s">
        <v>408</v>
      </c>
      <c r="D603" s="635"/>
      <c r="E603" s="624" t="s">
        <v>751</v>
      </c>
      <c r="F603" s="636"/>
      <c r="G603" s="625" t="s">
        <v>760</v>
      </c>
    </row>
    <row r="604" spans="1:7" x14ac:dyDescent="0.2">
      <c r="A604" s="634" t="s">
        <v>408</v>
      </c>
      <c r="B604" s="624" t="s">
        <v>754</v>
      </c>
      <c r="C604" s="635" t="s">
        <v>408</v>
      </c>
      <c r="D604" s="635"/>
      <c r="E604" s="624" t="s">
        <v>775</v>
      </c>
      <c r="F604" s="636" t="s">
        <v>408</v>
      </c>
      <c r="G604" s="625" t="s">
        <v>1011</v>
      </c>
    </row>
    <row r="605" spans="1:7" x14ac:dyDescent="0.2">
      <c r="A605" s="634" t="s">
        <v>408</v>
      </c>
      <c r="B605" s="624" t="s">
        <v>758</v>
      </c>
      <c r="C605" s="635">
        <v>4</v>
      </c>
      <c r="D605" s="635"/>
      <c r="E605" s="624" t="s">
        <v>1071</v>
      </c>
      <c r="F605" s="636" t="s">
        <v>408</v>
      </c>
      <c r="G605" s="625" t="s">
        <v>1300</v>
      </c>
    </row>
    <row r="606" spans="1:7" x14ac:dyDescent="0.2">
      <c r="A606" s="634" t="s">
        <v>408</v>
      </c>
      <c r="B606" s="624" t="s">
        <v>762</v>
      </c>
      <c r="C606" s="635">
        <v>3</v>
      </c>
      <c r="D606" s="635"/>
      <c r="E606" s="624" t="s">
        <v>1010</v>
      </c>
      <c r="F606" s="636" t="s">
        <v>408</v>
      </c>
      <c r="G606" s="625" t="s">
        <v>408</v>
      </c>
    </row>
    <row r="607" spans="1:7" x14ac:dyDescent="0.2">
      <c r="A607" s="634" t="s">
        <v>408</v>
      </c>
      <c r="B607" s="624" t="s">
        <v>766</v>
      </c>
      <c r="C607" s="635">
        <v>3</v>
      </c>
      <c r="D607" s="635"/>
      <c r="E607" s="624" t="s">
        <v>759</v>
      </c>
      <c r="F607" s="636" t="s">
        <v>408</v>
      </c>
      <c r="G607" s="625" t="s">
        <v>408</v>
      </c>
    </row>
    <row r="608" spans="1:7" x14ac:dyDescent="0.2">
      <c r="A608" s="634" t="s">
        <v>408</v>
      </c>
      <c r="B608" s="624" t="s">
        <v>770</v>
      </c>
      <c r="C608" s="635">
        <v>1</v>
      </c>
      <c r="D608" s="635"/>
      <c r="E608" s="624" t="s">
        <v>767</v>
      </c>
      <c r="F608" s="636" t="s">
        <v>408</v>
      </c>
      <c r="G608" s="625" t="s">
        <v>408</v>
      </c>
    </row>
    <row r="609" spans="1:7" x14ac:dyDescent="0.2">
      <c r="A609" s="634" t="s">
        <v>408</v>
      </c>
      <c r="B609" s="624" t="s">
        <v>781</v>
      </c>
      <c r="C609" s="635">
        <v>1</v>
      </c>
      <c r="D609" s="635"/>
      <c r="E609" s="624" t="s">
        <v>771</v>
      </c>
      <c r="F609" s="636" t="s">
        <v>408</v>
      </c>
      <c r="G609" s="625" t="s">
        <v>408</v>
      </c>
    </row>
    <row r="610" spans="1:7" x14ac:dyDescent="0.2">
      <c r="A610" s="634" t="s">
        <v>408</v>
      </c>
      <c r="B610" s="624" t="s">
        <v>784</v>
      </c>
      <c r="C610" s="635">
        <v>1</v>
      </c>
      <c r="D610" s="635"/>
      <c r="E610" s="624" t="s">
        <v>896</v>
      </c>
      <c r="F610" s="636" t="s">
        <v>408</v>
      </c>
      <c r="G610" s="625" t="s">
        <v>408</v>
      </c>
    </row>
    <row r="611" spans="1:7" x14ac:dyDescent="0.2">
      <c r="A611" s="634" t="s">
        <v>408</v>
      </c>
      <c r="B611" s="624" t="s">
        <v>787</v>
      </c>
      <c r="C611" s="635">
        <v>1</v>
      </c>
      <c r="D611" s="635"/>
      <c r="E611" s="624" t="s">
        <v>1306</v>
      </c>
      <c r="F611" s="636" t="s">
        <v>408</v>
      </c>
      <c r="G611" s="625" t="s">
        <v>408</v>
      </c>
    </row>
    <row r="612" spans="1:7" x14ac:dyDescent="0.2">
      <c r="A612" s="634" t="s">
        <v>408</v>
      </c>
      <c r="B612" s="624" t="s">
        <v>816</v>
      </c>
      <c r="C612" s="635">
        <v>1</v>
      </c>
      <c r="D612" s="635"/>
      <c r="E612" s="624"/>
      <c r="F612" s="636" t="s">
        <v>408</v>
      </c>
      <c r="G612" s="625" t="s">
        <v>408</v>
      </c>
    </row>
    <row r="613" spans="1:7" x14ac:dyDescent="0.2">
      <c r="A613" s="634" t="s">
        <v>408</v>
      </c>
      <c r="B613" s="624" t="s">
        <v>852</v>
      </c>
      <c r="C613" s="635">
        <v>1</v>
      </c>
      <c r="D613" s="635"/>
      <c r="E613" s="624" t="s">
        <v>1272</v>
      </c>
      <c r="F613" s="636" t="s">
        <v>408</v>
      </c>
      <c r="G613" s="625" t="s">
        <v>408</v>
      </c>
    </row>
    <row r="614" spans="1:7" x14ac:dyDescent="0.2">
      <c r="A614" s="634" t="s">
        <v>408</v>
      </c>
      <c r="B614" s="624" t="s">
        <v>818</v>
      </c>
      <c r="C614" s="635">
        <v>1</v>
      </c>
      <c r="D614" s="635"/>
      <c r="E614" s="624" t="s">
        <v>1274</v>
      </c>
      <c r="F614" s="636" t="s">
        <v>408</v>
      </c>
      <c r="G614" s="625" t="s">
        <v>408</v>
      </c>
    </row>
    <row r="615" spans="1:7" x14ac:dyDescent="0.2">
      <c r="A615" s="634" t="s">
        <v>408</v>
      </c>
      <c r="B615" s="624" t="s">
        <v>774</v>
      </c>
      <c r="C615" s="635">
        <v>1</v>
      </c>
      <c r="D615" s="635"/>
      <c r="E615" s="624" t="s">
        <v>791</v>
      </c>
      <c r="F615" s="636" t="s">
        <v>408</v>
      </c>
      <c r="G615" s="625" t="s">
        <v>408</v>
      </c>
    </row>
    <row r="616" spans="1:7" x14ac:dyDescent="0.2">
      <c r="A616" s="634" t="s">
        <v>408</v>
      </c>
      <c r="B616" s="624" t="s">
        <v>778</v>
      </c>
      <c r="C616" s="635">
        <v>1</v>
      </c>
      <c r="D616" s="635"/>
      <c r="E616" s="624" t="s">
        <v>794</v>
      </c>
      <c r="F616" s="636" t="s">
        <v>408</v>
      </c>
      <c r="G616" s="625" t="s">
        <v>408</v>
      </c>
    </row>
    <row r="617" spans="1:7" x14ac:dyDescent="0.2">
      <c r="A617" s="634" t="s">
        <v>408</v>
      </c>
      <c r="B617" s="624" t="s">
        <v>793</v>
      </c>
      <c r="C617" s="635">
        <v>4</v>
      </c>
      <c r="D617" s="635"/>
      <c r="E617" s="624" t="s">
        <v>853</v>
      </c>
      <c r="F617" s="636" t="s">
        <v>408</v>
      </c>
      <c r="G617" s="625" t="s">
        <v>408</v>
      </c>
    </row>
    <row r="618" spans="1:7" x14ac:dyDescent="0.2">
      <c r="A618" s="634" t="s">
        <v>408</v>
      </c>
      <c r="B618" s="624" t="s">
        <v>985</v>
      </c>
      <c r="C618" s="635">
        <v>1</v>
      </c>
      <c r="D618" s="635"/>
      <c r="E618" s="624"/>
      <c r="F618" s="636" t="s">
        <v>408</v>
      </c>
      <c r="G618" s="625" t="s">
        <v>408</v>
      </c>
    </row>
    <row r="619" spans="1:7" x14ac:dyDescent="0.2">
      <c r="A619" s="634" t="s">
        <v>408</v>
      </c>
      <c r="B619" s="624" t="s">
        <v>822</v>
      </c>
      <c r="C619" s="635" t="s">
        <v>408</v>
      </c>
      <c r="D619" s="635"/>
      <c r="E619" s="624" t="s">
        <v>1023</v>
      </c>
      <c r="F619" s="636" t="s">
        <v>408</v>
      </c>
      <c r="G619" s="625" t="s">
        <v>408</v>
      </c>
    </row>
    <row r="620" spans="1:7" x14ac:dyDescent="0.2">
      <c r="A620" s="634" t="s">
        <v>408</v>
      </c>
      <c r="B620" s="624" t="s">
        <v>823</v>
      </c>
      <c r="C620" s="635" t="s">
        <v>408</v>
      </c>
      <c r="D620" s="635"/>
      <c r="E620" s="624" t="s">
        <v>815</v>
      </c>
      <c r="F620" s="636" t="s">
        <v>408</v>
      </c>
      <c r="G620" s="625" t="s">
        <v>408</v>
      </c>
    </row>
    <row r="621" spans="1:7" x14ac:dyDescent="0.2">
      <c r="A621" s="634" t="s">
        <v>408</v>
      </c>
      <c r="B621" s="624" t="s">
        <v>824</v>
      </c>
      <c r="C621" s="635" t="s">
        <v>408</v>
      </c>
      <c r="D621" s="635"/>
      <c r="E621" s="624" t="s">
        <v>1312</v>
      </c>
      <c r="F621" s="636" t="s">
        <v>408</v>
      </c>
      <c r="G621" s="625" t="s">
        <v>408</v>
      </c>
    </row>
    <row r="622" spans="1:7" x14ac:dyDescent="0.2">
      <c r="A622" s="634" t="s">
        <v>408</v>
      </c>
      <c r="B622" s="624" t="s">
        <v>1254</v>
      </c>
      <c r="C622" s="635">
        <v>1</v>
      </c>
      <c r="D622" s="635"/>
      <c r="E622" s="624" t="s">
        <v>1314</v>
      </c>
      <c r="F622" s="636" t="s">
        <v>408</v>
      </c>
      <c r="G622" s="625" t="s">
        <v>408</v>
      </c>
    </row>
    <row r="623" spans="1:7" x14ac:dyDescent="0.2">
      <c r="A623" s="634" t="s">
        <v>408</v>
      </c>
      <c r="B623" s="624" t="s">
        <v>408</v>
      </c>
      <c r="C623" s="635" t="s">
        <v>408</v>
      </c>
      <c r="D623" s="635"/>
      <c r="E623" s="624" t="s">
        <v>1316</v>
      </c>
      <c r="F623" s="636" t="s">
        <v>408</v>
      </c>
      <c r="G623" s="625" t="s">
        <v>408</v>
      </c>
    </row>
    <row r="624" spans="1:7" x14ac:dyDescent="0.2">
      <c r="A624" s="637" t="s">
        <v>408</v>
      </c>
      <c r="B624" s="638" t="s">
        <v>834</v>
      </c>
      <c r="C624" s="635" t="s">
        <v>408</v>
      </c>
      <c r="D624" s="635"/>
      <c r="E624" s="624" t="s">
        <v>1318</v>
      </c>
      <c r="F624" s="636" t="s">
        <v>408</v>
      </c>
      <c r="G624" s="625" t="s">
        <v>408</v>
      </c>
    </row>
    <row r="625" spans="1:7" x14ac:dyDescent="0.2">
      <c r="A625" s="637" t="s">
        <v>408</v>
      </c>
      <c r="B625" s="638" t="s">
        <v>790</v>
      </c>
      <c r="C625" s="635">
        <v>1</v>
      </c>
      <c r="D625" s="635"/>
      <c r="E625" s="624" t="s">
        <v>1320</v>
      </c>
      <c r="F625" s="636" t="s">
        <v>408</v>
      </c>
      <c r="G625" s="625" t="s">
        <v>408</v>
      </c>
    </row>
    <row r="626" spans="1:7" x14ac:dyDescent="0.2">
      <c r="A626" s="634" t="s">
        <v>408</v>
      </c>
      <c r="B626" s="624" t="s">
        <v>1322</v>
      </c>
      <c r="C626" s="635">
        <v>2</v>
      </c>
      <c r="D626" s="635"/>
      <c r="E626" s="624" t="s">
        <v>1323</v>
      </c>
      <c r="F626" s="636" t="s">
        <v>408</v>
      </c>
      <c r="G626" s="625" t="s">
        <v>408</v>
      </c>
    </row>
    <row r="627" spans="1:7" x14ac:dyDescent="0.2">
      <c r="A627" s="634" t="s">
        <v>408</v>
      </c>
      <c r="B627" s="624" t="s">
        <v>1324</v>
      </c>
      <c r="C627" s="635" t="s">
        <v>408</v>
      </c>
      <c r="D627" s="635"/>
      <c r="E627" s="624" t="s">
        <v>1325</v>
      </c>
      <c r="F627" s="636" t="s">
        <v>408</v>
      </c>
      <c r="G627" s="625" t="s">
        <v>408</v>
      </c>
    </row>
    <row r="628" spans="1:7" x14ac:dyDescent="0.2">
      <c r="A628" s="634" t="s">
        <v>408</v>
      </c>
      <c r="B628" s="624" t="s">
        <v>1326</v>
      </c>
      <c r="C628" s="635" t="s">
        <v>408</v>
      </c>
      <c r="D628" s="635"/>
      <c r="E628" s="624" t="s">
        <v>1327</v>
      </c>
      <c r="F628" s="636" t="s">
        <v>408</v>
      </c>
      <c r="G628" s="625" t="s">
        <v>408</v>
      </c>
    </row>
    <row r="629" spans="1:7" x14ac:dyDescent="0.2">
      <c r="A629" s="634" t="s">
        <v>408</v>
      </c>
      <c r="B629" s="624" t="s">
        <v>1329</v>
      </c>
      <c r="C629" s="635" t="s">
        <v>408</v>
      </c>
      <c r="D629" s="635"/>
      <c r="E629" s="624" t="s">
        <v>1330</v>
      </c>
      <c r="F629" s="636" t="s">
        <v>408</v>
      </c>
      <c r="G629" s="625" t="s">
        <v>408</v>
      </c>
    </row>
    <row r="630" spans="1:7" x14ac:dyDescent="0.2">
      <c r="A630" s="634" t="s">
        <v>408</v>
      </c>
      <c r="B630" s="624" t="s">
        <v>1331</v>
      </c>
      <c r="C630" s="635">
        <v>1</v>
      </c>
      <c r="D630" s="635"/>
      <c r="E630" s="624" t="s">
        <v>1332</v>
      </c>
      <c r="F630" s="636" t="s">
        <v>408</v>
      </c>
      <c r="G630" s="625" t="s">
        <v>408</v>
      </c>
    </row>
    <row r="631" spans="1:7" x14ac:dyDescent="0.2">
      <c r="A631" s="634" t="s">
        <v>408</v>
      </c>
      <c r="B631" s="624" t="s">
        <v>1334</v>
      </c>
      <c r="C631" s="635" t="s">
        <v>408</v>
      </c>
      <c r="D631" s="635"/>
      <c r="E631" s="624" t="s">
        <v>1335</v>
      </c>
      <c r="F631" s="636" t="s">
        <v>408</v>
      </c>
      <c r="G631" s="625" t="s">
        <v>408</v>
      </c>
    </row>
    <row r="632" spans="1:7" x14ac:dyDescent="0.2">
      <c r="A632" s="634" t="s">
        <v>408</v>
      </c>
      <c r="B632" s="624" t="s">
        <v>408</v>
      </c>
      <c r="C632" s="635" t="s">
        <v>408</v>
      </c>
      <c r="D632" s="635"/>
      <c r="E632" s="624"/>
      <c r="F632" s="636" t="s">
        <v>408</v>
      </c>
      <c r="G632" s="625" t="s">
        <v>408</v>
      </c>
    </row>
    <row r="633" spans="1:7" x14ac:dyDescent="0.2">
      <c r="A633" s="634" t="s">
        <v>408</v>
      </c>
      <c r="B633" s="624" t="s">
        <v>825</v>
      </c>
      <c r="C633" s="635" t="s">
        <v>408</v>
      </c>
      <c r="D633" s="635"/>
      <c r="E633" s="624" t="s">
        <v>408</v>
      </c>
      <c r="F633" s="636" t="s">
        <v>408</v>
      </c>
      <c r="G633" s="625" t="s">
        <v>408</v>
      </c>
    </row>
    <row r="634" spans="1:7" x14ac:dyDescent="0.2">
      <c r="A634" s="634" t="s">
        <v>408</v>
      </c>
      <c r="B634" s="624" t="s">
        <v>750</v>
      </c>
      <c r="C634" s="635" t="s">
        <v>408</v>
      </c>
      <c r="D634" s="635"/>
      <c r="E634" s="624" t="s">
        <v>408</v>
      </c>
      <c r="F634" s="636" t="s">
        <v>408</v>
      </c>
      <c r="G634" s="625" t="s">
        <v>408</v>
      </c>
    </row>
    <row r="635" spans="1:7" x14ac:dyDescent="0.2">
      <c r="A635" s="634" t="s">
        <v>408</v>
      </c>
      <c r="B635" s="624" t="s">
        <v>754</v>
      </c>
      <c r="C635" s="635" t="s">
        <v>408</v>
      </c>
      <c r="D635" s="635"/>
      <c r="E635" s="624" t="s">
        <v>408</v>
      </c>
      <c r="F635" s="636" t="s">
        <v>408</v>
      </c>
      <c r="G635" s="625" t="s">
        <v>408</v>
      </c>
    </row>
    <row r="636" spans="1:7" x14ac:dyDescent="0.2">
      <c r="A636" s="634" t="s">
        <v>408</v>
      </c>
      <c r="B636" s="624" t="s">
        <v>826</v>
      </c>
      <c r="C636" s="635">
        <v>1</v>
      </c>
      <c r="D636" s="635"/>
      <c r="E636" s="624" t="s">
        <v>408</v>
      </c>
      <c r="F636" s="636" t="s">
        <v>408</v>
      </c>
      <c r="G636" s="625" t="s">
        <v>408</v>
      </c>
    </row>
    <row r="637" spans="1:7" x14ac:dyDescent="0.2">
      <c r="A637" s="634" t="s">
        <v>408</v>
      </c>
      <c r="B637" s="624" t="s">
        <v>832</v>
      </c>
      <c r="C637" s="635">
        <v>1</v>
      </c>
      <c r="D637" s="635"/>
      <c r="E637" s="624" t="s">
        <v>408</v>
      </c>
      <c r="F637" s="636" t="s">
        <v>408</v>
      </c>
      <c r="G637" s="625" t="s">
        <v>408</v>
      </c>
    </row>
    <row r="638" spans="1:7" x14ac:dyDescent="0.2">
      <c r="A638" s="634" t="s">
        <v>408</v>
      </c>
      <c r="B638" s="624" t="s">
        <v>833</v>
      </c>
      <c r="C638" s="635" t="s">
        <v>408</v>
      </c>
      <c r="D638" s="635"/>
      <c r="E638" s="624" t="s">
        <v>408</v>
      </c>
      <c r="F638" s="636" t="s">
        <v>408</v>
      </c>
      <c r="G638" s="625" t="s">
        <v>408</v>
      </c>
    </row>
    <row r="639" spans="1:7" x14ac:dyDescent="0.2">
      <c r="A639" s="634" t="s">
        <v>408</v>
      </c>
      <c r="B639" s="624" t="s">
        <v>1336</v>
      </c>
      <c r="C639" s="635">
        <v>1</v>
      </c>
      <c r="D639" s="635"/>
      <c r="E639" s="624" t="s">
        <v>408</v>
      </c>
      <c r="F639" s="636" t="s">
        <v>408</v>
      </c>
      <c r="G639" s="625" t="s">
        <v>408</v>
      </c>
    </row>
    <row r="640" spans="1:7" x14ac:dyDescent="0.2">
      <c r="A640" s="634" t="s">
        <v>408</v>
      </c>
      <c r="B640" s="624" t="s">
        <v>1337</v>
      </c>
      <c r="C640" s="635" t="s">
        <v>408</v>
      </c>
      <c r="D640" s="635"/>
      <c r="E640" s="624" t="s">
        <v>408</v>
      </c>
      <c r="F640" s="636" t="s">
        <v>408</v>
      </c>
      <c r="G640" s="625" t="s">
        <v>408</v>
      </c>
    </row>
    <row r="641" spans="1:7" x14ac:dyDescent="0.2">
      <c r="A641" s="634" t="s">
        <v>408</v>
      </c>
      <c r="B641" s="624" t="s">
        <v>1326</v>
      </c>
      <c r="C641" s="635" t="s">
        <v>408</v>
      </c>
      <c r="D641" s="635"/>
      <c r="E641" s="624" t="s">
        <v>408</v>
      </c>
      <c r="F641" s="636" t="s">
        <v>408</v>
      </c>
      <c r="G641" s="625" t="s">
        <v>408</v>
      </c>
    </row>
    <row r="642" spans="1:7" x14ac:dyDescent="0.2">
      <c r="A642" s="634" t="s">
        <v>408</v>
      </c>
      <c r="B642" s="624" t="s">
        <v>861</v>
      </c>
      <c r="C642" s="635">
        <v>1</v>
      </c>
      <c r="D642" s="635"/>
      <c r="E642" s="624" t="s">
        <v>408</v>
      </c>
      <c r="F642" s="636" t="s">
        <v>408</v>
      </c>
      <c r="G642" s="625" t="s">
        <v>408</v>
      </c>
    </row>
    <row r="643" spans="1:7" x14ac:dyDescent="0.2">
      <c r="A643" s="634" t="s">
        <v>408</v>
      </c>
      <c r="B643" s="624" t="s">
        <v>828</v>
      </c>
      <c r="C643" s="635" t="s">
        <v>408</v>
      </c>
      <c r="D643" s="635"/>
      <c r="E643" s="624" t="s">
        <v>408</v>
      </c>
      <c r="F643" s="636" t="s">
        <v>408</v>
      </c>
      <c r="G643" s="625" t="s">
        <v>408</v>
      </c>
    </row>
    <row r="644" spans="1:7" x14ac:dyDescent="0.2">
      <c r="A644" s="634" t="s">
        <v>408</v>
      </c>
      <c r="B644" s="624" t="s">
        <v>862</v>
      </c>
      <c r="C644" s="635">
        <v>1</v>
      </c>
      <c r="D644" s="635"/>
      <c r="E644" s="624" t="s">
        <v>408</v>
      </c>
      <c r="F644" s="636" t="s">
        <v>408</v>
      </c>
      <c r="G644" s="625" t="s">
        <v>408</v>
      </c>
    </row>
    <row r="645" spans="1:7" x14ac:dyDescent="0.2">
      <c r="A645" s="634" t="s">
        <v>408</v>
      </c>
      <c r="B645" s="624" t="s">
        <v>1338</v>
      </c>
      <c r="C645" s="635" t="s">
        <v>408</v>
      </c>
      <c r="D645" s="635"/>
      <c r="E645" s="624" t="s">
        <v>408</v>
      </c>
      <c r="F645" s="636" t="s">
        <v>408</v>
      </c>
      <c r="G645" s="625" t="s">
        <v>408</v>
      </c>
    </row>
    <row r="646" spans="1:7" x14ac:dyDescent="0.2">
      <c r="A646" s="634" t="s">
        <v>408</v>
      </c>
      <c r="B646" s="624" t="s">
        <v>1339</v>
      </c>
      <c r="C646" s="635" t="s">
        <v>408</v>
      </c>
      <c r="D646" s="635"/>
      <c r="E646" s="624" t="s">
        <v>408</v>
      </c>
      <c r="F646" s="636" t="s">
        <v>408</v>
      </c>
      <c r="G646" s="625" t="s">
        <v>408</v>
      </c>
    </row>
    <row r="647" spans="1:7" x14ac:dyDescent="0.2">
      <c r="A647" s="634" t="s">
        <v>408</v>
      </c>
      <c r="B647" s="624" t="s">
        <v>1340</v>
      </c>
      <c r="C647" s="635" t="s">
        <v>408</v>
      </c>
      <c r="D647" s="635"/>
      <c r="E647" s="624" t="s">
        <v>408</v>
      </c>
      <c r="F647" s="636" t="s">
        <v>408</v>
      </c>
      <c r="G647" s="625" t="s">
        <v>408</v>
      </c>
    </row>
    <row r="648" spans="1:7" x14ac:dyDescent="0.2">
      <c r="A648" s="634" t="s">
        <v>408</v>
      </c>
      <c r="B648" s="624" t="s">
        <v>1341</v>
      </c>
      <c r="C648" s="635">
        <v>1</v>
      </c>
      <c r="D648" s="635"/>
      <c r="E648" s="624" t="s">
        <v>408</v>
      </c>
      <c r="F648" s="636" t="s">
        <v>408</v>
      </c>
      <c r="G648" s="625" t="s">
        <v>408</v>
      </c>
    </row>
    <row r="649" spans="1:7" x14ac:dyDescent="0.2">
      <c r="A649" s="634" t="s">
        <v>408</v>
      </c>
      <c r="B649" s="624" t="s">
        <v>906</v>
      </c>
      <c r="C649" s="635">
        <v>1</v>
      </c>
      <c r="D649" s="635"/>
      <c r="E649" s="624" t="s">
        <v>408</v>
      </c>
      <c r="F649" s="636" t="s">
        <v>408</v>
      </c>
      <c r="G649" s="625" t="s">
        <v>408</v>
      </c>
    </row>
    <row r="650" spans="1:7" x14ac:dyDescent="0.2">
      <c r="A650" s="634" t="s">
        <v>408</v>
      </c>
      <c r="B650" s="624" t="s">
        <v>907</v>
      </c>
      <c r="C650" s="635" t="s">
        <v>408</v>
      </c>
      <c r="D650" s="635"/>
      <c r="E650" s="624" t="s">
        <v>408</v>
      </c>
      <c r="F650" s="636" t="s">
        <v>408</v>
      </c>
      <c r="G650" s="625" t="s">
        <v>408</v>
      </c>
    </row>
    <row r="651" spans="1:7" x14ac:dyDescent="0.2">
      <c r="A651" s="634" t="s">
        <v>408</v>
      </c>
      <c r="B651" s="624" t="s">
        <v>940</v>
      </c>
      <c r="C651" s="635">
        <v>1</v>
      </c>
      <c r="D651" s="635"/>
      <c r="E651" s="624" t="s">
        <v>408</v>
      </c>
      <c r="F651" s="636" t="s">
        <v>408</v>
      </c>
      <c r="G651" s="625" t="s">
        <v>408</v>
      </c>
    </row>
    <row r="652" spans="1:7" x14ac:dyDescent="0.2">
      <c r="A652" s="634"/>
      <c r="B652" s="624"/>
      <c r="C652" s="635"/>
      <c r="D652" s="635"/>
      <c r="E652" s="624"/>
      <c r="F652" s="636"/>
      <c r="G652" s="625"/>
    </row>
    <row r="653" spans="1:7" x14ac:dyDescent="0.2">
      <c r="A653" s="634" t="s">
        <v>408</v>
      </c>
      <c r="B653" s="624" t="s">
        <v>834</v>
      </c>
      <c r="C653" s="635" t="s">
        <v>408</v>
      </c>
      <c r="D653" s="635"/>
      <c r="E653" s="624" t="s">
        <v>408</v>
      </c>
      <c r="F653" s="636" t="s">
        <v>408</v>
      </c>
      <c r="G653" s="625" t="s">
        <v>408</v>
      </c>
    </row>
    <row r="654" spans="1:7" x14ac:dyDescent="0.2">
      <c r="A654" s="634" t="s">
        <v>408</v>
      </c>
      <c r="B654" s="624" t="s">
        <v>1342</v>
      </c>
      <c r="C654" s="635">
        <v>1</v>
      </c>
      <c r="D654" s="635"/>
      <c r="E654" s="624" t="s">
        <v>408</v>
      </c>
      <c r="F654" s="636" t="s">
        <v>408</v>
      </c>
      <c r="G654" s="625" t="s">
        <v>408</v>
      </c>
    </row>
    <row r="655" spans="1:7" x14ac:dyDescent="0.2">
      <c r="A655" s="634" t="s">
        <v>408</v>
      </c>
      <c r="B655" s="624" t="s">
        <v>1343</v>
      </c>
      <c r="C655" s="635" t="s">
        <v>408</v>
      </c>
      <c r="D655" s="635"/>
      <c r="E655" s="624" t="s">
        <v>408</v>
      </c>
      <c r="F655" s="636" t="s">
        <v>408</v>
      </c>
      <c r="G655" s="625" t="s">
        <v>408</v>
      </c>
    </row>
    <row r="656" spans="1:7" x14ac:dyDescent="0.2">
      <c r="A656" s="634" t="s">
        <v>408</v>
      </c>
      <c r="B656" s="624" t="s">
        <v>1344</v>
      </c>
      <c r="C656" s="635">
        <v>1</v>
      </c>
      <c r="D656" s="635"/>
      <c r="E656" s="624" t="s">
        <v>408</v>
      </c>
      <c r="F656" s="636" t="s">
        <v>408</v>
      </c>
      <c r="G656" s="625" t="s">
        <v>408</v>
      </c>
    </row>
    <row r="657" spans="1:7" x14ac:dyDescent="0.2">
      <c r="A657" s="634" t="s">
        <v>408</v>
      </c>
      <c r="B657" s="624" t="s">
        <v>1345</v>
      </c>
      <c r="C657" s="635" t="s">
        <v>408</v>
      </c>
      <c r="D657" s="635"/>
      <c r="E657" s="624" t="s">
        <v>408</v>
      </c>
      <c r="F657" s="636" t="s">
        <v>408</v>
      </c>
      <c r="G657" s="625" t="s">
        <v>408</v>
      </c>
    </row>
    <row r="658" spans="1:7" x14ac:dyDescent="0.2">
      <c r="A658" s="634" t="s">
        <v>408</v>
      </c>
      <c r="B658" s="624" t="s">
        <v>1260</v>
      </c>
      <c r="C658" s="635">
        <v>1</v>
      </c>
      <c r="D658" s="635"/>
      <c r="E658" s="624" t="s">
        <v>408</v>
      </c>
      <c r="F658" s="636" t="s">
        <v>408</v>
      </c>
      <c r="G658" s="625" t="s">
        <v>408</v>
      </c>
    </row>
    <row r="659" spans="1:7" x14ac:dyDescent="0.2">
      <c r="A659" s="634" t="s">
        <v>408</v>
      </c>
      <c r="B659" s="624" t="s">
        <v>1261</v>
      </c>
      <c r="C659" s="635" t="s">
        <v>408</v>
      </c>
      <c r="D659" s="635"/>
      <c r="E659" s="624" t="s">
        <v>408</v>
      </c>
      <c r="F659" s="636" t="s">
        <v>408</v>
      </c>
      <c r="G659" s="625" t="s">
        <v>408</v>
      </c>
    </row>
    <row r="660" spans="1:7" x14ac:dyDescent="0.2">
      <c r="A660" s="634" t="s">
        <v>408</v>
      </c>
      <c r="B660" s="624" t="s">
        <v>908</v>
      </c>
      <c r="C660" s="635">
        <v>1</v>
      </c>
      <c r="D660" s="635"/>
      <c r="E660" s="624" t="s">
        <v>408</v>
      </c>
      <c r="F660" s="636" t="s">
        <v>408</v>
      </c>
      <c r="G660" s="625" t="s">
        <v>408</v>
      </c>
    </row>
    <row r="661" spans="1:7" x14ac:dyDescent="0.2">
      <c r="A661" s="634" t="s">
        <v>408</v>
      </c>
      <c r="B661" s="624" t="s">
        <v>1346</v>
      </c>
      <c r="C661" s="635" t="s">
        <v>408</v>
      </c>
      <c r="D661" s="635"/>
      <c r="E661" s="624" t="s">
        <v>408</v>
      </c>
      <c r="F661" s="636" t="s">
        <v>408</v>
      </c>
      <c r="G661" s="625" t="s">
        <v>408</v>
      </c>
    </row>
    <row r="662" spans="1:7" x14ac:dyDescent="0.2">
      <c r="A662" s="634" t="s">
        <v>408</v>
      </c>
      <c r="B662" s="624" t="s">
        <v>1133</v>
      </c>
      <c r="C662" s="635">
        <v>1</v>
      </c>
      <c r="D662" s="635"/>
      <c r="E662" s="624" t="s">
        <v>408</v>
      </c>
      <c r="F662" s="636" t="s">
        <v>408</v>
      </c>
      <c r="G662" s="625" t="s">
        <v>408</v>
      </c>
    </row>
    <row r="663" spans="1:7" x14ac:dyDescent="0.2">
      <c r="A663" s="634" t="s">
        <v>408</v>
      </c>
      <c r="B663" s="624" t="s">
        <v>1347</v>
      </c>
      <c r="C663" s="635" t="s">
        <v>408</v>
      </c>
      <c r="D663" s="635"/>
      <c r="E663" s="624" t="s">
        <v>408</v>
      </c>
      <c r="F663" s="636" t="s">
        <v>408</v>
      </c>
      <c r="G663" s="625" t="s">
        <v>408</v>
      </c>
    </row>
    <row r="664" spans="1:7" x14ac:dyDescent="0.2">
      <c r="A664" s="634" t="s">
        <v>408</v>
      </c>
      <c r="B664" s="624" t="s">
        <v>408</v>
      </c>
      <c r="C664" s="635" t="s">
        <v>408</v>
      </c>
      <c r="D664" s="635"/>
      <c r="E664" s="624" t="s">
        <v>408</v>
      </c>
      <c r="F664" s="636" t="s">
        <v>408</v>
      </c>
      <c r="G664" s="625" t="s">
        <v>408</v>
      </c>
    </row>
    <row r="665" spans="1:7" x14ac:dyDescent="0.2">
      <c r="A665" s="634" t="s">
        <v>408</v>
      </c>
      <c r="B665" s="624" t="s">
        <v>840</v>
      </c>
      <c r="C665" s="635" t="s">
        <v>408</v>
      </c>
      <c r="D665" s="635"/>
      <c r="E665" s="624" t="s">
        <v>408</v>
      </c>
      <c r="F665" s="636" t="s">
        <v>408</v>
      </c>
      <c r="G665" s="625" t="s">
        <v>408</v>
      </c>
    </row>
    <row r="666" spans="1:7" x14ac:dyDescent="0.2">
      <c r="A666" s="634" t="s">
        <v>408</v>
      </c>
      <c r="B666" s="624" t="s">
        <v>841</v>
      </c>
      <c r="C666" s="635" t="s">
        <v>408</v>
      </c>
      <c r="D666" s="635"/>
      <c r="E666" s="624" t="s">
        <v>408</v>
      </c>
      <c r="F666" s="636" t="s">
        <v>408</v>
      </c>
      <c r="G666" s="625" t="s">
        <v>408</v>
      </c>
    </row>
    <row r="667" spans="1:7" x14ac:dyDescent="0.2">
      <c r="A667" s="634" t="s">
        <v>408</v>
      </c>
      <c r="B667" s="624" t="s">
        <v>794</v>
      </c>
      <c r="C667" s="635" t="s">
        <v>408</v>
      </c>
      <c r="D667" s="635"/>
      <c r="E667" s="624" t="s">
        <v>408</v>
      </c>
      <c r="F667" s="636" t="s">
        <v>408</v>
      </c>
      <c r="G667" s="625" t="s">
        <v>408</v>
      </c>
    </row>
    <row r="668" spans="1:7" x14ac:dyDescent="0.2">
      <c r="A668" s="634" t="s">
        <v>408</v>
      </c>
      <c r="B668" s="624" t="s">
        <v>1262</v>
      </c>
      <c r="C668" s="635">
        <v>1</v>
      </c>
      <c r="D668" s="635"/>
      <c r="E668" s="624" t="s">
        <v>408</v>
      </c>
      <c r="F668" s="636" t="s">
        <v>408</v>
      </c>
      <c r="G668" s="625" t="s">
        <v>408</v>
      </c>
    </row>
    <row r="669" spans="1:7" x14ac:dyDescent="0.2">
      <c r="A669" s="634" t="s">
        <v>408</v>
      </c>
      <c r="B669" s="624" t="s">
        <v>844</v>
      </c>
      <c r="C669" s="635">
        <v>1</v>
      </c>
      <c r="D669" s="635"/>
      <c r="E669" s="624" t="s">
        <v>408</v>
      </c>
      <c r="F669" s="636" t="s">
        <v>408</v>
      </c>
      <c r="G669" s="625" t="s">
        <v>408</v>
      </c>
    </row>
    <row r="670" spans="1:7" x14ac:dyDescent="0.2">
      <c r="A670" s="634" t="s">
        <v>408</v>
      </c>
      <c r="B670" s="624" t="s">
        <v>845</v>
      </c>
      <c r="C670" s="635">
        <v>1</v>
      </c>
      <c r="D670" s="635"/>
      <c r="E670" s="624" t="s">
        <v>408</v>
      </c>
      <c r="F670" s="636" t="s">
        <v>408</v>
      </c>
      <c r="G670" s="625" t="s">
        <v>408</v>
      </c>
    </row>
    <row r="671" spans="1:7" x14ac:dyDescent="0.2">
      <c r="A671" s="634" t="s">
        <v>408</v>
      </c>
      <c r="B671" s="624" t="s">
        <v>846</v>
      </c>
      <c r="C671" s="635" t="s">
        <v>408</v>
      </c>
      <c r="D671" s="635"/>
      <c r="E671" s="624" t="s">
        <v>408</v>
      </c>
      <c r="F671" s="636" t="s">
        <v>408</v>
      </c>
      <c r="G671" s="625" t="s">
        <v>408</v>
      </c>
    </row>
    <row r="672" spans="1:7" x14ac:dyDescent="0.2">
      <c r="A672" s="640" t="s">
        <v>408</v>
      </c>
      <c r="B672" s="626" t="s">
        <v>408</v>
      </c>
      <c r="C672" s="642" t="s">
        <v>408</v>
      </c>
      <c r="D672" s="642"/>
      <c r="E672" s="626" t="s">
        <v>408</v>
      </c>
      <c r="F672" s="643" t="s">
        <v>408</v>
      </c>
      <c r="G672" s="627" t="s">
        <v>408</v>
      </c>
    </row>
    <row r="673" spans="1:7" x14ac:dyDescent="0.2">
      <c r="A673" s="631" t="s">
        <v>1348</v>
      </c>
      <c r="B673" s="622" t="s">
        <v>746</v>
      </c>
      <c r="C673" s="632" t="s">
        <v>408</v>
      </c>
      <c r="D673" s="632"/>
      <c r="E673" s="622" t="s">
        <v>747</v>
      </c>
      <c r="F673" s="633">
        <v>7</v>
      </c>
      <c r="G673" s="623" t="s">
        <v>869</v>
      </c>
    </row>
    <row r="674" spans="1:7" x14ac:dyDescent="0.2">
      <c r="A674" s="634" t="s">
        <v>408</v>
      </c>
      <c r="B674" s="624" t="s">
        <v>750</v>
      </c>
      <c r="C674" s="635" t="s">
        <v>408</v>
      </c>
      <c r="D674" s="635"/>
      <c r="E674" s="624" t="s">
        <v>751</v>
      </c>
      <c r="F674" s="636" t="s">
        <v>408</v>
      </c>
      <c r="G674" s="625" t="s">
        <v>1269</v>
      </c>
    </row>
    <row r="675" spans="1:7" x14ac:dyDescent="0.2">
      <c r="A675" s="634" t="s">
        <v>408</v>
      </c>
      <c r="B675" s="624" t="s">
        <v>754</v>
      </c>
      <c r="C675" s="635" t="s">
        <v>408</v>
      </c>
      <c r="D675" s="635"/>
      <c r="E675" s="624" t="s">
        <v>771</v>
      </c>
      <c r="F675" s="636" t="s">
        <v>408</v>
      </c>
      <c r="G675" s="625" t="s">
        <v>760</v>
      </c>
    </row>
    <row r="676" spans="1:7" x14ac:dyDescent="0.2">
      <c r="A676" s="634" t="s">
        <v>408</v>
      </c>
      <c r="B676" s="624" t="s">
        <v>758</v>
      </c>
      <c r="C676" s="635">
        <v>1</v>
      </c>
      <c r="D676" s="635"/>
      <c r="E676" s="624" t="s">
        <v>767</v>
      </c>
      <c r="F676" s="636" t="s">
        <v>408</v>
      </c>
      <c r="G676" s="625" t="s">
        <v>764</v>
      </c>
    </row>
    <row r="677" spans="1:7" x14ac:dyDescent="0.2">
      <c r="A677" s="634" t="s">
        <v>408</v>
      </c>
      <c r="B677" s="624" t="s">
        <v>1354</v>
      </c>
      <c r="C677" s="635">
        <v>1</v>
      </c>
      <c r="D677" s="635"/>
      <c r="E677" s="624" t="s">
        <v>1355</v>
      </c>
      <c r="F677" s="636" t="s">
        <v>408</v>
      </c>
      <c r="G677" s="625" t="s">
        <v>1356</v>
      </c>
    </row>
    <row r="678" spans="1:7" x14ac:dyDescent="0.2">
      <c r="A678" s="634" t="s">
        <v>408</v>
      </c>
      <c r="B678" s="624" t="s">
        <v>1359</v>
      </c>
      <c r="C678" s="635" t="s">
        <v>408</v>
      </c>
      <c r="D678" s="635"/>
      <c r="E678" s="624" t="s">
        <v>1360</v>
      </c>
      <c r="F678" s="636" t="s">
        <v>408</v>
      </c>
      <c r="G678" s="625" t="s">
        <v>779</v>
      </c>
    </row>
    <row r="679" spans="1:7" x14ac:dyDescent="0.2">
      <c r="A679" s="634" t="s">
        <v>408</v>
      </c>
      <c r="B679" s="624" t="s">
        <v>1362</v>
      </c>
      <c r="C679" s="635">
        <v>1</v>
      </c>
      <c r="D679" s="635"/>
      <c r="E679" s="624" t="s">
        <v>1071</v>
      </c>
      <c r="F679" s="636" t="s">
        <v>408</v>
      </c>
      <c r="G679" s="625" t="s">
        <v>408</v>
      </c>
    </row>
    <row r="680" spans="1:7" x14ac:dyDescent="0.2">
      <c r="A680" s="634" t="s">
        <v>408</v>
      </c>
      <c r="B680" s="624" t="s">
        <v>1364</v>
      </c>
      <c r="C680" s="635" t="s">
        <v>408</v>
      </c>
      <c r="D680" s="635"/>
      <c r="E680" s="624" t="s">
        <v>1365</v>
      </c>
      <c r="F680" s="636" t="s">
        <v>408</v>
      </c>
      <c r="G680" s="625" t="s">
        <v>408</v>
      </c>
    </row>
    <row r="681" spans="1:7" x14ac:dyDescent="0.2">
      <c r="A681" s="634" t="s">
        <v>408</v>
      </c>
      <c r="B681" s="624" t="s">
        <v>1368</v>
      </c>
      <c r="C681" s="635">
        <v>1</v>
      </c>
      <c r="D681" s="635"/>
      <c r="E681" s="624" t="s">
        <v>1071</v>
      </c>
      <c r="F681" s="636" t="s">
        <v>408</v>
      </c>
      <c r="G681" s="625" t="s">
        <v>408</v>
      </c>
    </row>
    <row r="682" spans="1:7" x14ac:dyDescent="0.2">
      <c r="A682" s="634" t="s">
        <v>408</v>
      </c>
      <c r="B682" s="624" t="s">
        <v>793</v>
      </c>
      <c r="C682" s="635">
        <v>2</v>
      </c>
      <c r="D682" s="635"/>
      <c r="E682" s="624"/>
      <c r="F682" s="636" t="s">
        <v>408</v>
      </c>
      <c r="G682" s="625" t="s">
        <v>408</v>
      </c>
    </row>
    <row r="683" spans="1:7" x14ac:dyDescent="0.2">
      <c r="A683" s="634" t="s">
        <v>408</v>
      </c>
      <c r="B683" s="624" t="s">
        <v>1369</v>
      </c>
      <c r="C683" s="635">
        <v>1</v>
      </c>
      <c r="D683" s="635"/>
      <c r="E683" s="624" t="s">
        <v>1272</v>
      </c>
      <c r="F683" s="636" t="s">
        <v>408</v>
      </c>
      <c r="G683" s="625" t="s">
        <v>408</v>
      </c>
    </row>
    <row r="684" spans="1:7" x14ac:dyDescent="0.2">
      <c r="A684" s="634" t="s">
        <v>408</v>
      </c>
      <c r="B684" s="624" t="s">
        <v>1370</v>
      </c>
      <c r="C684" s="635" t="s">
        <v>408</v>
      </c>
      <c r="D684" s="635"/>
      <c r="E684" s="624" t="s">
        <v>1274</v>
      </c>
      <c r="F684" s="636" t="s">
        <v>408</v>
      </c>
      <c r="G684" s="625" t="s">
        <v>408</v>
      </c>
    </row>
    <row r="685" spans="1:7" x14ac:dyDescent="0.2">
      <c r="A685" s="634" t="s">
        <v>408</v>
      </c>
      <c r="B685" s="624" t="s">
        <v>796</v>
      </c>
      <c r="C685" s="635">
        <v>1</v>
      </c>
      <c r="D685" s="635"/>
      <c r="E685" s="624" t="s">
        <v>791</v>
      </c>
      <c r="F685" s="636" t="s">
        <v>408</v>
      </c>
      <c r="G685" s="625" t="s">
        <v>408</v>
      </c>
    </row>
    <row r="686" spans="1:7" x14ac:dyDescent="0.2">
      <c r="A686" s="634" t="s">
        <v>408</v>
      </c>
      <c r="B686" s="624" t="s">
        <v>1371</v>
      </c>
      <c r="C686" s="635">
        <v>1</v>
      </c>
      <c r="D686" s="635"/>
      <c r="E686" s="624" t="s">
        <v>794</v>
      </c>
      <c r="F686" s="636" t="s">
        <v>408</v>
      </c>
      <c r="G686" s="625" t="s">
        <v>408</v>
      </c>
    </row>
    <row r="687" spans="1:7" x14ac:dyDescent="0.2">
      <c r="A687" s="634" t="s">
        <v>408</v>
      </c>
      <c r="B687" s="624" t="s">
        <v>855</v>
      </c>
      <c r="C687" s="635" t="s">
        <v>408</v>
      </c>
      <c r="D687" s="635"/>
      <c r="E687" s="624" t="s">
        <v>853</v>
      </c>
      <c r="F687" s="636" t="s">
        <v>408</v>
      </c>
      <c r="G687" s="625" t="s">
        <v>408</v>
      </c>
    </row>
    <row r="688" spans="1:7" x14ac:dyDescent="0.2">
      <c r="A688" s="634" t="s">
        <v>408</v>
      </c>
      <c r="B688" s="624" t="s">
        <v>1371</v>
      </c>
      <c r="C688" s="635">
        <v>1</v>
      </c>
      <c r="D688" s="635"/>
      <c r="E688" s="624" t="s">
        <v>408</v>
      </c>
      <c r="F688" s="636" t="s">
        <v>408</v>
      </c>
      <c r="G688" s="625" t="s">
        <v>408</v>
      </c>
    </row>
    <row r="689" spans="1:7" x14ac:dyDescent="0.2">
      <c r="A689" s="634" t="s">
        <v>408</v>
      </c>
      <c r="B689" s="624" t="s">
        <v>856</v>
      </c>
      <c r="C689" s="635" t="s">
        <v>408</v>
      </c>
      <c r="D689" s="635"/>
      <c r="E689" s="624" t="s">
        <v>408</v>
      </c>
      <c r="F689" s="636" t="s">
        <v>408</v>
      </c>
      <c r="G689" s="625" t="s">
        <v>408</v>
      </c>
    </row>
    <row r="690" spans="1:7" x14ac:dyDescent="0.2">
      <c r="A690" s="634" t="s">
        <v>408</v>
      </c>
      <c r="B690" s="624" t="s">
        <v>1372</v>
      </c>
      <c r="C690" s="635">
        <v>1</v>
      </c>
      <c r="D690" s="635"/>
      <c r="E690" s="624" t="s">
        <v>408</v>
      </c>
      <c r="F690" s="636" t="s">
        <v>408</v>
      </c>
      <c r="G690" s="625" t="s">
        <v>408</v>
      </c>
    </row>
    <row r="691" spans="1:7" x14ac:dyDescent="0.2">
      <c r="A691" s="637" t="s">
        <v>408</v>
      </c>
      <c r="B691" s="638" t="s">
        <v>762</v>
      </c>
      <c r="C691" s="635">
        <v>1</v>
      </c>
      <c r="D691" s="635"/>
      <c r="E691" s="624" t="s">
        <v>408</v>
      </c>
      <c r="F691" s="636" t="s">
        <v>408</v>
      </c>
      <c r="G691" s="625" t="s">
        <v>408</v>
      </c>
    </row>
    <row r="692" spans="1:7" x14ac:dyDescent="0.2">
      <c r="A692" s="634" t="s">
        <v>408</v>
      </c>
      <c r="B692" s="624" t="s">
        <v>766</v>
      </c>
      <c r="C692" s="635">
        <v>1</v>
      </c>
      <c r="D692" s="635"/>
      <c r="E692" s="624" t="s">
        <v>408</v>
      </c>
      <c r="F692" s="636" t="s">
        <v>408</v>
      </c>
      <c r="G692" s="625" t="s">
        <v>408</v>
      </c>
    </row>
    <row r="693" spans="1:7" x14ac:dyDescent="0.2">
      <c r="A693" s="634" t="s">
        <v>408</v>
      </c>
      <c r="B693" s="624" t="s">
        <v>781</v>
      </c>
      <c r="C693" s="635">
        <v>1</v>
      </c>
      <c r="D693" s="635"/>
      <c r="E693" s="624" t="s">
        <v>408</v>
      </c>
      <c r="F693" s="636" t="s">
        <v>408</v>
      </c>
      <c r="G693" s="625" t="s">
        <v>408</v>
      </c>
    </row>
    <row r="694" spans="1:7" x14ac:dyDescent="0.2">
      <c r="A694" s="634" t="s">
        <v>408</v>
      </c>
      <c r="B694" s="624" t="s">
        <v>1373</v>
      </c>
      <c r="C694" s="635">
        <v>1</v>
      </c>
      <c r="D694" s="635"/>
      <c r="E694" s="624" t="s">
        <v>408</v>
      </c>
      <c r="F694" s="636" t="s">
        <v>408</v>
      </c>
      <c r="G694" s="625" t="s">
        <v>408</v>
      </c>
    </row>
    <row r="695" spans="1:7" x14ac:dyDescent="0.2">
      <c r="A695" s="634" t="s">
        <v>408</v>
      </c>
      <c r="B695" s="624" t="s">
        <v>1374</v>
      </c>
      <c r="C695" s="635" t="s">
        <v>408</v>
      </c>
      <c r="D695" s="635"/>
      <c r="E695" s="624" t="s">
        <v>408</v>
      </c>
      <c r="F695" s="636" t="s">
        <v>408</v>
      </c>
      <c r="G695" s="625" t="s">
        <v>408</v>
      </c>
    </row>
    <row r="696" spans="1:7" x14ac:dyDescent="0.2">
      <c r="A696" s="634" t="s">
        <v>408</v>
      </c>
      <c r="B696" s="624" t="s">
        <v>852</v>
      </c>
      <c r="C696" s="635">
        <v>1</v>
      </c>
      <c r="D696" s="635"/>
      <c r="E696" s="624" t="s">
        <v>408</v>
      </c>
      <c r="F696" s="636" t="s">
        <v>408</v>
      </c>
      <c r="G696" s="625" t="s">
        <v>408</v>
      </c>
    </row>
    <row r="697" spans="1:7" x14ac:dyDescent="0.2">
      <c r="A697" s="634" t="s">
        <v>408</v>
      </c>
      <c r="B697" s="624" t="s">
        <v>816</v>
      </c>
      <c r="C697" s="635">
        <v>1</v>
      </c>
      <c r="D697" s="635"/>
      <c r="E697" s="624" t="s">
        <v>408</v>
      </c>
      <c r="F697" s="636" t="s">
        <v>408</v>
      </c>
      <c r="G697" s="625" t="s">
        <v>408</v>
      </c>
    </row>
    <row r="698" spans="1:7" x14ac:dyDescent="0.2">
      <c r="A698" s="634" t="s">
        <v>408</v>
      </c>
      <c r="B698" s="624" t="s">
        <v>818</v>
      </c>
      <c r="C698" s="635">
        <v>1</v>
      </c>
      <c r="D698" s="635"/>
      <c r="E698" s="624" t="s">
        <v>408</v>
      </c>
      <c r="F698" s="636" t="s">
        <v>408</v>
      </c>
      <c r="G698" s="625" t="s">
        <v>408</v>
      </c>
    </row>
    <row r="699" spans="1:7" x14ac:dyDescent="0.2">
      <c r="A699" s="634" t="s">
        <v>408</v>
      </c>
      <c r="B699" s="624" t="s">
        <v>774</v>
      </c>
      <c r="C699" s="635">
        <v>1</v>
      </c>
      <c r="D699" s="635"/>
      <c r="E699" s="624" t="s">
        <v>408</v>
      </c>
      <c r="F699" s="636" t="s">
        <v>408</v>
      </c>
      <c r="G699" s="625" t="s">
        <v>408</v>
      </c>
    </row>
    <row r="700" spans="1:7" x14ac:dyDescent="0.2">
      <c r="A700" s="634" t="s">
        <v>408</v>
      </c>
      <c r="B700" s="624" t="s">
        <v>778</v>
      </c>
      <c r="C700" s="635">
        <v>1</v>
      </c>
      <c r="D700" s="635"/>
      <c r="E700" s="624" t="s">
        <v>408</v>
      </c>
      <c r="F700" s="636" t="s">
        <v>408</v>
      </c>
      <c r="G700" s="625" t="s">
        <v>408</v>
      </c>
    </row>
    <row r="701" spans="1:7" x14ac:dyDescent="0.2">
      <c r="A701" s="634" t="s">
        <v>408</v>
      </c>
      <c r="B701" s="624" t="s">
        <v>1375</v>
      </c>
      <c r="C701" s="635">
        <v>1</v>
      </c>
      <c r="D701" s="635"/>
      <c r="E701" s="624" t="s">
        <v>408</v>
      </c>
      <c r="F701" s="636" t="s">
        <v>408</v>
      </c>
      <c r="G701" s="625" t="s">
        <v>408</v>
      </c>
    </row>
    <row r="702" spans="1:7" x14ac:dyDescent="0.2">
      <c r="A702" s="634" t="s">
        <v>408</v>
      </c>
      <c r="B702" s="624" t="s">
        <v>1376</v>
      </c>
      <c r="C702" s="635" t="s">
        <v>408</v>
      </c>
      <c r="D702" s="635"/>
      <c r="E702" s="624" t="s">
        <v>408</v>
      </c>
      <c r="F702" s="636" t="s">
        <v>408</v>
      </c>
      <c r="G702" s="625" t="s">
        <v>408</v>
      </c>
    </row>
    <row r="703" spans="1:7" x14ac:dyDescent="0.2">
      <c r="A703" s="634" t="s">
        <v>408</v>
      </c>
      <c r="B703" s="624" t="s">
        <v>1377</v>
      </c>
      <c r="C703" s="635">
        <v>1</v>
      </c>
      <c r="D703" s="635"/>
      <c r="E703" s="624" t="s">
        <v>408</v>
      </c>
      <c r="F703" s="636" t="s">
        <v>408</v>
      </c>
      <c r="G703" s="625" t="s">
        <v>408</v>
      </c>
    </row>
    <row r="704" spans="1:7" x14ac:dyDescent="0.2">
      <c r="A704" s="634" t="s">
        <v>408</v>
      </c>
      <c r="B704" s="624" t="s">
        <v>1378</v>
      </c>
      <c r="C704" s="635" t="s">
        <v>408</v>
      </c>
      <c r="D704" s="635"/>
      <c r="E704" s="624" t="s">
        <v>408</v>
      </c>
      <c r="F704" s="636" t="s">
        <v>408</v>
      </c>
      <c r="G704" s="625" t="s">
        <v>408</v>
      </c>
    </row>
    <row r="705" spans="1:7" x14ac:dyDescent="0.2">
      <c r="A705" s="634" t="s">
        <v>408</v>
      </c>
      <c r="B705" s="624" t="s">
        <v>408</v>
      </c>
      <c r="C705" s="635" t="s">
        <v>408</v>
      </c>
      <c r="D705" s="635"/>
      <c r="E705" s="624" t="s">
        <v>408</v>
      </c>
      <c r="F705" s="636" t="s">
        <v>408</v>
      </c>
      <c r="G705" s="625" t="s">
        <v>408</v>
      </c>
    </row>
    <row r="706" spans="1:7" x14ac:dyDescent="0.2">
      <c r="A706" s="634" t="s">
        <v>408</v>
      </c>
      <c r="B706" s="624" t="s">
        <v>825</v>
      </c>
      <c r="C706" s="635" t="s">
        <v>408</v>
      </c>
      <c r="D706" s="635"/>
      <c r="E706" s="624" t="s">
        <v>408</v>
      </c>
      <c r="F706" s="636" t="s">
        <v>408</v>
      </c>
      <c r="G706" s="625" t="s">
        <v>408</v>
      </c>
    </row>
    <row r="707" spans="1:7" x14ac:dyDescent="0.2">
      <c r="A707" s="634" t="s">
        <v>408</v>
      </c>
      <c r="B707" s="624" t="s">
        <v>750</v>
      </c>
      <c r="C707" s="635" t="s">
        <v>408</v>
      </c>
      <c r="D707" s="635"/>
      <c r="E707" s="624" t="s">
        <v>408</v>
      </c>
      <c r="F707" s="636" t="s">
        <v>408</v>
      </c>
      <c r="G707" s="625" t="s">
        <v>408</v>
      </c>
    </row>
    <row r="708" spans="1:7" x14ac:dyDescent="0.2">
      <c r="A708" s="634" t="s">
        <v>408</v>
      </c>
      <c r="B708" s="624" t="s">
        <v>754</v>
      </c>
      <c r="C708" s="635" t="s">
        <v>408</v>
      </c>
      <c r="D708" s="635"/>
      <c r="E708" s="624" t="s">
        <v>408</v>
      </c>
      <c r="F708" s="636" t="s">
        <v>408</v>
      </c>
      <c r="G708" s="625" t="s">
        <v>408</v>
      </c>
    </row>
    <row r="709" spans="1:7" x14ac:dyDescent="0.2">
      <c r="A709" s="634" t="s">
        <v>408</v>
      </c>
      <c r="B709" s="624" t="s">
        <v>1379</v>
      </c>
      <c r="C709" s="635">
        <v>1</v>
      </c>
      <c r="D709" s="635"/>
      <c r="E709" s="624" t="s">
        <v>408</v>
      </c>
      <c r="F709" s="636" t="s">
        <v>408</v>
      </c>
      <c r="G709" s="625" t="s">
        <v>408</v>
      </c>
    </row>
    <row r="710" spans="1:7" x14ac:dyDescent="0.2">
      <c r="A710" s="634" t="s">
        <v>408</v>
      </c>
      <c r="B710" s="624" t="s">
        <v>1380</v>
      </c>
      <c r="C710" s="635" t="s">
        <v>408</v>
      </c>
      <c r="D710" s="635"/>
      <c r="E710" s="624" t="s">
        <v>408</v>
      </c>
      <c r="F710" s="636" t="s">
        <v>408</v>
      </c>
      <c r="G710" s="625" t="s">
        <v>408</v>
      </c>
    </row>
    <row r="711" spans="1:7" x14ac:dyDescent="0.2">
      <c r="A711" s="634" t="s">
        <v>408</v>
      </c>
      <c r="B711" s="624" t="s">
        <v>1381</v>
      </c>
      <c r="C711" s="635">
        <v>1</v>
      </c>
      <c r="D711" s="635"/>
      <c r="E711" s="624" t="s">
        <v>408</v>
      </c>
      <c r="F711" s="636" t="s">
        <v>408</v>
      </c>
      <c r="G711" s="625" t="s">
        <v>408</v>
      </c>
    </row>
    <row r="712" spans="1:7" x14ac:dyDescent="0.2">
      <c r="A712" s="634" t="s">
        <v>408</v>
      </c>
      <c r="B712" s="624" t="s">
        <v>862</v>
      </c>
      <c r="C712" s="635">
        <v>1</v>
      </c>
      <c r="D712" s="635"/>
      <c r="E712" s="624" t="s">
        <v>408</v>
      </c>
      <c r="F712" s="636" t="s">
        <v>408</v>
      </c>
      <c r="G712" s="625" t="s">
        <v>408</v>
      </c>
    </row>
    <row r="713" spans="1:7" x14ac:dyDescent="0.2">
      <c r="A713" s="634" t="s">
        <v>408</v>
      </c>
      <c r="B713" s="624" t="s">
        <v>831</v>
      </c>
      <c r="C713" s="635" t="s">
        <v>408</v>
      </c>
      <c r="D713" s="635"/>
      <c r="E713" s="624" t="s">
        <v>408</v>
      </c>
      <c r="F713" s="636" t="s">
        <v>408</v>
      </c>
      <c r="G713" s="625" t="s">
        <v>408</v>
      </c>
    </row>
    <row r="714" spans="1:7" x14ac:dyDescent="0.2">
      <c r="A714" s="634" t="s">
        <v>408</v>
      </c>
      <c r="B714" s="624" t="s">
        <v>834</v>
      </c>
      <c r="C714" s="635" t="s">
        <v>408</v>
      </c>
      <c r="D714" s="635"/>
      <c r="E714" s="624" t="s">
        <v>408</v>
      </c>
      <c r="F714" s="636" t="s">
        <v>408</v>
      </c>
      <c r="G714" s="625" t="s">
        <v>408</v>
      </c>
    </row>
    <row r="715" spans="1:7" x14ac:dyDescent="0.2">
      <c r="A715" s="634" t="s">
        <v>408</v>
      </c>
      <c r="B715" s="624" t="s">
        <v>864</v>
      </c>
      <c r="C715" s="635">
        <v>1</v>
      </c>
      <c r="D715" s="635"/>
      <c r="E715" s="624" t="s">
        <v>408</v>
      </c>
      <c r="F715" s="636" t="s">
        <v>408</v>
      </c>
      <c r="G715" s="625" t="s">
        <v>408</v>
      </c>
    </row>
    <row r="716" spans="1:7" x14ac:dyDescent="0.2">
      <c r="A716" s="634" t="s">
        <v>408</v>
      </c>
      <c r="B716" s="624" t="s">
        <v>408</v>
      </c>
      <c r="C716" s="635" t="s">
        <v>408</v>
      </c>
      <c r="D716" s="635"/>
      <c r="E716" s="624" t="s">
        <v>408</v>
      </c>
      <c r="F716" s="636" t="s">
        <v>408</v>
      </c>
      <c r="G716" s="625" t="s">
        <v>408</v>
      </c>
    </row>
    <row r="717" spans="1:7" x14ac:dyDescent="0.2">
      <c r="A717" s="634" t="s">
        <v>408</v>
      </c>
      <c r="B717" s="624" t="s">
        <v>840</v>
      </c>
      <c r="C717" s="635" t="s">
        <v>408</v>
      </c>
      <c r="D717" s="635"/>
      <c r="E717" s="624" t="s">
        <v>408</v>
      </c>
      <c r="F717" s="636" t="s">
        <v>408</v>
      </c>
      <c r="G717" s="625" t="s">
        <v>408</v>
      </c>
    </row>
    <row r="718" spans="1:7" x14ac:dyDescent="0.2">
      <c r="A718" s="634" t="s">
        <v>408</v>
      </c>
      <c r="B718" s="624" t="s">
        <v>841</v>
      </c>
      <c r="C718" s="635" t="s">
        <v>408</v>
      </c>
      <c r="D718" s="635"/>
      <c r="E718" s="624" t="s">
        <v>408</v>
      </c>
      <c r="F718" s="636" t="s">
        <v>408</v>
      </c>
      <c r="G718" s="625" t="s">
        <v>408</v>
      </c>
    </row>
    <row r="719" spans="1:7" x14ac:dyDescent="0.2">
      <c r="A719" s="634" t="s">
        <v>408</v>
      </c>
      <c r="B719" s="624" t="s">
        <v>794</v>
      </c>
      <c r="C719" s="635" t="s">
        <v>408</v>
      </c>
      <c r="D719" s="635"/>
      <c r="E719" s="624" t="s">
        <v>408</v>
      </c>
      <c r="F719" s="636" t="s">
        <v>408</v>
      </c>
      <c r="G719" s="625" t="s">
        <v>408</v>
      </c>
    </row>
    <row r="720" spans="1:7" x14ac:dyDescent="0.2">
      <c r="A720" s="634" t="s">
        <v>408</v>
      </c>
      <c r="B720" s="624" t="s">
        <v>913</v>
      </c>
      <c r="C720" s="635">
        <v>1</v>
      </c>
      <c r="D720" s="635"/>
      <c r="E720" s="624" t="s">
        <v>408</v>
      </c>
      <c r="F720" s="636" t="s">
        <v>408</v>
      </c>
      <c r="G720" s="625" t="s">
        <v>408</v>
      </c>
    </row>
    <row r="721" spans="1:7" x14ac:dyDescent="0.2">
      <c r="A721" s="634" t="s">
        <v>408</v>
      </c>
      <c r="B721" s="624" t="s">
        <v>1382</v>
      </c>
      <c r="C721" s="635">
        <v>1</v>
      </c>
      <c r="D721" s="635"/>
      <c r="E721" s="624" t="s">
        <v>408</v>
      </c>
      <c r="F721" s="636" t="s">
        <v>408</v>
      </c>
      <c r="G721" s="625" t="s">
        <v>408</v>
      </c>
    </row>
    <row r="722" spans="1:7" x14ac:dyDescent="0.2">
      <c r="A722" s="634" t="s">
        <v>408</v>
      </c>
      <c r="B722" s="624" t="s">
        <v>844</v>
      </c>
      <c r="C722" s="635">
        <v>1</v>
      </c>
      <c r="D722" s="635"/>
      <c r="E722" s="624" t="s">
        <v>408</v>
      </c>
      <c r="F722" s="636" t="s">
        <v>408</v>
      </c>
      <c r="G722" s="625" t="s">
        <v>408</v>
      </c>
    </row>
    <row r="723" spans="1:7" x14ac:dyDescent="0.2">
      <c r="A723" s="634" t="s">
        <v>408</v>
      </c>
      <c r="B723" s="624" t="s">
        <v>845</v>
      </c>
      <c r="C723" s="635">
        <v>1</v>
      </c>
      <c r="D723" s="635"/>
      <c r="E723" s="624" t="s">
        <v>408</v>
      </c>
      <c r="F723" s="636" t="s">
        <v>408</v>
      </c>
      <c r="G723" s="625" t="s">
        <v>408</v>
      </c>
    </row>
    <row r="724" spans="1:7" x14ac:dyDescent="0.2">
      <c r="A724" s="634" t="s">
        <v>408</v>
      </c>
      <c r="B724" s="624" t="s">
        <v>846</v>
      </c>
      <c r="C724" s="635" t="s">
        <v>408</v>
      </c>
      <c r="D724" s="635"/>
      <c r="E724" s="624" t="s">
        <v>408</v>
      </c>
      <c r="F724" s="636" t="s">
        <v>408</v>
      </c>
      <c r="G724" s="625" t="s">
        <v>408</v>
      </c>
    </row>
    <row r="725" spans="1:7" x14ac:dyDescent="0.2">
      <c r="A725" s="640" t="s">
        <v>408</v>
      </c>
      <c r="B725" s="626" t="s">
        <v>408</v>
      </c>
      <c r="C725" s="642" t="s">
        <v>408</v>
      </c>
      <c r="D725" s="642"/>
      <c r="E725" s="626" t="s">
        <v>408</v>
      </c>
      <c r="F725" s="643" t="s">
        <v>408</v>
      </c>
      <c r="G725" s="627" t="s">
        <v>408</v>
      </c>
    </row>
    <row r="726" spans="1:7" x14ac:dyDescent="0.2">
      <c r="A726" s="631" t="s">
        <v>1383</v>
      </c>
      <c r="B726" s="622" t="s">
        <v>746</v>
      </c>
      <c r="C726" s="632" t="s">
        <v>408</v>
      </c>
      <c r="D726" s="632"/>
      <c r="E726" s="622" t="s">
        <v>747</v>
      </c>
      <c r="F726" s="633">
        <v>5</v>
      </c>
      <c r="G726" s="623" t="s">
        <v>869</v>
      </c>
    </row>
    <row r="727" spans="1:7" x14ac:dyDescent="0.2">
      <c r="A727" s="634" t="s">
        <v>408</v>
      </c>
      <c r="B727" s="624" t="s">
        <v>750</v>
      </c>
      <c r="C727" s="635" t="s">
        <v>408</v>
      </c>
      <c r="D727" s="635"/>
      <c r="E727" s="624" t="s">
        <v>751</v>
      </c>
      <c r="F727" s="636" t="s">
        <v>408</v>
      </c>
      <c r="G727" s="625" t="s">
        <v>1269</v>
      </c>
    </row>
    <row r="728" spans="1:7" x14ac:dyDescent="0.2">
      <c r="A728" s="634" t="s">
        <v>408</v>
      </c>
      <c r="B728" s="624" t="s">
        <v>754</v>
      </c>
      <c r="C728" s="635" t="s">
        <v>408</v>
      </c>
      <c r="D728" s="635"/>
      <c r="E728" s="624" t="s">
        <v>896</v>
      </c>
      <c r="F728" s="636" t="s">
        <v>408</v>
      </c>
      <c r="G728" s="625" t="s">
        <v>408</v>
      </c>
    </row>
    <row r="729" spans="1:7" x14ac:dyDescent="0.2">
      <c r="A729" s="634" t="s">
        <v>408</v>
      </c>
      <c r="B729" s="624" t="s">
        <v>758</v>
      </c>
      <c r="C729" s="635">
        <v>2</v>
      </c>
      <c r="D729" s="635"/>
      <c r="E729" s="624" t="s">
        <v>771</v>
      </c>
      <c r="F729" s="636" t="s">
        <v>408</v>
      </c>
      <c r="G729" s="625" t="s">
        <v>408</v>
      </c>
    </row>
    <row r="730" spans="1:7" x14ac:dyDescent="0.2">
      <c r="A730" s="634" t="s">
        <v>408</v>
      </c>
      <c r="B730" s="624" t="s">
        <v>762</v>
      </c>
      <c r="C730" s="635">
        <v>1</v>
      </c>
      <c r="D730" s="635"/>
      <c r="E730" s="624" t="s">
        <v>767</v>
      </c>
      <c r="F730" s="636" t="s">
        <v>408</v>
      </c>
      <c r="G730" s="625" t="s">
        <v>408</v>
      </c>
    </row>
    <row r="731" spans="1:7" x14ac:dyDescent="0.2">
      <c r="A731" s="634" t="s">
        <v>408</v>
      </c>
      <c r="B731" s="624" t="s">
        <v>766</v>
      </c>
      <c r="C731" s="635">
        <v>1</v>
      </c>
      <c r="D731" s="635"/>
      <c r="E731" s="624"/>
      <c r="F731" s="636" t="s">
        <v>408</v>
      </c>
      <c r="G731" s="625" t="s">
        <v>408</v>
      </c>
    </row>
    <row r="732" spans="1:7" x14ac:dyDescent="0.2">
      <c r="A732" s="634" t="s">
        <v>408</v>
      </c>
      <c r="B732" s="624" t="s">
        <v>784</v>
      </c>
      <c r="C732" s="635">
        <v>1</v>
      </c>
      <c r="D732" s="635"/>
      <c r="E732" s="624" t="s">
        <v>813</v>
      </c>
      <c r="F732" s="636" t="s">
        <v>408</v>
      </c>
      <c r="G732" s="625" t="s">
        <v>408</v>
      </c>
    </row>
    <row r="733" spans="1:7" x14ac:dyDescent="0.2">
      <c r="A733" s="634" t="s">
        <v>408</v>
      </c>
      <c r="B733" s="624" t="s">
        <v>787</v>
      </c>
      <c r="C733" s="635">
        <v>1</v>
      </c>
      <c r="D733" s="635"/>
      <c r="E733" s="624" t="s">
        <v>751</v>
      </c>
      <c r="F733" s="636" t="s">
        <v>408</v>
      </c>
      <c r="G733" s="625" t="s">
        <v>408</v>
      </c>
    </row>
    <row r="734" spans="1:7" x14ac:dyDescent="0.2">
      <c r="A734" s="634" t="s">
        <v>408</v>
      </c>
      <c r="B734" s="624" t="s">
        <v>793</v>
      </c>
      <c r="C734" s="635">
        <v>2</v>
      </c>
      <c r="D734" s="635"/>
      <c r="E734" s="624" t="s">
        <v>1391</v>
      </c>
      <c r="F734" s="636" t="s">
        <v>408</v>
      </c>
      <c r="G734" s="625" t="s">
        <v>408</v>
      </c>
    </row>
    <row r="735" spans="1:7" x14ac:dyDescent="0.2">
      <c r="A735" s="634" t="s">
        <v>408</v>
      </c>
      <c r="B735" s="624" t="s">
        <v>1392</v>
      </c>
      <c r="C735" s="635">
        <v>1</v>
      </c>
      <c r="D735" s="635"/>
      <c r="E735" s="624" t="s">
        <v>1393</v>
      </c>
      <c r="F735" s="636" t="s">
        <v>408</v>
      </c>
      <c r="G735" s="625" t="s">
        <v>408</v>
      </c>
    </row>
    <row r="736" spans="1:7" x14ac:dyDescent="0.2">
      <c r="A736" s="634" t="s">
        <v>408</v>
      </c>
      <c r="B736" s="624" t="s">
        <v>1394</v>
      </c>
      <c r="C736" s="635" t="s">
        <v>408</v>
      </c>
      <c r="D736" s="635"/>
      <c r="E736" s="624" t="s">
        <v>1395</v>
      </c>
      <c r="F736" s="636" t="s">
        <v>408</v>
      </c>
      <c r="G736" s="625" t="s">
        <v>408</v>
      </c>
    </row>
    <row r="737" spans="1:7" x14ac:dyDescent="0.2">
      <c r="A737" s="634" t="s">
        <v>408</v>
      </c>
      <c r="B737" s="624" t="s">
        <v>1396</v>
      </c>
      <c r="C737" s="635" t="s">
        <v>408</v>
      </c>
      <c r="D737" s="635"/>
      <c r="E737" s="624" t="s">
        <v>1397</v>
      </c>
      <c r="F737" s="636" t="s">
        <v>408</v>
      </c>
      <c r="G737" s="625" t="s">
        <v>408</v>
      </c>
    </row>
    <row r="738" spans="1:7" x14ac:dyDescent="0.2">
      <c r="A738" s="634" t="s">
        <v>408</v>
      </c>
      <c r="B738" s="624" t="s">
        <v>812</v>
      </c>
      <c r="C738" s="635" t="s">
        <v>408</v>
      </c>
      <c r="D738" s="635"/>
      <c r="E738" s="624" t="s">
        <v>1398</v>
      </c>
      <c r="F738" s="636" t="s">
        <v>408</v>
      </c>
      <c r="G738" s="625" t="s">
        <v>408</v>
      </c>
    </row>
    <row r="739" spans="1:7" x14ac:dyDescent="0.2">
      <c r="A739" s="634" t="s">
        <v>408</v>
      </c>
      <c r="B739" s="624" t="s">
        <v>852</v>
      </c>
      <c r="C739" s="635">
        <v>1</v>
      </c>
      <c r="D739" s="635"/>
      <c r="E739" s="624" t="s">
        <v>1399</v>
      </c>
      <c r="F739" s="636" t="s">
        <v>408</v>
      </c>
      <c r="G739" s="625" t="s">
        <v>408</v>
      </c>
    </row>
    <row r="740" spans="1:7" x14ac:dyDescent="0.2">
      <c r="A740" s="634" t="s">
        <v>408</v>
      </c>
      <c r="B740" s="624" t="s">
        <v>816</v>
      </c>
      <c r="C740" s="635">
        <v>1</v>
      </c>
      <c r="D740" s="635"/>
      <c r="E740" s="624" t="s">
        <v>1395</v>
      </c>
      <c r="F740" s="636" t="s">
        <v>408</v>
      </c>
      <c r="G740" s="625" t="s">
        <v>408</v>
      </c>
    </row>
    <row r="741" spans="1:7" x14ac:dyDescent="0.2">
      <c r="A741" s="634" t="s">
        <v>408</v>
      </c>
      <c r="B741" s="624" t="s">
        <v>818</v>
      </c>
      <c r="C741" s="635">
        <v>1</v>
      </c>
      <c r="D741" s="635"/>
      <c r="E741" s="624" t="s">
        <v>408</v>
      </c>
      <c r="F741" s="636" t="s">
        <v>408</v>
      </c>
      <c r="G741" s="625" t="s">
        <v>408</v>
      </c>
    </row>
    <row r="742" spans="1:7" x14ac:dyDescent="0.2">
      <c r="A742" s="634" t="s">
        <v>408</v>
      </c>
      <c r="B742" s="624" t="s">
        <v>408</v>
      </c>
      <c r="C742" s="635" t="s">
        <v>408</v>
      </c>
      <c r="D742" s="635"/>
      <c r="E742" s="624" t="s">
        <v>408</v>
      </c>
      <c r="F742" s="636" t="s">
        <v>408</v>
      </c>
      <c r="G742" s="625" t="s">
        <v>408</v>
      </c>
    </row>
    <row r="743" spans="1:7" x14ac:dyDescent="0.2">
      <c r="A743" s="634" t="s">
        <v>408</v>
      </c>
      <c r="B743" s="624" t="s">
        <v>825</v>
      </c>
      <c r="C743" s="635" t="s">
        <v>408</v>
      </c>
      <c r="D743" s="635"/>
      <c r="E743" s="624" t="s">
        <v>408</v>
      </c>
      <c r="F743" s="636" t="s">
        <v>408</v>
      </c>
      <c r="G743" s="625" t="s">
        <v>408</v>
      </c>
    </row>
    <row r="744" spans="1:7" x14ac:dyDescent="0.2">
      <c r="A744" s="634" t="s">
        <v>408</v>
      </c>
      <c r="B744" s="624" t="s">
        <v>750</v>
      </c>
      <c r="C744" s="635" t="s">
        <v>408</v>
      </c>
      <c r="D744" s="635"/>
      <c r="E744" s="624" t="s">
        <v>408</v>
      </c>
      <c r="F744" s="636" t="s">
        <v>408</v>
      </c>
      <c r="G744" s="625" t="s">
        <v>408</v>
      </c>
    </row>
    <row r="745" spans="1:7" x14ac:dyDescent="0.2">
      <c r="A745" s="634" t="s">
        <v>408</v>
      </c>
      <c r="B745" s="624" t="s">
        <v>754</v>
      </c>
      <c r="C745" s="635" t="s">
        <v>408</v>
      </c>
      <c r="D745" s="635"/>
      <c r="E745" s="624" t="s">
        <v>408</v>
      </c>
      <c r="F745" s="636" t="s">
        <v>408</v>
      </c>
      <c r="G745" s="625" t="s">
        <v>408</v>
      </c>
    </row>
    <row r="746" spans="1:7" x14ac:dyDescent="0.2">
      <c r="A746" s="634" t="s">
        <v>408</v>
      </c>
      <c r="B746" s="624" t="s">
        <v>826</v>
      </c>
      <c r="C746" s="635">
        <v>1</v>
      </c>
      <c r="D746" s="635"/>
      <c r="E746" s="624" t="s">
        <v>408</v>
      </c>
      <c r="F746" s="636" t="s">
        <v>408</v>
      </c>
      <c r="G746" s="625" t="s">
        <v>408</v>
      </c>
    </row>
    <row r="747" spans="1:7" x14ac:dyDescent="0.2">
      <c r="A747" s="634" t="s">
        <v>408</v>
      </c>
      <c r="B747" s="624" t="s">
        <v>832</v>
      </c>
      <c r="C747" s="635">
        <v>1</v>
      </c>
      <c r="D747" s="635"/>
      <c r="E747" s="624" t="s">
        <v>408</v>
      </c>
      <c r="F747" s="636" t="s">
        <v>408</v>
      </c>
      <c r="G747" s="625" t="s">
        <v>408</v>
      </c>
    </row>
    <row r="748" spans="1:7" x14ac:dyDescent="0.2">
      <c r="A748" s="634" t="s">
        <v>408</v>
      </c>
      <c r="B748" s="624" t="s">
        <v>833</v>
      </c>
      <c r="C748" s="635" t="s">
        <v>408</v>
      </c>
      <c r="D748" s="635"/>
      <c r="E748" s="624" t="s">
        <v>408</v>
      </c>
      <c r="F748" s="636" t="s">
        <v>408</v>
      </c>
      <c r="G748" s="625" t="s">
        <v>408</v>
      </c>
    </row>
    <row r="749" spans="1:7" x14ac:dyDescent="0.2">
      <c r="A749" s="634" t="s">
        <v>408</v>
      </c>
      <c r="B749" s="624" t="s">
        <v>904</v>
      </c>
      <c r="C749" s="635">
        <v>1</v>
      </c>
      <c r="D749" s="635"/>
      <c r="E749" s="624" t="s">
        <v>408</v>
      </c>
      <c r="F749" s="636" t="s">
        <v>408</v>
      </c>
      <c r="G749" s="625" t="s">
        <v>408</v>
      </c>
    </row>
    <row r="750" spans="1:7" x14ac:dyDescent="0.2">
      <c r="A750" s="634" t="s">
        <v>408</v>
      </c>
      <c r="B750" s="624" t="s">
        <v>939</v>
      </c>
      <c r="C750" s="635">
        <v>1</v>
      </c>
      <c r="D750" s="635"/>
      <c r="E750" s="624" t="s">
        <v>408</v>
      </c>
      <c r="F750" s="636" t="s">
        <v>408</v>
      </c>
      <c r="G750" s="625" t="s">
        <v>408</v>
      </c>
    </row>
    <row r="751" spans="1:7" x14ac:dyDescent="0.2">
      <c r="A751" s="634" t="s">
        <v>408</v>
      </c>
      <c r="B751" s="624" t="s">
        <v>831</v>
      </c>
      <c r="C751" s="635" t="s">
        <v>408</v>
      </c>
      <c r="D751" s="635"/>
      <c r="E751" s="624" t="s">
        <v>408</v>
      </c>
      <c r="F751" s="636" t="s">
        <v>408</v>
      </c>
      <c r="G751" s="625" t="s">
        <v>408</v>
      </c>
    </row>
    <row r="752" spans="1:7" x14ac:dyDescent="0.2">
      <c r="A752" s="634" t="s">
        <v>408</v>
      </c>
      <c r="B752" s="624" t="s">
        <v>862</v>
      </c>
      <c r="C752" s="635">
        <v>1</v>
      </c>
      <c r="D752" s="635"/>
      <c r="E752" s="624" t="s">
        <v>408</v>
      </c>
      <c r="F752" s="636" t="s">
        <v>408</v>
      </c>
      <c r="G752" s="625" t="s">
        <v>408</v>
      </c>
    </row>
    <row r="753" spans="1:7" x14ac:dyDescent="0.2">
      <c r="A753" s="634" t="s">
        <v>408</v>
      </c>
      <c r="B753" s="624" t="s">
        <v>831</v>
      </c>
      <c r="C753" s="635" t="s">
        <v>408</v>
      </c>
      <c r="D753" s="635"/>
      <c r="E753" s="624" t="s">
        <v>408</v>
      </c>
      <c r="F753" s="636" t="s">
        <v>408</v>
      </c>
      <c r="G753" s="625" t="s">
        <v>408</v>
      </c>
    </row>
    <row r="754" spans="1:7" x14ac:dyDescent="0.2">
      <c r="A754" s="634" t="s">
        <v>408</v>
      </c>
      <c r="B754" s="624" t="s">
        <v>408</v>
      </c>
      <c r="C754" s="635" t="s">
        <v>408</v>
      </c>
      <c r="D754" s="635"/>
      <c r="E754" s="624" t="s">
        <v>408</v>
      </c>
      <c r="F754" s="636" t="s">
        <v>408</v>
      </c>
      <c r="G754" s="625" t="s">
        <v>408</v>
      </c>
    </row>
    <row r="755" spans="1:7" x14ac:dyDescent="0.2">
      <c r="A755" s="634" t="s">
        <v>408</v>
      </c>
      <c r="B755" s="624" t="s">
        <v>840</v>
      </c>
      <c r="C755" s="635" t="s">
        <v>408</v>
      </c>
      <c r="D755" s="635"/>
      <c r="E755" s="624" t="s">
        <v>408</v>
      </c>
      <c r="F755" s="636" t="s">
        <v>408</v>
      </c>
      <c r="G755" s="625" t="s">
        <v>408</v>
      </c>
    </row>
    <row r="756" spans="1:7" x14ac:dyDescent="0.2">
      <c r="A756" s="634" t="s">
        <v>408</v>
      </c>
      <c r="B756" s="624" t="s">
        <v>841</v>
      </c>
      <c r="C756" s="635" t="s">
        <v>408</v>
      </c>
      <c r="D756" s="635"/>
      <c r="E756" s="624" t="s">
        <v>408</v>
      </c>
      <c r="F756" s="636" t="s">
        <v>408</v>
      </c>
      <c r="G756" s="625" t="s">
        <v>408</v>
      </c>
    </row>
    <row r="757" spans="1:7" x14ac:dyDescent="0.2">
      <c r="A757" s="634" t="s">
        <v>408</v>
      </c>
      <c r="B757" s="624" t="s">
        <v>794</v>
      </c>
      <c r="C757" s="635" t="s">
        <v>408</v>
      </c>
      <c r="D757" s="635"/>
      <c r="E757" s="624" t="s">
        <v>408</v>
      </c>
      <c r="F757" s="636" t="s">
        <v>408</v>
      </c>
      <c r="G757" s="625" t="s">
        <v>408</v>
      </c>
    </row>
    <row r="758" spans="1:7" x14ac:dyDescent="0.2">
      <c r="A758" s="634" t="s">
        <v>408</v>
      </c>
      <c r="B758" s="624" t="s">
        <v>943</v>
      </c>
      <c r="C758" s="635">
        <v>1</v>
      </c>
      <c r="D758" s="635"/>
      <c r="E758" s="624" t="s">
        <v>408</v>
      </c>
      <c r="F758" s="636" t="s">
        <v>408</v>
      </c>
      <c r="G758" s="625" t="s">
        <v>408</v>
      </c>
    </row>
    <row r="759" spans="1:7" ht="12" thickBot="1" x14ac:dyDescent="0.25">
      <c r="A759" s="650" t="s">
        <v>408</v>
      </c>
      <c r="B759" s="628" t="s">
        <v>408</v>
      </c>
      <c r="C759" s="651" t="s">
        <v>408</v>
      </c>
      <c r="D759" s="651"/>
      <c r="E759" s="628" t="s">
        <v>408</v>
      </c>
      <c r="F759" s="652" t="s">
        <v>408</v>
      </c>
      <c r="G759" s="629" t="s">
        <v>408</v>
      </c>
    </row>
  </sheetData>
  <pageMargins left="0.7" right="0.7" top="0.75" bottom="0.75" header="0.3" footer="0.3"/>
  <pageSetup paperSize="9" scale="73" orientation="portrait" r:id="rId1"/>
  <rowBreaks count="14" manualBreakCount="14">
    <brk id="33" max="16383" man="1"/>
    <brk id="89" max="16383" man="1"/>
    <brk id="159" max="16383" man="1"/>
    <brk id="221" max="16383" man="1"/>
    <brk id="282" max="16383" man="1"/>
    <brk id="322" max="16383" man="1"/>
    <brk id="369" max="16383" man="1"/>
    <brk id="418" max="16383" man="1"/>
    <brk id="460" max="16383" man="1"/>
    <brk id="502" max="16383" man="1"/>
    <brk id="555" max="16383" man="1"/>
    <brk id="601" max="16383" man="1"/>
    <brk id="672" max="16383" man="1"/>
    <brk id="725" max="16383"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dimension ref="A1:K24"/>
  <sheetViews>
    <sheetView view="pageBreakPreview" zoomScale="85" zoomScaleNormal="100" zoomScaleSheetLayoutView="85" workbookViewId="0">
      <selection activeCell="E1" sqref="E1"/>
    </sheetView>
  </sheetViews>
  <sheetFormatPr defaultRowHeight="15" x14ac:dyDescent="0.25"/>
  <cols>
    <col min="4" max="4" width="11.140625" customWidth="1"/>
    <col min="11" max="11" width="81.7109375" style="657" customWidth="1"/>
  </cols>
  <sheetData>
    <row r="1" spans="1:11" ht="15.75" x14ac:dyDescent="0.25">
      <c r="E1" s="11" t="s">
        <v>2427</v>
      </c>
    </row>
    <row r="2" spans="1:11" ht="18.75" x14ac:dyDescent="0.3">
      <c r="E2" s="19" t="s">
        <v>2357</v>
      </c>
    </row>
    <row r="3" spans="1:11" x14ac:dyDescent="0.25">
      <c r="A3" s="8" t="s">
        <v>2358</v>
      </c>
      <c r="C3" s="1367" t="str">
        <f>ФИО</f>
        <v>Иванова Е.П.</v>
      </c>
      <c r="D3" s="1367"/>
      <c r="E3" s="1367"/>
      <c r="F3" s="1367"/>
      <c r="G3" s="5" t="s">
        <v>2359</v>
      </c>
      <c r="I3" s="663">
        <f>№_и_б</f>
        <v>21949</v>
      </c>
    </row>
    <row r="4" spans="1:11" x14ac:dyDescent="0.25">
      <c r="A4" s="8" t="s">
        <v>2360</v>
      </c>
      <c r="D4" s="1368">
        <v>41774</v>
      </c>
      <c r="E4" s="1369"/>
      <c r="F4" s="1369"/>
    </row>
    <row r="5" spans="1:11" x14ac:dyDescent="0.25">
      <c r="A5" s="8" t="s">
        <v>2361</v>
      </c>
      <c r="D5" s="5" t="s">
        <v>2364</v>
      </c>
      <c r="E5" s="8" t="s">
        <v>2362</v>
      </c>
      <c r="H5" s="5" t="s">
        <v>2365</v>
      </c>
    </row>
    <row r="6" spans="1:11" x14ac:dyDescent="0.25">
      <c r="A6" s="8" t="s">
        <v>2363</v>
      </c>
      <c r="D6" s="1367" t="str">
        <f>Группа_крови</f>
        <v>А(II)  вторая,  Rh(+) положительная</v>
      </c>
      <c r="E6" s="1367"/>
      <c r="F6" s="1367"/>
      <c r="G6" s="1367"/>
      <c r="H6" s="1367"/>
      <c r="I6" s="1367"/>
    </row>
    <row r="8" spans="1:11" ht="15.75" x14ac:dyDescent="0.25">
      <c r="A8" s="664" t="s">
        <v>2366</v>
      </c>
      <c r="D8" s="5" t="s">
        <v>2369</v>
      </c>
      <c r="G8" s="12" t="s">
        <v>2370</v>
      </c>
    </row>
    <row r="9" spans="1:11" x14ac:dyDescent="0.25">
      <c r="A9" s="658" t="s">
        <v>2367</v>
      </c>
    </row>
    <row r="10" spans="1:11" x14ac:dyDescent="0.25">
      <c r="A10" s="5" t="s">
        <v>2368</v>
      </c>
    </row>
    <row r="12" spans="1:11" ht="15.75" x14ac:dyDescent="0.25">
      <c r="A12" s="12" t="s">
        <v>2371</v>
      </c>
      <c r="D12" s="12" t="s">
        <v>2372</v>
      </c>
      <c r="G12" s="12" t="s">
        <v>2373</v>
      </c>
    </row>
    <row r="13" spans="1:11" ht="18.75" x14ac:dyDescent="0.3">
      <c r="A13" s="99" t="s">
        <v>2374</v>
      </c>
    </row>
    <row r="14" spans="1:11" x14ac:dyDescent="0.25">
      <c r="A14" s="1370"/>
      <c r="B14" s="1370"/>
      <c r="C14" s="1370"/>
      <c r="D14" s="1370"/>
      <c r="E14" s="1370"/>
      <c r="F14" s="1370"/>
      <c r="G14" s="1370"/>
      <c r="H14" s="1370"/>
      <c r="I14" s="1370"/>
      <c r="K14" s="657">
        <f>A14</f>
        <v>0</v>
      </c>
    </row>
    <row r="15" spans="1:11" ht="15.75" x14ac:dyDescent="0.25">
      <c r="A15" s="12" t="s">
        <v>2375</v>
      </c>
    </row>
    <row r="16" spans="1:11" ht="15.75" x14ac:dyDescent="0.25">
      <c r="A16" s="12" t="s">
        <v>2381</v>
      </c>
      <c r="D16" s="12" t="s">
        <v>2376</v>
      </c>
      <c r="G16" s="12" t="s">
        <v>2377</v>
      </c>
    </row>
    <row r="17" spans="1:11" ht="15.75" x14ac:dyDescent="0.25">
      <c r="A17" s="12" t="s">
        <v>2378</v>
      </c>
    </row>
    <row r="18" spans="1:11" ht="15.75" x14ac:dyDescent="0.25">
      <c r="A18" s="12" t="s">
        <v>2379</v>
      </c>
      <c r="D18" s="12" t="s">
        <v>2376</v>
      </c>
      <c r="G18" s="12" t="s">
        <v>2377</v>
      </c>
    </row>
    <row r="19" spans="1:11" ht="15.75" x14ac:dyDescent="0.25">
      <c r="A19" s="12" t="s">
        <v>2380</v>
      </c>
    </row>
    <row r="20" spans="1:11" ht="15.75" x14ac:dyDescent="0.25">
      <c r="A20" s="12" t="s">
        <v>2382</v>
      </c>
      <c r="D20" s="12" t="s">
        <v>2376</v>
      </c>
      <c r="G20" s="12" t="s">
        <v>2377</v>
      </c>
    </row>
    <row r="21" spans="1:11" ht="18.75" x14ac:dyDescent="0.3">
      <c r="A21" s="99" t="s">
        <v>2383</v>
      </c>
    </row>
    <row r="22" spans="1:11" x14ac:dyDescent="0.25">
      <c r="A22" s="1370"/>
      <c r="B22" s="1370"/>
      <c r="C22" s="1370"/>
      <c r="D22" s="1370"/>
      <c r="E22" s="1370"/>
      <c r="F22" s="1370"/>
      <c r="G22" s="1370"/>
      <c r="H22" s="1370"/>
      <c r="I22" s="1370"/>
      <c r="K22" s="657">
        <f>A22</f>
        <v>0</v>
      </c>
    </row>
    <row r="23" spans="1:11" ht="15.75" x14ac:dyDescent="0.25">
      <c r="A23" s="12" t="s">
        <v>2384</v>
      </c>
      <c r="D23" s="5" t="s">
        <v>2089</v>
      </c>
    </row>
    <row r="24" spans="1:11" ht="15.75" x14ac:dyDescent="0.25">
      <c r="A24" s="12" t="s">
        <v>2385</v>
      </c>
      <c r="C24" s="878"/>
      <c r="D24" s="878"/>
      <c r="E24" s="878"/>
      <c r="F24" s="12" t="s">
        <v>2386</v>
      </c>
    </row>
  </sheetData>
  <mergeCells count="6">
    <mergeCell ref="C24:E24"/>
    <mergeCell ref="C3:F3"/>
    <mergeCell ref="D4:F4"/>
    <mergeCell ref="D6:I6"/>
    <mergeCell ref="A14:I14"/>
    <mergeCell ref="A22:I22"/>
  </mergeCells>
  <pageMargins left="0.7" right="0.7" top="0.75" bottom="0.75" header="0.3" footer="0.3"/>
  <pageSetup paperSize="9" scale="95"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37</vt:i4>
      </vt:variant>
      <vt:variant>
        <vt:lpstr>Именованные диапазоны</vt:lpstr>
      </vt:variant>
      <vt:variant>
        <vt:i4>139</vt:i4>
      </vt:variant>
    </vt:vector>
  </HeadingPairs>
  <TitlesOfParts>
    <vt:vector size="176" baseType="lpstr">
      <vt:lpstr>Данные</vt:lpstr>
      <vt:lpstr>Первичка</vt:lpstr>
      <vt:lpstr>Осмотр зав</vt:lpstr>
      <vt:lpstr>Лист назначений (2)</vt:lpstr>
      <vt:lpstr>Согласия</vt:lpstr>
      <vt:lpstr>Клин.разбор</vt:lpstr>
      <vt:lpstr>Операция</vt:lpstr>
      <vt:lpstr>Дневник</vt:lpstr>
      <vt:lpstr>Выписной дневник</vt:lpstr>
      <vt:lpstr>Выписка</vt:lpstr>
      <vt:lpstr>Этапный эпикриз </vt:lpstr>
      <vt:lpstr>Консилиум 5 препаратов</vt:lpstr>
      <vt:lpstr>Карта ЦС</vt:lpstr>
      <vt:lpstr>Лист назначений</vt:lpstr>
      <vt:lpstr>Ссылки</vt:lpstr>
      <vt:lpstr>Гистология </vt:lpstr>
      <vt:lpstr>Этапный эпикриз</vt:lpstr>
      <vt:lpstr>Онкосовет</vt:lpstr>
      <vt:lpstr>По дежурству</vt:lpstr>
      <vt:lpstr>Лист наркотиков</vt:lpstr>
      <vt:lpstr>Разное</vt:lpstr>
      <vt:lpstr>КЭК</vt:lpstr>
      <vt:lpstr>Д</vt:lpstr>
      <vt:lpstr>П Приложение</vt:lpstr>
      <vt:lpstr>Онкокарта</vt:lpstr>
      <vt:lpstr>Собачка</vt:lpstr>
      <vt:lpstr>Карта контроля</vt:lpstr>
      <vt:lpstr>Энурез</vt:lpstr>
      <vt:lpstr>После.опер.дневник</vt:lpstr>
      <vt:lpstr>Рапорт</vt:lpstr>
      <vt:lpstr>Биопсия</vt:lpstr>
      <vt:lpstr>Статистика</vt:lpstr>
      <vt:lpstr>НС и ПВ</vt:lpstr>
      <vt:lpstr>Номограммы</vt:lpstr>
      <vt:lpstr>Заявка</vt:lpstr>
      <vt:lpstr>Лист МЭС</vt:lpstr>
      <vt:lpstr>Гемотрансфузия</vt:lpstr>
      <vt:lpstr>Anamnesis_morbi</vt:lpstr>
      <vt:lpstr>Anamnesis_vitae</vt:lpstr>
      <vt:lpstr>№_и_б</vt:lpstr>
      <vt:lpstr>Аллергоанамнез</vt:lpstr>
      <vt:lpstr>Анестезия</vt:lpstr>
      <vt:lpstr>б\л</vt:lpstr>
      <vt:lpstr>БИ_ТУР</vt:lpstr>
      <vt:lpstr>Биохимия_белок</vt:lpstr>
      <vt:lpstr>Биохимия_билирубин</vt:lpstr>
      <vt:lpstr>Биохимия_глюкоза</vt:lpstr>
      <vt:lpstr>Биохимия_дата</vt:lpstr>
      <vt:lpstr>Биохимия_калий</vt:lpstr>
      <vt:lpstr>Биохимия_креатинин</vt:lpstr>
      <vt:lpstr>Биохимия_мочевина</vt:lpstr>
      <vt:lpstr>Биохимия_натрий</vt:lpstr>
      <vt:lpstr>ВЕС_кг</vt:lpstr>
      <vt:lpstr>виды_анестезии</vt:lpstr>
      <vt:lpstr>ВИЧ_ГЕПАТИТ_дата</vt:lpstr>
      <vt:lpstr>Возможные_осложнения</vt:lpstr>
      <vt:lpstr>Возраст_лет</vt:lpstr>
      <vt:lpstr>Время_операции_от_и_до</vt:lpstr>
      <vt:lpstr>время_поступления</vt:lpstr>
      <vt:lpstr>выписан_с_улучшением_с_выздоровлением</vt:lpstr>
      <vt:lpstr>ГИСТОЛОГИЯ</vt:lpstr>
      <vt:lpstr>Группа_крови</vt:lpstr>
      <vt:lpstr>группакрови</vt:lpstr>
      <vt:lpstr>Данные_амбулаторного_обследования</vt:lpstr>
      <vt:lpstr>данные_проведенного_обследования</vt:lpstr>
      <vt:lpstr>Дата_выписки</vt:lpstr>
      <vt:lpstr>Дата_операции</vt:lpstr>
      <vt:lpstr>дата_поступления</vt:lpstr>
      <vt:lpstr>Диагноз_при_поступлении</vt:lpstr>
      <vt:lpstr>ДИЕТА_ОВД</vt:lpstr>
      <vt:lpstr>ДНИ_ВН</vt:lpstr>
      <vt:lpstr>Жалобы</vt:lpstr>
      <vt:lpstr>Зав.отд.</vt:lpstr>
      <vt:lpstr>И.О.ЗАВ.ОТД.</vt:lpstr>
      <vt:lpstr>ИМТ</vt:lpstr>
      <vt:lpstr>Исход_заболевания</vt:lpstr>
      <vt:lpstr>Канал_поступления</vt:lpstr>
      <vt:lpstr>Клинический_диагноз</vt:lpstr>
      <vt:lpstr>КОД_ВМТ</vt:lpstr>
      <vt:lpstr>КОД_ВЫПИСКИ</vt:lpstr>
      <vt:lpstr>Код_заболевания</vt:lpstr>
      <vt:lpstr>Код_МЭС</vt:lpstr>
      <vt:lpstr>Койкодень_до_опер</vt:lpstr>
      <vt:lpstr>Койкодень_МЭС</vt:lpstr>
      <vt:lpstr>Койкодень_общий</vt:lpstr>
      <vt:lpstr>Койкодень_после_опер</vt:lpstr>
      <vt:lpstr>куда</vt:lpstr>
      <vt:lpstr>Лечащий_врач</vt:lpstr>
      <vt:lpstr>Лист_нетрудоспособности</vt:lpstr>
      <vt:lpstr>Лучевая_нагрузка</vt:lpstr>
      <vt:lpstr>Место_жительства</vt:lpstr>
      <vt:lpstr>Номер_операции</vt:lpstr>
      <vt:lpstr>ОАК</vt:lpstr>
      <vt:lpstr>ОАК_базофилы</vt:lpstr>
      <vt:lpstr>ОАК_Гемоглобин</vt:lpstr>
      <vt:lpstr>ОАК_дата</vt:lpstr>
      <vt:lpstr>ОАК_лейкоциты</vt:lpstr>
      <vt:lpstr>ОАК_лимфоциты</vt:lpstr>
      <vt:lpstr>ОАК_моноциты</vt:lpstr>
      <vt:lpstr>ОАК_палочки</vt:lpstr>
      <vt:lpstr>ОАК_сегментоядерные</vt:lpstr>
      <vt:lpstr>ОАК_СОЭ</vt:lpstr>
      <vt:lpstr>ОАК_Тромб</vt:lpstr>
      <vt:lpstr>ОАК_эозинофилы</vt:lpstr>
      <vt:lpstr>ОАК_Эритр</vt:lpstr>
      <vt:lpstr>ОАМ_бактерии</vt:lpstr>
      <vt:lpstr>ОАМ_белок</vt:lpstr>
      <vt:lpstr>ОАМ_грибки</vt:lpstr>
      <vt:lpstr>ОАМ_дата</vt:lpstr>
      <vt:lpstr>ОАМ_лейкоциты</vt:lpstr>
      <vt:lpstr>ОАМ_плотность</vt:lpstr>
      <vt:lpstr>ОАМ_рН</vt:lpstr>
      <vt:lpstr>ОАМ_соли</vt:lpstr>
      <vt:lpstr>ОАМ_эритроциты</vt:lpstr>
      <vt:lpstr>Биопсия!Область_печати</vt:lpstr>
      <vt:lpstr>Выписка!Область_печати</vt:lpstr>
      <vt:lpstr>'Выписной дневник'!Область_печати</vt:lpstr>
      <vt:lpstr>Гемотрансфузия!Область_печати</vt:lpstr>
      <vt:lpstr>'Гистология '!Область_печати</vt:lpstr>
      <vt:lpstr>Д!Область_печати</vt:lpstr>
      <vt:lpstr>Данные!Область_печати</vt:lpstr>
      <vt:lpstr>Дневник!Область_печати</vt:lpstr>
      <vt:lpstr>Заявка!Область_печати</vt:lpstr>
      <vt:lpstr>'Карта контроля'!Область_печати</vt:lpstr>
      <vt:lpstr>'Карта ЦС'!Область_печати</vt:lpstr>
      <vt:lpstr>Клин.разбор!Область_печати</vt:lpstr>
      <vt:lpstr>'Консилиум 5 препаратов'!Область_печати</vt:lpstr>
      <vt:lpstr>КЭК!Область_печати</vt:lpstr>
      <vt:lpstr>'Лист МЭС'!Область_печати</vt:lpstr>
      <vt:lpstr>'Лист назначений (2)'!Область_печати</vt:lpstr>
      <vt:lpstr>'Лист наркотиков'!Область_печати</vt:lpstr>
      <vt:lpstr>'НС и ПВ'!Область_печати</vt:lpstr>
      <vt:lpstr>Онкокарта!Область_печати</vt:lpstr>
      <vt:lpstr>Онкосовет!Область_печати</vt:lpstr>
      <vt:lpstr>Операция!Область_печати</vt:lpstr>
      <vt:lpstr>'Осмотр зав'!Область_печати</vt:lpstr>
      <vt:lpstr>'П Приложение'!Область_печати</vt:lpstr>
      <vt:lpstr>Первичка!Область_печати</vt:lpstr>
      <vt:lpstr>'По дежурству'!Область_печати</vt:lpstr>
      <vt:lpstr>После.опер.дневник!Область_печати</vt:lpstr>
      <vt:lpstr>Рапорт!Область_печати</vt:lpstr>
      <vt:lpstr>Собачка!Область_печати</vt:lpstr>
      <vt:lpstr>Согласия!Область_печати</vt:lpstr>
      <vt:lpstr>Энурез!Область_печати</vt:lpstr>
      <vt:lpstr>'Этапный эпикриз'!Область_печати</vt:lpstr>
      <vt:lpstr>'Этапный эпикриз '!Область_печати</vt:lpstr>
      <vt:lpstr>'Осмотр зав'!Обследование_дневник</vt:lpstr>
      <vt:lpstr>Обследование_дневник</vt:lpstr>
      <vt:lpstr>ОПЕРАЦИЯ</vt:lpstr>
      <vt:lpstr>Оперирующий.хирург</vt:lpstr>
      <vt:lpstr>ПЕРЕВОДНОЙ</vt:lpstr>
      <vt:lpstr>Планируемое_оперативное_вмешательство__проведенное</vt:lpstr>
      <vt:lpstr>Показание_для_операции</vt:lpstr>
      <vt:lpstr>ПОЛ</vt:lpstr>
      <vt:lpstr>Посев_мочи</vt:lpstr>
      <vt:lpstr>Радикальность_операции</vt:lpstr>
      <vt:lpstr>реакция_мочи</vt:lpstr>
      <vt:lpstr>Рекомендации_дневник</vt:lpstr>
      <vt:lpstr>РОСТ__см</vt:lpstr>
      <vt:lpstr>СКФ_MDRD</vt:lpstr>
      <vt:lpstr>СКФ_Кокрофт</vt:lpstr>
      <vt:lpstr>соли_мочи</vt:lpstr>
      <vt:lpstr>Сопутствующий_диагноз</vt:lpstr>
      <vt:lpstr>'Осмотр зав'!Состояние_дневник</vt:lpstr>
      <vt:lpstr>Состояние_дневник</vt:lpstr>
      <vt:lpstr>Энурез!Состояние_при_выписке</vt:lpstr>
      <vt:lpstr>Состояние_при_выписке</vt:lpstr>
      <vt:lpstr>Телефон</vt:lpstr>
      <vt:lpstr>Трансфузии</vt:lpstr>
      <vt:lpstr>трудовой_анамнез</vt:lpstr>
      <vt:lpstr>трудоспособ</vt:lpstr>
      <vt:lpstr>Трудоспособность</vt:lpstr>
      <vt:lpstr>ФИО</vt:lpstr>
      <vt:lpstr>Химиотерапия</vt:lpstr>
      <vt:lpstr>Цель_операции</vt:lpstr>
      <vt:lpstr>ЭКГ_результат</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alexr_000</dc:creator>
  <cp:lastModifiedBy>Victor</cp:lastModifiedBy>
  <cp:lastPrinted>2016-08-04T07:36:07Z</cp:lastPrinted>
  <dcterms:created xsi:type="dcterms:W3CDTF">2015-09-03T09:57:36Z</dcterms:created>
  <dcterms:modified xsi:type="dcterms:W3CDTF">2016-08-19T04:54:05Z</dcterms:modified>
</cp:coreProperties>
</file>